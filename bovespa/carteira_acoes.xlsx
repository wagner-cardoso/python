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python\bovespa\"/>
    </mc:Choice>
  </mc:AlternateContent>
  <xr:revisionPtr revIDLastSave="0" documentId="13_ncr:1_{11CA9946-C753-460D-8CF6-B11B8A3085AB}" xr6:coauthVersionLast="46" xr6:coauthVersionMax="46" xr10:uidLastSave="{00000000-0000-0000-0000-000000000000}"/>
  <bookViews>
    <workbookView xWindow="-120" yWindow="-120" windowWidth="20730" windowHeight="11160" tabRatio="740" activeTab="2" xr2:uid="{00000000-000D-0000-FFFF-FFFF00000000}"/>
  </bookViews>
  <sheets>
    <sheet name="XP" sheetId="11" r:id="rId1"/>
    <sheet name="Modal-Silna" sheetId="20" r:id="rId2"/>
    <sheet name="MODAL" sheetId="12" r:id="rId3"/>
    <sheet name="Dividendos" sheetId="21" r:id="rId4"/>
    <sheet name="Plano de Metas" sheetId="8" r:id="rId5"/>
    <sheet name="Passfolio" sheetId="26" r:id="rId6"/>
    <sheet name="Despesas" sheetId="25" r:id="rId7"/>
    <sheet name="Forex" sheetId="23" r:id="rId8"/>
    <sheet name="Rentabilidade" sheetId="18" r:id="rId9"/>
    <sheet name="Resumo_Geral" sheetId="13" r:id="rId10"/>
    <sheet name="Tesouro_Direto" sheetId="14" r:id="rId11"/>
    <sheet name="IR 2018" sheetId="22" r:id="rId12"/>
    <sheet name="IR 2019" sheetId="29" r:id="rId13"/>
    <sheet name="IR 2020" sheetId="28" r:id="rId1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7" i="8" l="1"/>
  <c r="E163" i="8"/>
  <c r="D153" i="8"/>
  <c r="D154" i="8"/>
  <c r="E161" i="8"/>
  <c r="X85" i="8"/>
  <c r="X94" i="8" s="1"/>
  <c r="W85" i="8"/>
  <c r="V85" i="8"/>
  <c r="H1591" i="12"/>
  <c r="K1591" i="12"/>
  <c r="F1591" i="12"/>
  <c r="F1594" i="12"/>
  <c r="K1594" i="12" s="1"/>
  <c r="N1595" i="12"/>
  <c r="F1590" i="12"/>
  <c r="K1590" i="12" s="1"/>
  <c r="B365" i="8"/>
  <c r="B362" i="8"/>
  <c r="B307" i="8"/>
  <c r="B305" i="8"/>
  <c r="AA151" i="8"/>
  <c r="Y151" i="8"/>
  <c r="V84" i="8"/>
  <c r="D161" i="8"/>
  <c r="D510" i="21"/>
  <c r="D485" i="21"/>
  <c r="H1586" i="12"/>
  <c r="F1586" i="12"/>
  <c r="X84" i="8"/>
  <c r="W84" i="8"/>
  <c r="F1583" i="12"/>
  <c r="K1583" i="12" s="1"/>
  <c r="F1585" i="12"/>
  <c r="K1585" i="12" s="1"/>
  <c r="F1580" i="12"/>
  <c r="K1580" i="12" s="1"/>
  <c r="D44" i="26"/>
  <c r="E44" i="26" s="1"/>
  <c r="D45" i="26"/>
  <c r="E45" i="26"/>
  <c r="D43" i="26"/>
  <c r="E43" i="26" s="1"/>
  <c r="D522" i="21"/>
  <c r="D144" i="8"/>
  <c r="C144" i="8"/>
  <c r="M154" i="8"/>
  <c r="L154" i="8"/>
  <c r="K154" i="8"/>
  <c r="J154" i="8"/>
  <c r="I154" i="8"/>
  <c r="H154" i="8"/>
  <c r="G154" i="8"/>
  <c r="F154" i="8"/>
  <c r="E154" i="8"/>
  <c r="C154" i="8"/>
  <c r="B154" i="8"/>
  <c r="M1604" i="12"/>
  <c r="J1604" i="12"/>
  <c r="D1604" i="12"/>
  <c r="F1557" i="12"/>
  <c r="H1557" i="12"/>
  <c r="N1559" i="12"/>
  <c r="F1561" i="12"/>
  <c r="H1561" i="12"/>
  <c r="F1562" i="12"/>
  <c r="K1562" i="12" s="1"/>
  <c r="F1563" i="12"/>
  <c r="K1563" i="12" s="1"/>
  <c r="P1564" i="12"/>
  <c r="H1551" i="12"/>
  <c r="F1552" i="12"/>
  <c r="K1552" i="12" s="1"/>
  <c r="N57" i="29"/>
  <c r="I46" i="29"/>
  <c r="D44" i="29"/>
  <c r="O27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G27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G4" i="29"/>
  <c r="I6" i="29"/>
  <c r="I7" i="29" s="1"/>
  <c r="I8" i="29" s="1"/>
  <c r="I9" i="29" s="1"/>
  <c r="I10" i="29" s="1"/>
  <c r="I11" i="29" s="1"/>
  <c r="I12" i="29" s="1"/>
  <c r="I13" i="29" s="1"/>
  <c r="I14" i="29" s="1"/>
  <c r="I15" i="29" s="1"/>
  <c r="I16" i="29" s="1"/>
  <c r="I17" i="29" s="1"/>
  <c r="I18" i="29" s="1"/>
  <c r="I19" i="29" s="1"/>
  <c r="I20" i="29" s="1"/>
  <c r="I21" i="29" s="1"/>
  <c r="I22" i="29" s="1"/>
  <c r="I23" i="29" s="1"/>
  <c r="I5" i="29"/>
  <c r="A5" i="29"/>
  <c r="A6" i="29" s="1"/>
  <c r="A7" i="29" s="1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G27" i="28"/>
  <c r="O27" i="28"/>
  <c r="I5" i="28"/>
  <c r="I6" i="28" s="1"/>
  <c r="I7" i="28" s="1"/>
  <c r="I8" i="28" s="1"/>
  <c r="I9" i="28" s="1"/>
  <c r="I10" i="28" s="1"/>
  <c r="I11" i="28" s="1"/>
  <c r="I12" i="28" s="1"/>
  <c r="I13" i="28" s="1"/>
  <c r="I14" i="28" s="1"/>
  <c r="I15" i="28" s="1"/>
  <c r="I16" i="28" s="1"/>
  <c r="I17" i="28" s="1"/>
  <c r="I18" i="28" s="1"/>
  <c r="I19" i="28" s="1"/>
  <c r="I20" i="28" s="1"/>
  <c r="I21" i="28" s="1"/>
  <c r="I22" i="28" s="1"/>
  <c r="I23" i="28" s="1"/>
  <c r="I24" i="28" s="1"/>
  <c r="I25" i="28" s="1"/>
  <c r="N57" i="28"/>
  <c r="I46" i="28"/>
  <c r="D44" i="28"/>
  <c r="A5" i="28"/>
  <c r="A6" i="28" s="1"/>
  <c r="A7" i="28" s="1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F1551" i="12"/>
  <c r="P1550" i="12"/>
  <c r="H1548" i="12"/>
  <c r="F1548" i="12"/>
  <c r="H1545" i="12"/>
  <c r="F1545" i="12"/>
  <c r="B308" i="8"/>
  <c r="B366" i="8"/>
  <c r="B361" i="8"/>
  <c r="B304" i="8"/>
  <c r="C150" i="8"/>
  <c r="C161" i="8"/>
  <c r="D494" i="21"/>
  <c r="Y150" i="8"/>
  <c r="AF150" i="8" s="1"/>
  <c r="AA150" i="8"/>
  <c r="V83" i="8"/>
  <c r="W83" i="8"/>
  <c r="F1543" i="12"/>
  <c r="K1543" i="12" s="1"/>
  <c r="F1542" i="12"/>
  <c r="K1542" i="12" s="1"/>
  <c r="F1541" i="12"/>
  <c r="K1541" i="12" s="1"/>
  <c r="F1531" i="12"/>
  <c r="K1531" i="12" s="1"/>
  <c r="F1532" i="12"/>
  <c r="K1532" i="12" s="1"/>
  <c r="F1533" i="12"/>
  <c r="K1533" i="12" s="1"/>
  <c r="F1534" i="12"/>
  <c r="K1534" i="12" s="1"/>
  <c r="O1538" i="12"/>
  <c r="B165" i="8"/>
  <c r="U98" i="8"/>
  <c r="AA98" i="8"/>
  <c r="AA83" i="8"/>
  <c r="AA94" i="8" s="1"/>
  <c r="F1529" i="12"/>
  <c r="K1529" i="12" s="1"/>
  <c r="F1528" i="12"/>
  <c r="K1528" i="12" s="1"/>
  <c r="F1527" i="12"/>
  <c r="K1527" i="12" s="1"/>
  <c r="F1526" i="12"/>
  <c r="K1526" i="12" s="1"/>
  <c r="V1576" i="12"/>
  <c r="U1576" i="12"/>
  <c r="D42" i="26"/>
  <c r="E42" i="26" s="1"/>
  <c r="D41" i="26"/>
  <c r="E41" i="26" s="1"/>
  <c r="D40" i="26"/>
  <c r="E40" i="26" s="1"/>
  <c r="D39" i="26"/>
  <c r="E39" i="26" s="1"/>
  <c r="D38" i="26"/>
  <c r="E38" i="26" s="1"/>
  <c r="D37" i="26"/>
  <c r="E37" i="26" s="1"/>
  <c r="N1508" i="12"/>
  <c r="D60" i="23"/>
  <c r="E60" i="23" s="1"/>
  <c r="B60" i="23"/>
  <c r="F59" i="23"/>
  <c r="G59" i="23" s="1"/>
  <c r="F1504" i="12"/>
  <c r="K1504" i="12" s="1"/>
  <c r="F1503" i="12"/>
  <c r="K1503" i="12" s="1"/>
  <c r="E59" i="23"/>
  <c r="B360" i="8"/>
  <c r="B359" i="8"/>
  <c r="B358" i="8"/>
  <c r="B357" i="8"/>
  <c r="B303" i="8"/>
  <c r="B76" i="8"/>
  <c r="B161" i="8"/>
  <c r="J18" i="25"/>
  <c r="Y82" i="8"/>
  <c r="P1498" i="12"/>
  <c r="C53" i="26"/>
  <c r="E33" i="26"/>
  <c r="D34" i="26"/>
  <c r="E34" i="26" s="1"/>
  <c r="D35" i="26"/>
  <c r="E35" i="26" s="1"/>
  <c r="D36" i="26"/>
  <c r="E36" i="26" s="1"/>
  <c r="W82" i="8"/>
  <c r="H1494" i="12"/>
  <c r="F1495" i="12"/>
  <c r="K1495" i="12" s="1"/>
  <c r="N161" i="8"/>
  <c r="G487" i="21"/>
  <c r="G488" i="21"/>
  <c r="V82" i="8"/>
  <c r="F1494" i="12"/>
  <c r="N1477" i="12"/>
  <c r="I18" i="25"/>
  <c r="L169" i="8"/>
  <c r="H169" i="8"/>
  <c r="E169" i="8"/>
  <c r="D169" i="8"/>
  <c r="M168" i="8"/>
  <c r="L168" i="8"/>
  <c r="K168" i="8"/>
  <c r="J168" i="8"/>
  <c r="I168" i="8"/>
  <c r="H168" i="8"/>
  <c r="G168" i="8"/>
  <c r="F168" i="8"/>
  <c r="E168" i="8"/>
  <c r="D168" i="8"/>
  <c r="C168" i="8"/>
  <c r="B168" i="8"/>
  <c r="E166" i="8"/>
  <c r="D163" i="8"/>
  <c r="D166" i="8" s="1"/>
  <c r="P162" i="8"/>
  <c r="N162" i="8"/>
  <c r="M163" i="8"/>
  <c r="L163" i="8"/>
  <c r="K169" i="8"/>
  <c r="J169" i="8"/>
  <c r="I163" i="8"/>
  <c r="H163" i="8"/>
  <c r="G169" i="8"/>
  <c r="C169" i="8"/>
  <c r="P160" i="8"/>
  <c r="N160" i="8"/>
  <c r="P159" i="8"/>
  <c r="N159" i="8"/>
  <c r="P158" i="8"/>
  <c r="N158" i="8"/>
  <c r="P157" i="8"/>
  <c r="N157" i="8"/>
  <c r="I167" i="8"/>
  <c r="P152" i="8"/>
  <c r="N152" i="8"/>
  <c r="P151" i="8"/>
  <c r="N151" i="8"/>
  <c r="M166" i="8"/>
  <c r="P150" i="8"/>
  <c r="Z94" i="8"/>
  <c r="AF93" i="8"/>
  <c r="AF92" i="8"/>
  <c r="AF91" i="8"/>
  <c r="AF90" i="8"/>
  <c r="AF89" i="8"/>
  <c r="AF88" i="8"/>
  <c r="AF87" i="8"/>
  <c r="AF86" i="8"/>
  <c r="Y94" i="8"/>
  <c r="U94" i="8"/>
  <c r="F1476" i="12"/>
  <c r="K1586" i="12" l="1"/>
  <c r="K1557" i="12"/>
  <c r="P153" i="8"/>
  <c r="N153" i="8"/>
  <c r="AF85" i="8"/>
  <c r="W94" i="8"/>
  <c r="K1551" i="12"/>
  <c r="K1561" i="12"/>
  <c r="AF151" i="8"/>
  <c r="K1548" i="12"/>
  <c r="K1476" i="12"/>
  <c r="K1545" i="12"/>
  <c r="V1604" i="12"/>
  <c r="P163" i="8"/>
  <c r="AF83" i="8"/>
  <c r="K1494" i="12"/>
  <c r="D165" i="8"/>
  <c r="P168" i="8"/>
  <c r="B163" i="8"/>
  <c r="B169" i="8"/>
  <c r="N169" i="8"/>
  <c r="N168" i="8"/>
  <c r="B376" i="8" s="1"/>
  <c r="C376" i="8" s="1"/>
  <c r="H167" i="8"/>
  <c r="H166" i="8"/>
  <c r="H165" i="8"/>
  <c r="I166" i="8"/>
  <c r="I165" i="8"/>
  <c r="L165" i="8"/>
  <c r="L166" i="8"/>
  <c r="F163" i="8"/>
  <c r="F167" i="8" s="1"/>
  <c r="N163" i="8"/>
  <c r="P161" i="8"/>
  <c r="C163" i="8"/>
  <c r="C165" i="8" s="1"/>
  <c r="G163" i="8"/>
  <c r="K163" i="8"/>
  <c r="K165" i="8" s="1"/>
  <c r="E165" i="8"/>
  <c r="M165" i="8"/>
  <c r="I169" i="8"/>
  <c r="M169" i="8"/>
  <c r="J163" i="8"/>
  <c r="J167" i="8" s="1"/>
  <c r="B166" i="8"/>
  <c r="N150" i="8"/>
  <c r="N154" i="8" s="1"/>
  <c r="D167" i="8"/>
  <c r="L167" i="8"/>
  <c r="F169" i="8"/>
  <c r="M167" i="8"/>
  <c r="AF84" i="8"/>
  <c r="V94" i="8"/>
  <c r="V98" i="8" s="1"/>
  <c r="AF82" i="8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N508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N541" i="21"/>
  <c r="N540" i="21"/>
  <c r="N539" i="21"/>
  <c r="L536" i="21"/>
  <c r="I536" i="21"/>
  <c r="H536" i="21"/>
  <c r="G536" i="21"/>
  <c r="F536" i="21"/>
  <c r="C536" i="21"/>
  <c r="M536" i="21"/>
  <c r="K536" i="21"/>
  <c r="J536" i="21"/>
  <c r="E536" i="21"/>
  <c r="M510" i="21"/>
  <c r="K510" i="21"/>
  <c r="K544" i="21" s="1"/>
  <c r="J510" i="21"/>
  <c r="H510" i="21"/>
  <c r="H544" i="21" s="1"/>
  <c r="G510" i="21"/>
  <c r="E510" i="21"/>
  <c r="C510" i="21"/>
  <c r="B510" i="21"/>
  <c r="N509" i="21"/>
  <c r="N507" i="21"/>
  <c r="N506" i="21"/>
  <c r="N505" i="21"/>
  <c r="N504" i="21"/>
  <c r="N503" i="21"/>
  <c r="L510" i="21"/>
  <c r="L544" i="21" s="1"/>
  <c r="I510" i="21"/>
  <c r="I544" i="21" s="1"/>
  <c r="F510" i="21"/>
  <c r="N501" i="21"/>
  <c r="N500" i="21"/>
  <c r="N499" i="21"/>
  <c r="N498" i="21"/>
  <c r="N497" i="21"/>
  <c r="N496" i="21"/>
  <c r="N495" i="21"/>
  <c r="N493" i="21"/>
  <c r="N492" i="21"/>
  <c r="N491" i="21"/>
  <c r="N490" i="21"/>
  <c r="N489" i="21"/>
  <c r="N488" i="21"/>
  <c r="N487" i="21"/>
  <c r="N486" i="21"/>
  <c r="N485" i="21"/>
  <c r="N484" i="21"/>
  <c r="AJ94" i="8" l="1"/>
  <c r="B167" i="8"/>
  <c r="P169" i="8"/>
  <c r="K167" i="8"/>
  <c r="K166" i="8"/>
  <c r="C166" i="8"/>
  <c r="C167" i="8"/>
  <c r="J165" i="8"/>
  <c r="J166" i="8"/>
  <c r="G165" i="8"/>
  <c r="G166" i="8"/>
  <c r="P154" i="8"/>
  <c r="F166" i="8"/>
  <c r="F165" i="8"/>
  <c r="G167" i="8"/>
  <c r="AF94" i="8"/>
  <c r="G544" i="21"/>
  <c r="C544" i="21"/>
  <c r="J544" i="21"/>
  <c r="F544" i="21"/>
  <c r="N536" i="21"/>
  <c r="N542" i="21"/>
  <c r="E544" i="21"/>
  <c r="M544" i="21"/>
  <c r="D536" i="21"/>
  <c r="D544" i="21" s="1"/>
  <c r="N494" i="21"/>
  <c r="N502" i="21"/>
  <c r="B536" i="21"/>
  <c r="B544" i="21" s="1"/>
  <c r="M126" i="8"/>
  <c r="P166" i="8" l="1"/>
  <c r="N166" i="8"/>
  <c r="P165" i="8"/>
  <c r="N165" i="8"/>
  <c r="P167" i="8"/>
  <c r="N167" i="8"/>
  <c r="B396" i="8" s="1"/>
  <c r="N510" i="21"/>
  <c r="N544" i="21" s="1"/>
  <c r="M98" i="8"/>
  <c r="AA76" i="8"/>
  <c r="V76" i="8"/>
  <c r="W76" i="8"/>
  <c r="D396" i="8" l="1"/>
  <c r="C396" i="8"/>
  <c r="K144" i="8"/>
  <c r="M137" i="8"/>
  <c r="M128" i="8"/>
  <c r="F1471" i="12" l="1"/>
  <c r="K1471" i="12" s="1"/>
  <c r="F1472" i="12"/>
  <c r="K1472" i="12" s="1"/>
  <c r="P1468" i="12"/>
  <c r="P1467" i="12"/>
  <c r="J8" i="26"/>
  <c r="L8" i="26"/>
  <c r="E18" i="25" l="1"/>
  <c r="D18" i="25"/>
  <c r="AM137" i="8"/>
  <c r="M139" i="8"/>
  <c r="M142" i="8" l="1"/>
  <c r="M141" i="8"/>
  <c r="F1462" i="12"/>
  <c r="K1462" i="12" s="1"/>
  <c r="F1461" i="12"/>
  <c r="K1461" i="12" s="1"/>
  <c r="F1459" i="12"/>
  <c r="K1459" i="12" s="1"/>
  <c r="F1455" i="12" l="1"/>
  <c r="K1455" i="12" s="1"/>
  <c r="N442" i="21"/>
  <c r="N441" i="21"/>
  <c r="N440" i="21"/>
  <c r="N439" i="21"/>
  <c r="N438" i="21"/>
  <c r="N435" i="21"/>
  <c r="N434" i="21"/>
  <c r="N432" i="21"/>
  <c r="N431" i="21"/>
  <c r="N430" i="21"/>
  <c r="N427" i="21"/>
  <c r="N426" i="21"/>
  <c r="N425" i="21"/>
  <c r="N424" i="21"/>
  <c r="N423" i="21"/>
  <c r="N422" i="21"/>
  <c r="N421" i="21"/>
  <c r="N420" i="21"/>
  <c r="M462" i="21"/>
  <c r="E32" i="26" l="1"/>
  <c r="E31" i="26"/>
  <c r="M469" i="21"/>
  <c r="F1440" i="12"/>
  <c r="K1440" i="12" s="1"/>
  <c r="F1439" i="12"/>
  <c r="K1439" i="12" s="1"/>
  <c r="N1437" i="12"/>
  <c r="E88" i="23"/>
  <c r="J7" i="26" l="1"/>
  <c r="F1433" i="12" l="1"/>
  <c r="K1433" i="12" s="1"/>
  <c r="B302" i="8" l="1"/>
  <c r="B301" i="8"/>
  <c r="B300" i="8"/>
  <c r="AA147" i="8"/>
  <c r="AA148" i="8" s="1"/>
  <c r="AA149" i="8" s="1"/>
  <c r="W75" i="8"/>
  <c r="AF75" i="8" s="1"/>
  <c r="F1431" i="12"/>
  <c r="K1431" i="12" s="1"/>
  <c r="L137" i="8"/>
  <c r="L139" i="8" s="1"/>
  <c r="L141" i="8" s="1"/>
  <c r="W28" i="23"/>
  <c r="W27" i="23"/>
  <c r="W24" i="23"/>
  <c r="L129" i="8"/>
  <c r="P129" i="8" s="1"/>
  <c r="F1423" i="12"/>
  <c r="K1423" i="12" s="1"/>
  <c r="L436" i="21"/>
  <c r="N467" i="21"/>
  <c r="F1420" i="12"/>
  <c r="K1420" i="12" s="1"/>
  <c r="K137" i="8"/>
  <c r="N137" i="8" s="1"/>
  <c r="L462" i="21"/>
  <c r="L455" i="21"/>
  <c r="L447" i="21"/>
  <c r="N447" i="21" s="1"/>
  <c r="N1405" i="12"/>
  <c r="F1407" i="12"/>
  <c r="K1407" i="12" s="1"/>
  <c r="L5" i="26"/>
  <c r="J4" i="26"/>
  <c r="D27" i="26"/>
  <c r="E27" i="26" s="1"/>
  <c r="D30" i="26"/>
  <c r="E30" i="26"/>
  <c r="D29" i="26"/>
  <c r="E29" i="26" s="1"/>
  <c r="E28" i="26"/>
  <c r="E26" i="26"/>
  <c r="F1401" i="12"/>
  <c r="K1401" i="12" s="1"/>
  <c r="F1399" i="12"/>
  <c r="K1399" i="12" s="1"/>
  <c r="W74" i="8"/>
  <c r="F1396" i="12"/>
  <c r="K1396" i="12" s="1"/>
  <c r="X74" i="8"/>
  <c r="F1388" i="12"/>
  <c r="K1388" i="12" s="1"/>
  <c r="E25" i="26"/>
  <c r="E24" i="26"/>
  <c r="E23" i="26"/>
  <c r="V74" i="8"/>
  <c r="AF74" i="8" s="1"/>
  <c r="K469" i="21"/>
  <c r="K451" i="21"/>
  <c r="K455" i="21"/>
  <c r="F1372" i="12"/>
  <c r="K1372" i="12" s="1"/>
  <c r="N1370" i="12"/>
  <c r="F1367" i="12"/>
  <c r="K1367" i="12" s="1"/>
  <c r="E22" i="26"/>
  <c r="E21" i="26"/>
  <c r="K126" i="8"/>
  <c r="K130" i="8" s="1"/>
  <c r="V73" i="8"/>
  <c r="H1363" i="12"/>
  <c r="F1363" i="12"/>
  <c r="B1359" i="12"/>
  <c r="B1604" i="12" s="1"/>
  <c r="B1608" i="12" s="1"/>
  <c r="J137" i="8"/>
  <c r="X73" i="8"/>
  <c r="W73" i="8"/>
  <c r="F1357" i="12"/>
  <c r="K1357" i="12" s="1"/>
  <c r="F1351" i="12"/>
  <c r="K1351" i="12" s="1"/>
  <c r="F1354" i="12"/>
  <c r="K1354" i="12" s="1"/>
  <c r="J126" i="8"/>
  <c r="AA73" i="8"/>
  <c r="AA145" i="8" s="1"/>
  <c r="F1347" i="12"/>
  <c r="K1347" i="12" s="1"/>
  <c r="F1344" i="12"/>
  <c r="K1344" i="12" s="1"/>
  <c r="J455" i="21"/>
  <c r="H1332" i="12"/>
  <c r="F1332" i="12"/>
  <c r="L7" i="26"/>
  <c r="U73" i="8"/>
  <c r="F1330" i="12"/>
  <c r="K1330" i="12" s="1"/>
  <c r="N1328" i="12"/>
  <c r="I455" i="21"/>
  <c r="I469" i="21" s="1"/>
  <c r="F1326" i="12"/>
  <c r="K1326" i="12" s="1"/>
  <c r="P1321" i="12"/>
  <c r="F1324" i="12"/>
  <c r="K1324" i="12" s="1"/>
  <c r="F1323" i="12"/>
  <c r="K1323" i="12" s="1"/>
  <c r="F1320" i="12"/>
  <c r="K1320" i="12" s="1"/>
  <c r="I137" i="8"/>
  <c r="W72" i="8"/>
  <c r="W77" i="8" s="1"/>
  <c r="B299" i="8"/>
  <c r="B298" i="8"/>
  <c r="B297" i="8"/>
  <c r="B296" i="8"/>
  <c r="B356" i="8"/>
  <c r="B355" i="8"/>
  <c r="B354" i="8"/>
  <c r="B353" i="8"/>
  <c r="B352" i="8"/>
  <c r="B351" i="8"/>
  <c r="B350" i="8"/>
  <c r="B349" i="8"/>
  <c r="B348" i="8"/>
  <c r="V72" i="8"/>
  <c r="I437" i="21"/>
  <c r="I436" i="21"/>
  <c r="F1318" i="12"/>
  <c r="K1318" i="12" s="1"/>
  <c r="F1312" i="12"/>
  <c r="K1312" i="12" s="1"/>
  <c r="F1308" i="12"/>
  <c r="K1308" i="12" s="1"/>
  <c r="G1292" i="12"/>
  <c r="G1291" i="12"/>
  <c r="G1307" i="12"/>
  <c r="F1307" i="12"/>
  <c r="T1339" i="12"/>
  <c r="S1339" i="12"/>
  <c r="H18" i="25"/>
  <c r="E20" i="26"/>
  <c r="E19" i="26"/>
  <c r="E18" i="26"/>
  <c r="E17" i="26"/>
  <c r="L4" i="26"/>
  <c r="L3" i="26"/>
  <c r="L2" i="26"/>
  <c r="L10" i="26" s="1"/>
  <c r="L6" i="26"/>
  <c r="J6" i="26"/>
  <c r="J5" i="26"/>
  <c r="J3" i="26"/>
  <c r="J2" i="26"/>
  <c r="AA72" i="8"/>
  <c r="AA144" i="8" s="1"/>
  <c r="N1294" i="12"/>
  <c r="F1292" i="12"/>
  <c r="K1292" i="12" s="1"/>
  <c r="F1291" i="12"/>
  <c r="F81" i="20"/>
  <c r="J81" i="20"/>
  <c r="F1290" i="12"/>
  <c r="K1290" i="12" s="1"/>
  <c r="AF116" i="8"/>
  <c r="AF114" i="8"/>
  <c r="AF112" i="8"/>
  <c r="AF111" i="8"/>
  <c r="AF109" i="8"/>
  <c r="AF108" i="8"/>
  <c r="AF107" i="8"/>
  <c r="AF106" i="8"/>
  <c r="AF76" i="8"/>
  <c r="AF72" i="8"/>
  <c r="V71" i="8"/>
  <c r="G1288" i="12"/>
  <c r="G1287" i="12"/>
  <c r="F1288" i="12"/>
  <c r="F1287" i="12"/>
  <c r="Y71" i="8"/>
  <c r="W71" i="8"/>
  <c r="F1285" i="12"/>
  <c r="K1285" i="12" s="1"/>
  <c r="G18" i="25"/>
  <c r="E15" i="25"/>
  <c r="F15" i="25"/>
  <c r="H137" i="8"/>
  <c r="H145" i="8" s="1"/>
  <c r="AA71" i="8"/>
  <c r="AA143" i="8" s="1"/>
  <c r="AA70" i="8"/>
  <c r="F18" i="25"/>
  <c r="F1282" i="12"/>
  <c r="K1282" i="12" s="1"/>
  <c r="F1277" i="12"/>
  <c r="K1277" i="12" s="1"/>
  <c r="F1264" i="12"/>
  <c r="K1264" i="12" s="1"/>
  <c r="H455" i="21"/>
  <c r="H469" i="21" s="1"/>
  <c r="F1263" i="12"/>
  <c r="K1263" i="12" s="1"/>
  <c r="F1262" i="12"/>
  <c r="K1262" i="12" s="1"/>
  <c r="N1261" i="12"/>
  <c r="F1258" i="12"/>
  <c r="K1258" i="12" s="1"/>
  <c r="F1259" i="12"/>
  <c r="K1259" i="12" s="1"/>
  <c r="G144" i="8"/>
  <c r="G130" i="8"/>
  <c r="N128" i="8"/>
  <c r="M130" i="8"/>
  <c r="M143" i="8" s="1"/>
  <c r="J130" i="8"/>
  <c r="I130" i="8"/>
  <c r="H130" i="8"/>
  <c r="F130" i="8"/>
  <c r="E130" i="8"/>
  <c r="B130" i="8"/>
  <c r="AA142" i="8"/>
  <c r="Z77" i="8"/>
  <c r="G137" i="8"/>
  <c r="G145" i="8" s="1"/>
  <c r="T1279" i="12"/>
  <c r="S1279" i="12"/>
  <c r="T1095" i="12"/>
  <c r="S1095" i="12"/>
  <c r="V70" i="8"/>
  <c r="AF70" i="8" s="1"/>
  <c r="F1251" i="12"/>
  <c r="K1251" i="12" s="1"/>
  <c r="F1250" i="12"/>
  <c r="K1250" i="12" s="1"/>
  <c r="W70" i="8"/>
  <c r="P1246" i="12"/>
  <c r="F1242" i="12"/>
  <c r="K1242" i="12" s="1"/>
  <c r="F1241" i="12"/>
  <c r="K1241" i="12" s="1"/>
  <c r="X70" i="8"/>
  <c r="F1229" i="12"/>
  <c r="K1229" i="12" s="1"/>
  <c r="N1227" i="12"/>
  <c r="C53" i="8"/>
  <c r="B53" i="8"/>
  <c r="E52" i="8"/>
  <c r="F52" i="8"/>
  <c r="H52" i="8"/>
  <c r="E35" i="8"/>
  <c r="F35" i="8"/>
  <c r="H35" i="8"/>
  <c r="F137" i="8"/>
  <c r="F1223" i="12"/>
  <c r="K1223" i="12" s="1"/>
  <c r="B295" i="8"/>
  <c r="B294" i="8"/>
  <c r="F144" i="8"/>
  <c r="F1221" i="12"/>
  <c r="K1221" i="12" s="1"/>
  <c r="W69" i="8"/>
  <c r="F437" i="21"/>
  <c r="F436" i="21"/>
  <c r="N436" i="21" s="1"/>
  <c r="F1219" i="12"/>
  <c r="K1219" i="12" s="1"/>
  <c r="F1214" i="12"/>
  <c r="K1214" i="12" s="1"/>
  <c r="B46" i="23"/>
  <c r="B45" i="23" s="1"/>
  <c r="F469" i="21"/>
  <c r="F1209" i="12"/>
  <c r="K1209" i="12" s="1"/>
  <c r="X69" i="8"/>
  <c r="N1192" i="12"/>
  <c r="F1190" i="12"/>
  <c r="K1190" i="12" s="1"/>
  <c r="S11" i="23"/>
  <c r="W68" i="8"/>
  <c r="F1188" i="12"/>
  <c r="K1188" i="12" s="1"/>
  <c r="V68" i="8"/>
  <c r="H1185" i="12"/>
  <c r="F1185" i="12"/>
  <c r="X68" i="8"/>
  <c r="E451" i="21"/>
  <c r="E469" i="21" s="1"/>
  <c r="E477" i="21" s="1"/>
  <c r="F1183" i="12"/>
  <c r="K1183" i="12" s="1"/>
  <c r="F1179" i="12"/>
  <c r="K1179" i="12" s="1"/>
  <c r="E455" i="21"/>
  <c r="N1166" i="12"/>
  <c r="F1164" i="12"/>
  <c r="K1164" i="12" s="1"/>
  <c r="B293" i="8"/>
  <c r="V67" i="8"/>
  <c r="D419" i="21"/>
  <c r="G1157" i="12"/>
  <c r="F1157" i="12"/>
  <c r="F1159" i="12"/>
  <c r="K1159" i="12" s="1"/>
  <c r="F1132" i="12"/>
  <c r="K1132" i="12" s="1"/>
  <c r="F1134" i="12"/>
  <c r="K1134" i="12" s="1"/>
  <c r="F1136" i="12"/>
  <c r="K1136" i="12" s="1"/>
  <c r="F1140" i="12"/>
  <c r="K1140" i="12" s="1"/>
  <c r="F1145" i="12"/>
  <c r="K1145" i="12" s="1"/>
  <c r="F1147" i="12"/>
  <c r="K1147" i="12" s="1"/>
  <c r="F1148" i="12"/>
  <c r="K1148" i="12" s="1"/>
  <c r="F1150" i="12"/>
  <c r="K1150" i="12" s="1"/>
  <c r="F1152" i="12"/>
  <c r="K1152" i="12" s="1"/>
  <c r="W67" i="8"/>
  <c r="X67" i="8"/>
  <c r="D126" i="8"/>
  <c r="D446" i="21"/>
  <c r="H1120" i="12"/>
  <c r="F1120" i="12"/>
  <c r="F1118" i="12"/>
  <c r="K1118" i="12" s="1"/>
  <c r="F1117" i="12"/>
  <c r="K1117" i="12" s="1"/>
  <c r="F1113" i="12"/>
  <c r="K1113" i="12" s="1"/>
  <c r="F1114" i="12"/>
  <c r="K1114" i="12" s="1"/>
  <c r="N1110" i="12"/>
  <c r="Y65" i="8"/>
  <c r="D451" i="21"/>
  <c r="D428" i="21"/>
  <c r="N428" i="21" s="1"/>
  <c r="F1109" i="12"/>
  <c r="K1109" i="12" s="1"/>
  <c r="F1108" i="12"/>
  <c r="K1108" i="12" s="1"/>
  <c r="F1099" i="12"/>
  <c r="K1099" i="12" s="1"/>
  <c r="P1100" i="12"/>
  <c r="P1102" i="12"/>
  <c r="B292" i="8"/>
  <c r="B291" i="8"/>
  <c r="C433" i="21"/>
  <c r="N433" i="21" s="1"/>
  <c r="C469" i="21"/>
  <c r="V66" i="8"/>
  <c r="W66" i="8"/>
  <c r="F1096" i="12"/>
  <c r="K1096" i="12" s="1"/>
  <c r="F1097" i="12"/>
  <c r="K1097" i="12" s="1"/>
  <c r="F1088" i="12"/>
  <c r="K1088" i="12" s="1"/>
  <c r="F1090" i="12"/>
  <c r="K1090" i="12" s="1"/>
  <c r="F1092" i="12"/>
  <c r="K1092" i="12" s="1"/>
  <c r="F1093" i="12"/>
  <c r="K1093" i="12" s="1"/>
  <c r="C126" i="8"/>
  <c r="P126" i="8" s="1"/>
  <c r="C137" i="8"/>
  <c r="C429" i="21"/>
  <c r="F1083" i="12"/>
  <c r="K1083" i="12" s="1"/>
  <c r="F1082" i="12"/>
  <c r="K1082" i="12" s="1"/>
  <c r="F1086" i="12"/>
  <c r="K1086" i="12" s="1"/>
  <c r="F1077" i="12"/>
  <c r="K1077" i="12" s="1"/>
  <c r="F1063" i="12"/>
  <c r="K1063" i="12" s="1"/>
  <c r="F1062" i="12"/>
  <c r="K1062" i="12" s="1"/>
  <c r="F1061" i="12"/>
  <c r="K1061" i="12" s="1"/>
  <c r="F1060" i="12"/>
  <c r="K1060" i="12" s="1"/>
  <c r="N1058" i="12"/>
  <c r="P1055" i="12"/>
  <c r="I25" i="13" s="1"/>
  <c r="F1054" i="12"/>
  <c r="K1054" i="12" s="1"/>
  <c r="F1052" i="12"/>
  <c r="K1052" i="12" s="1"/>
  <c r="E19" i="8"/>
  <c r="F19" i="8"/>
  <c r="H19" i="8"/>
  <c r="E34" i="8"/>
  <c r="F34" i="8"/>
  <c r="H34" i="8"/>
  <c r="H48" i="8"/>
  <c r="E48" i="8"/>
  <c r="F48" i="8"/>
  <c r="N466" i="21"/>
  <c r="N465" i="21"/>
  <c r="B137" i="8"/>
  <c r="B145" i="8" s="1"/>
  <c r="U65" i="8"/>
  <c r="W65" i="8"/>
  <c r="F1050" i="12"/>
  <c r="K1050" i="12" s="1"/>
  <c r="F1051" i="12"/>
  <c r="K1051" i="12" s="1"/>
  <c r="F1048" i="12"/>
  <c r="K1048" i="12" s="1"/>
  <c r="F80" i="20"/>
  <c r="J80" i="20"/>
  <c r="H1044" i="12"/>
  <c r="V65" i="8"/>
  <c r="F1044" i="12"/>
  <c r="H1039" i="12"/>
  <c r="F1040" i="12"/>
  <c r="K1040" i="12" s="1"/>
  <c r="B462" i="21"/>
  <c r="F1039" i="12"/>
  <c r="N1022" i="12"/>
  <c r="H1024" i="12"/>
  <c r="F1024" i="12"/>
  <c r="H1023" i="12"/>
  <c r="F1023" i="12"/>
  <c r="T1009" i="12"/>
  <c r="S1009" i="12"/>
  <c r="H1017" i="12"/>
  <c r="B451" i="21"/>
  <c r="B469" i="21" s="1"/>
  <c r="B455" i="21"/>
  <c r="W59" i="18"/>
  <c r="X59" i="18"/>
  <c r="W60" i="18"/>
  <c r="X60" i="18"/>
  <c r="W61" i="18"/>
  <c r="X61" i="18"/>
  <c r="W62" i="18"/>
  <c r="X62" i="18"/>
  <c r="W63" i="18"/>
  <c r="X63" i="18"/>
  <c r="W64" i="18"/>
  <c r="X64" i="18"/>
  <c r="W65" i="18"/>
  <c r="X65" i="18"/>
  <c r="W66" i="18"/>
  <c r="X66" i="18"/>
  <c r="T68" i="18"/>
  <c r="W57" i="18"/>
  <c r="X57" i="18"/>
  <c r="W58" i="18"/>
  <c r="X58" i="18"/>
  <c r="F1017" i="12"/>
  <c r="B552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N474" i="21"/>
  <c r="N473" i="21"/>
  <c r="N472" i="21"/>
  <c r="G469" i="21"/>
  <c r="N464" i="21"/>
  <c r="N463" i="21"/>
  <c r="N462" i="21"/>
  <c r="J469" i="21"/>
  <c r="N460" i="21"/>
  <c r="N459" i="21"/>
  <c r="N458" i="21"/>
  <c r="N457" i="21"/>
  <c r="N456" i="21"/>
  <c r="N454" i="21"/>
  <c r="N453" i="21"/>
  <c r="N452" i="21"/>
  <c r="N450" i="21"/>
  <c r="N449" i="21"/>
  <c r="N448" i="21"/>
  <c r="K443" i="21"/>
  <c r="J443" i="21"/>
  <c r="G443" i="21"/>
  <c r="F443" i="21"/>
  <c r="F477" i="21" s="1"/>
  <c r="E443" i="21"/>
  <c r="B443" i="21"/>
  <c r="H443" i="21"/>
  <c r="L443" i="21"/>
  <c r="M443" i="21"/>
  <c r="M477" i="21" s="1"/>
  <c r="I443" i="21"/>
  <c r="I477" i="21" s="1"/>
  <c r="N418" i="21"/>
  <c r="Y77" i="8"/>
  <c r="X77" i="8"/>
  <c r="M145" i="8"/>
  <c r="L145" i="8"/>
  <c r="I145" i="8"/>
  <c r="E145" i="8"/>
  <c r="D145" i="8"/>
  <c r="M144" i="8"/>
  <c r="L144" i="8"/>
  <c r="J144" i="8"/>
  <c r="I144" i="8"/>
  <c r="H144" i="8"/>
  <c r="E144" i="8"/>
  <c r="B144" i="8"/>
  <c r="P138" i="8"/>
  <c r="N138" i="8"/>
  <c r="J145" i="8"/>
  <c r="I139" i="8"/>
  <c r="I142" i="8" s="1"/>
  <c r="H139" i="8"/>
  <c r="F145" i="8"/>
  <c r="E139" i="8"/>
  <c r="D139" i="8"/>
  <c r="D141" i="8" s="1"/>
  <c r="C145" i="8"/>
  <c r="B139" i="8"/>
  <c r="B142" i="8" s="1"/>
  <c r="P136" i="8"/>
  <c r="N136" i="8"/>
  <c r="P135" i="8"/>
  <c r="N135" i="8"/>
  <c r="P134" i="8"/>
  <c r="N134" i="8"/>
  <c r="P133" i="8"/>
  <c r="N133" i="8"/>
  <c r="P127" i="8"/>
  <c r="N127" i="8"/>
  <c r="C130" i="8"/>
  <c r="B312" i="8"/>
  <c r="B313" i="8"/>
  <c r="B314" i="8"/>
  <c r="B347" i="8"/>
  <c r="F1013" i="12"/>
  <c r="K1013" i="12" s="1"/>
  <c r="M105" i="8"/>
  <c r="M117" i="8" s="1"/>
  <c r="J477" i="21"/>
  <c r="H143" i="8"/>
  <c r="E143" i="8"/>
  <c r="D142" i="8"/>
  <c r="B477" i="21"/>
  <c r="N461" i="21"/>
  <c r="H141" i="8"/>
  <c r="H142" i="8"/>
  <c r="E142" i="8"/>
  <c r="E141" i="8"/>
  <c r="D130" i="8"/>
  <c r="D143" i="8" s="1"/>
  <c r="F139" i="8"/>
  <c r="F142" i="8" s="1"/>
  <c r="J139" i="8"/>
  <c r="J143" i="8" s="1"/>
  <c r="N126" i="8"/>
  <c r="P128" i="8"/>
  <c r="B143" i="8"/>
  <c r="C139" i="8"/>
  <c r="C142" i="8" s="1"/>
  <c r="S15" i="23"/>
  <c r="S13" i="23"/>
  <c r="S28" i="23" s="1"/>
  <c r="S12" i="23"/>
  <c r="S5" i="23"/>
  <c r="J141" i="8"/>
  <c r="F143" i="8"/>
  <c r="F141" i="8"/>
  <c r="M113" i="8"/>
  <c r="M121" i="8" s="1"/>
  <c r="Y59" i="8"/>
  <c r="B120" i="8"/>
  <c r="M120" i="8"/>
  <c r="M103" i="8"/>
  <c r="U59" i="8"/>
  <c r="W59" i="8"/>
  <c r="F1003" i="12"/>
  <c r="K1003" i="12" s="1"/>
  <c r="B290" i="8"/>
  <c r="AM118" i="8"/>
  <c r="M115" i="8"/>
  <c r="M383" i="21"/>
  <c r="M403" i="21" s="1"/>
  <c r="F990" i="12"/>
  <c r="K990" i="12" s="1"/>
  <c r="F989" i="12"/>
  <c r="K989" i="12" s="1"/>
  <c r="F988" i="12"/>
  <c r="K988" i="12" s="1"/>
  <c r="M392" i="21"/>
  <c r="F981" i="12"/>
  <c r="K981" i="12" s="1"/>
  <c r="B346" i="8"/>
  <c r="B289" i="8"/>
  <c r="L120" i="8"/>
  <c r="L113" i="8"/>
  <c r="L121" i="8" s="1"/>
  <c r="N400" i="21"/>
  <c r="N401" i="21"/>
  <c r="W58" i="8"/>
  <c r="F978" i="12"/>
  <c r="K978" i="12" s="1"/>
  <c r="L373" i="21"/>
  <c r="U58" i="8"/>
  <c r="U60" i="8" s="1"/>
  <c r="F974" i="12"/>
  <c r="K974" i="12" s="1"/>
  <c r="L103" i="8"/>
  <c r="L396" i="21"/>
  <c r="I403" i="21"/>
  <c r="F966" i="12"/>
  <c r="K966" i="12" s="1"/>
  <c r="F965" i="12"/>
  <c r="K965" i="12" s="1"/>
  <c r="L366" i="21"/>
  <c r="L383" i="21"/>
  <c r="L403" i="21" s="1"/>
  <c r="F952" i="12"/>
  <c r="K952" i="12" s="1"/>
  <c r="F946" i="12"/>
  <c r="K946" i="12" s="1"/>
  <c r="F951" i="12"/>
  <c r="K951" i="12" s="1"/>
  <c r="F944" i="12"/>
  <c r="K944" i="12" s="1"/>
  <c r="F943" i="12"/>
  <c r="K943" i="12" s="1"/>
  <c r="W57" i="8"/>
  <c r="F942" i="12"/>
  <c r="K942" i="12" s="1"/>
  <c r="F940" i="12"/>
  <c r="K940" i="12" s="1"/>
  <c r="V48" i="8"/>
  <c r="W48" i="8"/>
  <c r="X48" i="8"/>
  <c r="AF48" i="8" s="1"/>
  <c r="Y48" i="8"/>
  <c r="V49" i="8"/>
  <c r="W49" i="8"/>
  <c r="X49" i="8"/>
  <c r="Y49" i="8"/>
  <c r="V50" i="8"/>
  <c r="W50" i="8"/>
  <c r="Y50" i="8"/>
  <c r="Y60" i="8" s="1"/>
  <c r="V51" i="8"/>
  <c r="W51" i="8"/>
  <c r="W52" i="8"/>
  <c r="AF52" i="8" s="1"/>
  <c r="W53" i="8"/>
  <c r="AF53" i="8" s="1"/>
  <c r="W54" i="8"/>
  <c r="AF54" i="8" s="1"/>
  <c r="V55" i="8"/>
  <c r="W55" i="8"/>
  <c r="AF55" i="8" s="1"/>
  <c r="V56" i="8"/>
  <c r="AF56" i="8" s="1"/>
  <c r="W56" i="8"/>
  <c r="V57" i="8"/>
  <c r="H38" i="8"/>
  <c r="E38" i="8"/>
  <c r="F38" i="8"/>
  <c r="E32" i="8"/>
  <c r="F32" i="8"/>
  <c r="H32" i="8"/>
  <c r="E22" i="8"/>
  <c r="F22" i="8"/>
  <c r="H22" i="8"/>
  <c r="E23" i="8"/>
  <c r="F23" i="8"/>
  <c r="H23" i="8"/>
  <c r="E24" i="8"/>
  <c r="F24" i="8"/>
  <c r="H24" i="8"/>
  <c r="E25" i="8"/>
  <c r="F25" i="8"/>
  <c r="H25" i="8"/>
  <c r="E26" i="8"/>
  <c r="F26" i="8"/>
  <c r="H26" i="8"/>
  <c r="E27" i="8"/>
  <c r="F27" i="8"/>
  <c r="H27" i="8"/>
  <c r="E28" i="8"/>
  <c r="F28" i="8"/>
  <c r="H28" i="8"/>
  <c r="E29" i="8"/>
  <c r="F29" i="8"/>
  <c r="H29" i="8"/>
  <c r="E30" i="8"/>
  <c r="F30" i="8"/>
  <c r="H30" i="8"/>
  <c r="E31" i="8"/>
  <c r="F31" i="8"/>
  <c r="H31" i="8"/>
  <c r="E33" i="8"/>
  <c r="F33" i="8"/>
  <c r="H33" i="8"/>
  <c r="E36" i="8"/>
  <c r="F36" i="8"/>
  <c r="H36" i="8"/>
  <c r="E37" i="8"/>
  <c r="F37" i="8"/>
  <c r="H37" i="8"/>
  <c r="E39" i="8"/>
  <c r="F39" i="8"/>
  <c r="H39" i="8"/>
  <c r="E40" i="8"/>
  <c r="F40" i="8"/>
  <c r="H40" i="8"/>
  <c r="E41" i="8"/>
  <c r="F41" i="8"/>
  <c r="H41" i="8"/>
  <c r="E42" i="8"/>
  <c r="F42" i="8"/>
  <c r="H42" i="8"/>
  <c r="E43" i="8"/>
  <c r="F43" i="8"/>
  <c r="H43" i="8"/>
  <c r="E44" i="8"/>
  <c r="F44" i="8"/>
  <c r="H44" i="8"/>
  <c r="E45" i="8"/>
  <c r="F45" i="8"/>
  <c r="H45" i="8"/>
  <c r="E46" i="8"/>
  <c r="F46" i="8"/>
  <c r="H46" i="8"/>
  <c r="E47" i="8"/>
  <c r="F47" i="8"/>
  <c r="H47" i="8"/>
  <c r="E49" i="8"/>
  <c r="F49" i="8"/>
  <c r="H49" i="8"/>
  <c r="E50" i="8"/>
  <c r="F50" i="8"/>
  <c r="H50" i="8"/>
  <c r="E51" i="8"/>
  <c r="F51" i="8"/>
  <c r="H51" i="8"/>
  <c r="AF51" i="8"/>
  <c r="B345" i="8"/>
  <c r="B288" i="8"/>
  <c r="K120" i="8"/>
  <c r="F938" i="12"/>
  <c r="K938" i="12" s="1"/>
  <c r="P92" i="8"/>
  <c r="P114" i="8"/>
  <c r="K113" i="8"/>
  <c r="K121" i="8"/>
  <c r="F937" i="12"/>
  <c r="K937" i="12" s="1"/>
  <c r="F936" i="12"/>
  <c r="K936" i="12" s="1"/>
  <c r="F933" i="12"/>
  <c r="K933" i="12" s="1"/>
  <c r="K103" i="8"/>
  <c r="F931" i="12"/>
  <c r="H931" i="12"/>
  <c r="F932" i="12"/>
  <c r="K932" i="12" s="1"/>
  <c r="K403" i="21"/>
  <c r="F929" i="12"/>
  <c r="K929" i="12" s="1"/>
  <c r="F928" i="12"/>
  <c r="K928" i="12" s="1"/>
  <c r="F926" i="12"/>
  <c r="K926" i="12" s="1"/>
  <c r="F925" i="12"/>
  <c r="K925" i="12" s="1"/>
  <c r="H923" i="12"/>
  <c r="F923" i="12"/>
  <c r="F914" i="12"/>
  <c r="K914" i="12" s="1"/>
  <c r="N402" i="21"/>
  <c r="F913" i="12"/>
  <c r="K913" i="12" s="1"/>
  <c r="F912" i="12"/>
  <c r="K912" i="12" s="1"/>
  <c r="F911" i="12"/>
  <c r="K911" i="12" s="1"/>
  <c r="F910" i="12"/>
  <c r="K910" i="12" s="1"/>
  <c r="F909" i="12"/>
  <c r="K909" i="12" s="1"/>
  <c r="F905" i="12"/>
  <c r="K905" i="12" s="1"/>
  <c r="F906" i="12"/>
  <c r="K906" i="12" s="1"/>
  <c r="N111" i="8"/>
  <c r="N389" i="21"/>
  <c r="N388" i="21"/>
  <c r="N386" i="21"/>
  <c r="N385" i="21"/>
  <c r="N384" i="21"/>
  <c r="N383" i="21"/>
  <c r="F900" i="12"/>
  <c r="K900" i="12" s="1"/>
  <c r="F899" i="12"/>
  <c r="K899" i="12" s="1"/>
  <c r="F898" i="12"/>
  <c r="K898" i="12" s="1"/>
  <c r="F897" i="12"/>
  <c r="K897" i="12" s="1"/>
  <c r="B344" i="8"/>
  <c r="B287" i="8"/>
  <c r="F891" i="12"/>
  <c r="K891" i="12" s="1"/>
  <c r="F889" i="12"/>
  <c r="K889" i="12" s="1"/>
  <c r="J103" i="8"/>
  <c r="J106" i="8"/>
  <c r="J120" i="8"/>
  <c r="J113" i="8"/>
  <c r="J121" i="8" s="1"/>
  <c r="J398" i="21"/>
  <c r="F884" i="12"/>
  <c r="K884" i="12" s="1"/>
  <c r="F883" i="12"/>
  <c r="K883" i="12" s="1"/>
  <c r="F882" i="12"/>
  <c r="K882" i="12" s="1"/>
  <c r="H869" i="12"/>
  <c r="F873" i="12"/>
  <c r="K873" i="12" s="1"/>
  <c r="F871" i="12"/>
  <c r="K871" i="12" s="1"/>
  <c r="F869" i="12"/>
  <c r="B343" i="8"/>
  <c r="B286" i="8"/>
  <c r="X132" i="8"/>
  <c r="F829" i="12"/>
  <c r="K829" i="12" s="1"/>
  <c r="I113" i="8"/>
  <c r="I121" i="8" s="1"/>
  <c r="I356" i="21"/>
  <c r="L856" i="12"/>
  <c r="F861" i="12"/>
  <c r="K861" i="12" s="1"/>
  <c r="F864" i="12"/>
  <c r="K864" i="12" s="1"/>
  <c r="F855" i="12"/>
  <c r="K855" i="12" s="1"/>
  <c r="H835" i="12"/>
  <c r="H846" i="12"/>
  <c r="F853" i="12"/>
  <c r="K853" i="12" s="1"/>
  <c r="T800" i="12"/>
  <c r="U875" i="12"/>
  <c r="T875" i="12"/>
  <c r="F846" i="12"/>
  <c r="C380" i="21"/>
  <c r="B380" i="21"/>
  <c r="M358" i="21"/>
  <c r="I373" i="21"/>
  <c r="F843" i="12"/>
  <c r="K843" i="12" s="1"/>
  <c r="F77" i="20"/>
  <c r="J77" i="20"/>
  <c r="I409" i="21"/>
  <c r="H409" i="21"/>
  <c r="J403" i="21"/>
  <c r="H403" i="21"/>
  <c r="F835" i="12"/>
  <c r="F832" i="12"/>
  <c r="K832" i="12" s="1"/>
  <c r="F830" i="12"/>
  <c r="K830" i="12" s="1"/>
  <c r="H113" i="8"/>
  <c r="H121" i="8" s="1"/>
  <c r="B342" i="8"/>
  <c r="B285" i="8"/>
  <c r="H105" i="8"/>
  <c r="F825" i="12"/>
  <c r="K825" i="12" s="1"/>
  <c r="O824" i="12"/>
  <c r="F820" i="12"/>
  <c r="K820" i="12" s="1"/>
  <c r="F821" i="12"/>
  <c r="K821" i="12" s="1"/>
  <c r="F822" i="12"/>
  <c r="K822" i="12" s="1"/>
  <c r="F817" i="12"/>
  <c r="K817" i="12" s="1"/>
  <c r="F813" i="12"/>
  <c r="K813" i="12" s="1"/>
  <c r="G105" i="8"/>
  <c r="F804" i="12"/>
  <c r="K804" i="12" s="1"/>
  <c r="M613" i="21"/>
  <c r="L613" i="21"/>
  <c r="K613" i="21"/>
  <c r="J613" i="21"/>
  <c r="I613" i="21"/>
  <c r="H613" i="21"/>
  <c r="G613" i="21"/>
  <c r="F613" i="21"/>
  <c r="E613" i="21"/>
  <c r="N613" i="21" s="1"/>
  <c r="D613" i="21"/>
  <c r="C613" i="21"/>
  <c r="B613" i="21"/>
  <c r="M602" i="21"/>
  <c r="L602" i="21"/>
  <c r="K602" i="21"/>
  <c r="J602" i="21"/>
  <c r="I602" i="21"/>
  <c r="H602" i="21"/>
  <c r="G602" i="21"/>
  <c r="F602" i="21"/>
  <c r="E602" i="21"/>
  <c r="D602" i="21"/>
  <c r="C602" i="21"/>
  <c r="M601" i="21"/>
  <c r="L601" i="21"/>
  <c r="K601" i="21"/>
  <c r="J601" i="21"/>
  <c r="I601" i="21"/>
  <c r="H601" i="21"/>
  <c r="G601" i="21"/>
  <c r="F601" i="21"/>
  <c r="E601" i="21"/>
  <c r="D601" i="21"/>
  <c r="N601" i="21" s="1"/>
  <c r="C601" i="21"/>
  <c r="B602" i="21"/>
  <c r="B601" i="21"/>
  <c r="M600" i="21"/>
  <c r="L600" i="21"/>
  <c r="K600" i="21"/>
  <c r="J600" i="21"/>
  <c r="I600" i="21"/>
  <c r="H600" i="21"/>
  <c r="G600" i="21"/>
  <c r="F600" i="21"/>
  <c r="E600" i="21"/>
  <c r="D600" i="21"/>
  <c r="C600" i="21"/>
  <c r="M599" i="21"/>
  <c r="L599" i="21"/>
  <c r="K599" i="21"/>
  <c r="J599" i="21"/>
  <c r="I599" i="21"/>
  <c r="H599" i="21"/>
  <c r="G599" i="21"/>
  <c r="F599" i="21"/>
  <c r="E599" i="21"/>
  <c r="D599" i="21"/>
  <c r="C599" i="21"/>
  <c r="M598" i="21"/>
  <c r="L598" i="21"/>
  <c r="K598" i="21"/>
  <c r="J598" i="21"/>
  <c r="I598" i="21"/>
  <c r="H598" i="21"/>
  <c r="G598" i="21"/>
  <c r="F598" i="21"/>
  <c r="E598" i="21"/>
  <c r="D598" i="21"/>
  <c r="C598" i="21"/>
  <c r="M597" i="21"/>
  <c r="L597" i="21"/>
  <c r="K597" i="21"/>
  <c r="J597" i="21"/>
  <c r="I597" i="21"/>
  <c r="H597" i="21"/>
  <c r="G597" i="21"/>
  <c r="F597" i="21"/>
  <c r="E597" i="21"/>
  <c r="D597" i="21"/>
  <c r="C597" i="21"/>
  <c r="M596" i="21"/>
  <c r="L596" i="21"/>
  <c r="K596" i="21"/>
  <c r="J596" i="21"/>
  <c r="I596" i="21"/>
  <c r="H596" i="21"/>
  <c r="G596" i="21"/>
  <c r="F596" i="21"/>
  <c r="E596" i="21"/>
  <c r="D596" i="21"/>
  <c r="C596" i="21"/>
  <c r="M595" i="21"/>
  <c r="L595" i="21"/>
  <c r="K595" i="21"/>
  <c r="J595" i="21"/>
  <c r="I595" i="21"/>
  <c r="H595" i="21"/>
  <c r="G595" i="21"/>
  <c r="F595" i="21"/>
  <c r="E595" i="21"/>
  <c r="D595" i="21"/>
  <c r="C595" i="21"/>
  <c r="M594" i="21"/>
  <c r="L594" i="21"/>
  <c r="K594" i="21"/>
  <c r="J594" i="21"/>
  <c r="I594" i="21"/>
  <c r="H594" i="21"/>
  <c r="G594" i="21"/>
  <c r="F594" i="21"/>
  <c r="E594" i="21"/>
  <c r="D594" i="21"/>
  <c r="C594" i="21"/>
  <c r="M593" i="21"/>
  <c r="L593" i="21"/>
  <c r="K593" i="21"/>
  <c r="J593" i="21"/>
  <c r="I593" i="21"/>
  <c r="H593" i="21"/>
  <c r="G593" i="21"/>
  <c r="E593" i="21"/>
  <c r="D593" i="21"/>
  <c r="C593" i="21"/>
  <c r="M592" i="21"/>
  <c r="L592" i="21"/>
  <c r="K592" i="21"/>
  <c r="J592" i="21"/>
  <c r="I592" i="21"/>
  <c r="H592" i="21"/>
  <c r="G592" i="21"/>
  <c r="F592" i="21"/>
  <c r="E592" i="21"/>
  <c r="D592" i="21"/>
  <c r="C592" i="21"/>
  <c r="M591" i="21"/>
  <c r="L591" i="21"/>
  <c r="K591" i="21"/>
  <c r="J591" i="21"/>
  <c r="I591" i="21"/>
  <c r="H591" i="21"/>
  <c r="G591" i="21"/>
  <c r="F591" i="21"/>
  <c r="E591" i="21"/>
  <c r="D591" i="21"/>
  <c r="C591" i="21"/>
  <c r="M590" i="21"/>
  <c r="L590" i="21"/>
  <c r="K590" i="21"/>
  <c r="J590" i="21"/>
  <c r="I590" i="21"/>
  <c r="H590" i="21"/>
  <c r="G590" i="21"/>
  <c r="F590" i="21"/>
  <c r="E590" i="21"/>
  <c r="C590" i="21"/>
  <c r="M589" i="21"/>
  <c r="L589" i="21"/>
  <c r="K589" i="21"/>
  <c r="J589" i="21"/>
  <c r="I589" i="21"/>
  <c r="H589" i="21"/>
  <c r="G589" i="21"/>
  <c r="F589" i="21"/>
  <c r="E589" i="21"/>
  <c r="D589" i="21"/>
  <c r="C589" i="21"/>
  <c r="M588" i="21"/>
  <c r="L588" i="21"/>
  <c r="K588" i="21"/>
  <c r="J588" i="21"/>
  <c r="I588" i="21"/>
  <c r="H588" i="21"/>
  <c r="G588" i="21"/>
  <c r="F588" i="21"/>
  <c r="E588" i="21"/>
  <c r="D588" i="21"/>
  <c r="C588" i="21"/>
  <c r="M587" i="21"/>
  <c r="L587" i="21"/>
  <c r="K587" i="21"/>
  <c r="J587" i="21"/>
  <c r="J610" i="21" s="1"/>
  <c r="I587" i="21"/>
  <c r="H587" i="21"/>
  <c r="G587" i="21"/>
  <c r="F587" i="21"/>
  <c r="E587" i="21"/>
  <c r="D587" i="21"/>
  <c r="C587" i="21"/>
  <c r="M586" i="21"/>
  <c r="M610" i="21" s="1"/>
  <c r="L586" i="21"/>
  <c r="K586" i="21"/>
  <c r="J586" i="21"/>
  <c r="I586" i="21"/>
  <c r="I610" i="21" s="1"/>
  <c r="H586" i="21"/>
  <c r="G586" i="21"/>
  <c r="F586" i="21"/>
  <c r="E586" i="21"/>
  <c r="D586" i="21"/>
  <c r="C586" i="21"/>
  <c r="M566" i="21"/>
  <c r="L566" i="21"/>
  <c r="K566" i="21"/>
  <c r="J566" i="21"/>
  <c r="I566" i="21"/>
  <c r="H566" i="21"/>
  <c r="G566" i="21"/>
  <c r="F566" i="21"/>
  <c r="E566" i="21"/>
  <c r="D566" i="21"/>
  <c r="C566" i="21"/>
  <c r="M565" i="21"/>
  <c r="L565" i="21"/>
  <c r="K565" i="21"/>
  <c r="J565" i="21"/>
  <c r="I565" i="21"/>
  <c r="H565" i="21"/>
  <c r="G565" i="21"/>
  <c r="F565" i="21"/>
  <c r="E565" i="21"/>
  <c r="D565" i="21"/>
  <c r="C565" i="21"/>
  <c r="M564" i="21"/>
  <c r="L564" i="21"/>
  <c r="K564" i="21"/>
  <c r="J564" i="21"/>
  <c r="I564" i="21"/>
  <c r="H564" i="21"/>
  <c r="G564" i="21"/>
  <c r="F564" i="21"/>
  <c r="E564" i="21"/>
  <c r="D564" i="21"/>
  <c r="C564" i="21"/>
  <c r="M563" i="21"/>
  <c r="K563" i="21"/>
  <c r="J563" i="21"/>
  <c r="I563" i="21"/>
  <c r="H563" i="21"/>
  <c r="G563" i="21"/>
  <c r="F563" i="21"/>
  <c r="E563" i="21"/>
  <c r="D563" i="21"/>
  <c r="C563" i="21"/>
  <c r="M562" i="21"/>
  <c r="L562" i="21"/>
  <c r="K562" i="21"/>
  <c r="J562" i="21"/>
  <c r="H562" i="21"/>
  <c r="G562" i="21"/>
  <c r="F562" i="21"/>
  <c r="E562" i="21"/>
  <c r="C562" i="21"/>
  <c r="M561" i="21"/>
  <c r="L561" i="21"/>
  <c r="K561" i="21"/>
  <c r="J561" i="21"/>
  <c r="I561" i="21"/>
  <c r="H561" i="21"/>
  <c r="G561" i="21"/>
  <c r="F561" i="21"/>
  <c r="E561" i="21"/>
  <c r="D561" i="21"/>
  <c r="C561" i="21"/>
  <c r="M560" i="21"/>
  <c r="L560" i="21"/>
  <c r="K560" i="21"/>
  <c r="J560" i="21"/>
  <c r="I560" i="21"/>
  <c r="H560" i="21"/>
  <c r="G560" i="21"/>
  <c r="F560" i="21"/>
  <c r="E560" i="21"/>
  <c r="D560" i="21"/>
  <c r="C560" i="21"/>
  <c r="M559" i="21"/>
  <c r="L559" i="21"/>
  <c r="K559" i="21"/>
  <c r="J559" i="21"/>
  <c r="I559" i="21"/>
  <c r="H559" i="21"/>
  <c r="G559" i="21"/>
  <c r="F559" i="21"/>
  <c r="E559" i="21"/>
  <c r="D559" i="21"/>
  <c r="C559" i="21"/>
  <c r="M558" i="21"/>
  <c r="L558" i="21"/>
  <c r="K558" i="21"/>
  <c r="J558" i="21"/>
  <c r="I558" i="21"/>
  <c r="H558" i="21"/>
  <c r="G558" i="21"/>
  <c r="F558" i="21"/>
  <c r="E558" i="21"/>
  <c r="D558" i="21"/>
  <c r="C558" i="21"/>
  <c r="M557" i="21"/>
  <c r="L557" i="21"/>
  <c r="K557" i="21"/>
  <c r="J557" i="21"/>
  <c r="I557" i="21"/>
  <c r="H557" i="21"/>
  <c r="G557" i="21"/>
  <c r="F557" i="21"/>
  <c r="E557" i="21"/>
  <c r="D557" i="21"/>
  <c r="C557" i="21"/>
  <c r="M556" i="21"/>
  <c r="L556" i="21"/>
  <c r="K556" i="21"/>
  <c r="J556" i="21"/>
  <c r="I556" i="21"/>
  <c r="H556" i="21"/>
  <c r="G556" i="21"/>
  <c r="F556" i="21"/>
  <c r="E556" i="21"/>
  <c r="D556" i="21"/>
  <c r="C556" i="21"/>
  <c r="L555" i="21"/>
  <c r="K555" i="21"/>
  <c r="J555" i="21"/>
  <c r="I555" i="21"/>
  <c r="H555" i="21"/>
  <c r="G555" i="21"/>
  <c r="F555" i="21"/>
  <c r="E555" i="21"/>
  <c r="D555" i="21"/>
  <c r="C555" i="21"/>
  <c r="M554" i="21"/>
  <c r="L554" i="21"/>
  <c r="K554" i="21"/>
  <c r="J554" i="21"/>
  <c r="I554" i="21"/>
  <c r="H554" i="21"/>
  <c r="G554" i="21"/>
  <c r="F554" i="21"/>
  <c r="E554" i="21"/>
  <c r="D554" i="21"/>
  <c r="C554" i="21"/>
  <c r="M553" i="21"/>
  <c r="L553" i="21"/>
  <c r="K553" i="21"/>
  <c r="J553" i="21"/>
  <c r="I553" i="21"/>
  <c r="H553" i="21"/>
  <c r="G553" i="21"/>
  <c r="F553" i="21"/>
  <c r="E553" i="21"/>
  <c r="C553" i="21"/>
  <c r="B553" i="21"/>
  <c r="M552" i="21"/>
  <c r="L552" i="21"/>
  <c r="K552" i="21"/>
  <c r="J552" i="21"/>
  <c r="I552" i="21"/>
  <c r="H552" i="21"/>
  <c r="G552" i="21"/>
  <c r="F552" i="21"/>
  <c r="E552" i="21"/>
  <c r="D552" i="21"/>
  <c r="C552" i="21"/>
  <c r="F800" i="12"/>
  <c r="K800" i="12" s="1"/>
  <c r="G403" i="21"/>
  <c r="E403" i="21"/>
  <c r="C403" i="21"/>
  <c r="N399" i="21"/>
  <c r="N398" i="21"/>
  <c r="N406" i="21"/>
  <c r="N407" i="21"/>
  <c r="N408" i="21"/>
  <c r="B409" i="21"/>
  <c r="C409" i="21"/>
  <c r="C411" i="21"/>
  <c r="D409" i="21"/>
  <c r="E409" i="21"/>
  <c r="F409" i="21"/>
  <c r="G409" i="21"/>
  <c r="J409" i="21"/>
  <c r="K409" i="21"/>
  <c r="L409" i="21"/>
  <c r="M409" i="21"/>
  <c r="F795" i="12"/>
  <c r="K795" i="12" s="1"/>
  <c r="H17" i="8"/>
  <c r="F17" i="8"/>
  <c r="E17" i="8"/>
  <c r="H18" i="8"/>
  <c r="F18" i="8"/>
  <c r="E18" i="8"/>
  <c r="H21" i="8"/>
  <c r="F21" i="8"/>
  <c r="E21" i="8"/>
  <c r="H14" i="8"/>
  <c r="H16" i="8"/>
  <c r="F16" i="8"/>
  <c r="E16" i="8"/>
  <c r="H15" i="8"/>
  <c r="F15" i="8"/>
  <c r="E15" i="8"/>
  <c r="H20" i="8"/>
  <c r="F20" i="8"/>
  <c r="E20" i="8"/>
  <c r="F794" i="12"/>
  <c r="K794" i="12" s="1"/>
  <c r="F792" i="12"/>
  <c r="K792" i="12" s="1"/>
  <c r="E14" i="8"/>
  <c r="F14" i="8"/>
  <c r="H374" i="21"/>
  <c r="H380" i="21"/>
  <c r="H411" i="21" s="1"/>
  <c r="S800" i="12"/>
  <c r="R21" i="22"/>
  <c r="R23" i="22"/>
  <c r="G113" i="8"/>
  <c r="G121" i="8" s="1"/>
  <c r="F789" i="12"/>
  <c r="K789" i="12" s="1"/>
  <c r="F784" i="12"/>
  <c r="K784" i="12" s="1"/>
  <c r="B341" i="8"/>
  <c r="B284" i="8"/>
  <c r="G380" i="21"/>
  <c r="G411" i="21" s="1"/>
  <c r="F783" i="12"/>
  <c r="K783" i="12" s="1"/>
  <c r="F779" i="12"/>
  <c r="K779" i="12" s="1"/>
  <c r="F780" i="12"/>
  <c r="K780" i="12" s="1"/>
  <c r="F773" i="12"/>
  <c r="K773" i="12" s="1"/>
  <c r="F763" i="12"/>
  <c r="K763" i="12" s="1"/>
  <c r="F764" i="12"/>
  <c r="K764" i="12" s="1"/>
  <c r="F756" i="12"/>
  <c r="K756" i="12" s="1"/>
  <c r="F759" i="12"/>
  <c r="K759" i="12" s="1"/>
  <c r="B340" i="8"/>
  <c r="F120" i="8"/>
  <c r="F753" i="12"/>
  <c r="K753" i="12" s="1"/>
  <c r="F752" i="12"/>
  <c r="K752" i="12" s="1"/>
  <c r="F113" i="8"/>
  <c r="F121" i="8" s="1"/>
  <c r="F370" i="21"/>
  <c r="F380" i="21" s="1"/>
  <c r="F373" i="21"/>
  <c r="N373" i="21" s="1"/>
  <c r="O742" i="12"/>
  <c r="F105" i="8"/>
  <c r="F115" i="8"/>
  <c r="F117" i="8" s="1"/>
  <c r="W56" i="18"/>
  <c r="W52" i="18"/>
  <c r="X52" i="18"/>
  <c r="W51" i="18"/>
  <c r="X51" i="18"/>
  <c r="W55" i="18"/>
  <c r="X55" i="18"/>
  <c r="W54" i="18"/>
  <c r="X54" i="18"/>
  <c r="W53" i="18"/>
  <c r="X53" i="18"/>
  <c r="W50" i="18"/>
  <c r="X50" i="18"/>
  <c r="W49" i="18"/>
  <c r="X49" i="18"/>
  <c r="X56" i="18"/>
  <c r="W68" i="18"/>
  <c r="X68" i="18"/>
  <c r="N5" i="18"/>
  <c r="AP5" i="18"/>
  <c r="AP12" i="18"/>
  <c r="B283" i="8"/>
  <c r="B83" i="20"/>
  <c r="F75" i="20"/>
  <c r="J75" i="20"/>
  <c r="N378" i="21"/>
  <c r="N377" i="21"/>
  <c r="F745" i="12"/>
  <c r="K745" i="12" s="1"/>
  <c r="F741" i="12"/>
  <c r="K741" i="12" s="1"/>
  <c r="M76" i="8"/>
  <c r="J76" i="8"/>
  <c r="H76" i="8"/>
  <c r="G76" i="8"/>
  <c r="F76" i="8"/>
  <c r="E76" i="8"/>
  <c r="D76" i="8"/>
  <c r="C76" i="8"/>
  <c r="F390" i="21"/>
  <c r="F736" i="12"/>
  <c r="K736" i="12" s="1"/>
  <c r="F735" i="12"/>
  <c r="K735" i="12" s="1"/>
  <c r="N390" i="21"/>
  <c r="F726" i="12"/>
  <c r="K726" i="12" s="1"/>
  <c r="F71" i="20"/>
  <c r="J71" i="20"/>
  <c r="F717" i="12"/>
  <c r="K717" i="12" s="1"/>
  <c r="F722" i="12"/>
  <c r="K722" i="12" s="1"/>
  <c r="F723" i="12"/>
  <c r="K723" i="12" s="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N376" i="21"/>
  <c r="F714" i="12"/>
  <c r="K714" i="12" s="1"/>
  <c r="E113" i="8"/>
  <c r="E121" i="8" s="1"/>
  <c r="F710" i="12"/>
  <c r="K710" i="12" s="1"/>
  <c r="E105" i="8"/>
  <c r="Z60" i="8"/>
  <c r="Z98" i="8" s="1"/>
  <c r="F708" i="12"/>
  <c r="K708" i="12" s="1"/>
  <c r="E380" i="21"/>
  <c r="E411" i="21" s="1"/>
  <c r="N379" i="21"/>
  <c r="N375" i="21"/>
  <c r="N397" i="21"/>
  <c r="N396" i="21"/>
  <c r="F702" i="12"/>
  <c r="K702" i="12" s="1"/>
  <c r="F701" i="12"/>
  <c r="K701" i="12" s="1"/>
  <c r="B339" i="8"/>
  <c r="B282" i="8"/>
  <c r="F692" i="12"/>
  <c r="K692" i="12" s="1"/>
  <c r="AK26" i="18"/>
  <c r="AP25" i="18"/>
  <c r="Z24" i="18"/>
  <c r="AA24" i="18"/>
  <c r="AP7" i="18"/>
  <c r="AC19" i="18"/>
  <c r="AC18" i="18"/>
  <c r="Z11" i="18"/>
  <c r="Z13" i="18"/>
  <c r="AA4" i="18"/>
  <c r="AA6" i="18"/>
  <c r="Z4" i="18"/>
  <c r="Z6" i="18"/>
  <c r="AL26" i="18"/>
  <c r="AN20" i="18"/>
  <c r="AM20" i="18"/>
  <c r="AL20" i="18"/>
  <c r="AK20" i="18"/>
  <c r="AJ20" i="18"/>
  <c r="AI20" i="18"/>
  <c r="AH20" i="18"/>
  <c r="AG20" i="18"/>
  <c r="AF20" i="18"/>
  <c r="AE20" i="18"/>
  <c r="AP19" i="18"/>
  <c r="AP18" i="18"/>
  <c r="AP14" i="18"/>
  <c r="AN13" i="18"/>
  <c r="AM13" i="18"/>
  <c r="AL13" i="18"/>
  <c r="AK13" i="18"/>
  <c r="AJ13" i="18"/>
  <c r="AN6" i="18"/>
  <c r="AM6" i="18"/>
  <c r="AL6" i="18"/>
  <c r="AK6" i="18"/>
  <c r="AJ6" i="18"/>
  <c r="AA11" i="18"/>
  <c r="AC11" i="18"/>
  <c r="AE24" i="18"/>
  <c r="AC24" i="18"/>
  <c r="AC4" i="18"/>
  <c r="AE4" i="18"/>
  <c r="AE11" i="18"/>
  <c r="AF11" i="18"/>
  <c r="AC7" i="18"/>
  <c r="AA13" i="18"/>
  <c r="AC14" i="18"/>
  <c r="AC20" i="18"/>
  <c r="AP20" i="18"/>
  <c r="AE13" i="18"/>
  <c r="N689" i="12"/>
  <c r="F691" i="12"/>
  <c r="K691" i="12" s="1"/>
  <c r="AF4" i="18"/>
  <c r="AE6" i="18"/>
  <c r="AF13" i="18"/>
  <c r="AG11" i="18"/>
  <c r="AE26" i="18"/>
  <c r="AF24" i="18"/>
  <c r="F687" i="12"/>
  <c r="K687" i="12" s="1"/>
  <c r="F688" i="12"/>
  <c r="K688" i="12" s="1"/>
  <c r="AG13" i="18"/>
  <c r="AH11" i="18"/>
  <c r="AF26" i="18"/>
  <c r="AP24" i="18"/>
  <c r="AP26" i="18"/>
  <c r="AF6" i="18"/>
  <c r="AG4" i="18"/>
  <c r="D113" i="8"/>
  <c r="D121" i="8" s="1"/>
  <c r="F682" i="12"/>
  <c r="K682" i="12" s="1"/>
  <c r="F681" i="12"/>
  <c r="K681" i="12" s="1"/>
  <c r="AI11" i="18"/>
  <c r="AH13" i="18"/>
  <c r="AG6" i="18"/>
  <c r="AH4" i="18"/>
  <c r="F678" i="12"/>
  <c r="K678" i="12" s="1"/>
  <c r="AI4" i="18"/>
  <c r="AH6" i="18"/>
  <c r="AP11" i="18"/>
  <c r="AP13" i="18"/>
  <c r="AI13" i="18"/>
  <c r="B338" i="8"/>
  <c r="B281" i="8"/>
  <c r="AP4" i="18"/>
  <c r="AI6" i="18"/>
  <c r="D120" i="8"/>
  <c r="D356" i="21"/>
  <c r="N356" i="21" s="1"/>
  <c r="D105" i="8"/>
  <c r="F675" i="12"/>
  <c r="K675" i="12" s="1"/>
  <c r="AP29" i="18"/>
  <c r="AP6" i="18"/>
  <c r="D387" i="21"/>
  <c r="N387" i="21" s="1"/>
  <c r="D103" i="8"/>
  <c r="D403" i="21"/>
  <c r="F666" i="12"/>
  <c r="K666" i="12" s="1"/>
  <c r="F669" i="12"/>
  <c r="K669" i="12" s="1"/>
  <c r="F670" i="12"/>
  <c r="K670" i="12" s="1"/>
  <c r="F672" i="12"/>
  <c r="K672" i="12" s="1"/>
  <c r="N655" i="12"/>
  <c r="F656" i="12"/>
  <c r="K656" i="12" s="1"/>
  <c r="F654" i="12"/>
  <c r="K654" i="12" s="1"/>
  <c r="F652" i="12"/>
  <c r="K652" i="12" s="1"/>
  <c r="F651" i="12"/>
  <c r="K651" i="12" s="1"/>
  <c r="F647" i="12"/>
  <c r="K647" i="12" s="1"/>
  <c r="F646" i="12"/>
  <c r="K646" i="12" s="1"/>
  <c r="F644" i="12"/>
  <c r="K644" i="12" s="1"/>
  <c r="P643" i="12"/>
  <c r="P642" i="12"/>
  <c r="B600" i="21"/>
  <c r="B599" i="21"/>
  <c r="N599" i="21" s="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D365" i="21"/>
  <c r="D562" i="21" s="1"/>
  <c r="B337" i="8"/>
  <c r="B336" i="8"/>
  <c r="C120" i="8"/>
  <c r="E98" i="8"/>
  <c r="F98" i="8"/>
  <c r="G98" i="8"/>
  <c r="C105" i="8"/>
  <c r="P105" i="8" s="1"/>
  <c r="F641" i="12"/>
  <c r="K641" i="12" s="1"/>
  <c r="C103" i="8"/>
  <c r="F637" i="12"/>
  <c r="K637" i="12" s="1"/>
  <c r="F638" i="12"/>
  <c r="K638" i="12" s="1"/>
  <c r="C113" i="8"/>
  <c r="C121" i="8" s="1"/>
  <c r="E633" i="12"/>
  <c r="F633" i="12" s="1"/>
  <c r="K633" i="12" s="1"/>
  <c r="F629" i="12"/>
  <c r="K629" i="12" s="1"/>
  <c r="F630" i="12"/>
  <c r="K630" i="12" s="1"/>
  <c r="F627" i="12"/>
  <c r="K627" i="12" s="1"/>
  <c r="C115" i="8"/>
  <c r="F625" i="12"/>
  <c r="K625" i="12" s="1"/>
  <c r="C117" i="8"/>
  <c r="L554" i="12"/>
  <c r="M83" i="20"/>
  <c r="V8" i="20"/>
  <c r="V7" i="20"/>
  <c r="V6" i="20"/>
  <c r="V5" i="20"/>
  <c r="V4" i="20"/>
  <c r="V3" i="20"/>
  <c r="F47" i="20"/>
  <c r="J47" i="20"/>
  <c r="F48" i="20"/>
  <c r="J48" i="20"/>
  <c r="V10" i="20"/>
  <c r="F622" i="12"/>
  <c r="K622" i="12" s="1"/>
  <c r="F621" i="12"/>
  <c r="K621" i="12" s="1"/>
  <c r="F620" i="12"/>
  <c r="K620" i="12" s="1"/>
  <c r="Q543" i="12"/>
  <c r="F610" i="12"/>
  <c r="K610" i="12" s="1"/>
  <c r="B280" i="8"/>
  <c r="F609" i="12"/>
  <c r="K609" i="12" s="1"/>
  <c r="F607" i="12"/>
  <c r="K607" i="12" s="1"/>
  <c r="S487" i="12"/>
  <c r="F601" i="12"/>
  <c r="K601" i="12" s="1"/>
  <c r="F598" i="12"/>
  <c r="K598" i="12" s="1"/>
  <c r="F597" i="12"/>
  <c r="K597" i="12" s="1"/>
  <c r="F596" i="12"/>
  <c r="K596" i="12" s="1"/>
  <c r="F595" i="12"/>
  <c r="K595" i="12" s="1"/>
  <c r="F593" i="12"/>
  <c r="K593" i="12" s="1"/>
  <c r="F592" i="12"/>
  <c r="K592" i="12" s="1"/>
  <c r="F591" i="12"/>
  <c r="K591" i="12" s="1"/>
  <c r="B598" i="21"/>
  <c r="N598" i="21" s="1"/>
  <c r="B597" i="21"/>
  <c r="B596" i="21"/>
  <c r="N596" i="21" s="1"/>
  <c r="B595" i="21"/>
  <c r="B593" i="21"/>
  <c r="B592" i="21"/>
  <c r="N592" i="21" s="1"/>
  <c r="B591" i="21"/>
  <c r="N591" i="21" s="1"/>
  <c r="B590" i="21"/>
  <c r="B589" i="21"/>
  <c r="B588" i="21"/>
  <c r="B587" i="21"/>
  <c r="N587" i="21" s="1"/>
  <c r="N332" i="21"/>
  <c r="N331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B586" i="21"/>
  <c r="B572" i="21"/>
  <c r="B571" i="21"/>
  <c r="B570" i="21"/>
  <c r="B569" i="21"/>
  <c r="B568" i="21"/>
  <c r="B567" i="21"/>
  <c r="B566" i="21"/>
  <c r="B565" i="21"/>
  <c r="B564" i="21"/>
  <c r="N564" i="21" s="1"/>
  <c r="B563" i="21"/>
  <c r="B562" i="21"/>
  <c r="B561" i="21"/>
  <c r="B560" i="21"/>
  <c r="N560" i="21" s="1"/>
  <c r="B559" i="21"/>
  <c r="B558" i="21"/>
  <c r="B557" i="21"/>
  <c r="B556" i="21"/>
  <c r="N556" i="21" s="1"/>
  <c r="B555" i="21"/>
  <c r="B554" i="21"/>
  <c r="F590" i="12"/>
  <c r="K590" i="12" s="1"/>
  <c r="F589" i="12"/>
  <c r="K589" i="12" s="1"/>
  <c r="B113" i="8"/>
  <c r="P113" i="8" s="1"/>
  <c r="F588" i="12"/>
  <c r="K588" i="12" s="1"/>
  <c r="F586" i="12"/>
  <c r="K586" i="12" s="1"/>
  <c r="N395" i="21"/>
  <c r="N394" i="21"/>
  <c r="F585" i="12"/>
  <c r="K585" i="12" s="1"/>
  <c r="F584" i="12"/>
  <c r="K584" i="12" s="1"/>
  <c r="F581" i="12"/>
  <c r="K581" i="12" s="1"/>
  <c r="F580" i="12"/>
  <c r="K580" i="12" s="1"/>
  <c r="F579" i="12"/>
  <c r="K579" i="12" s="1"/>
  <c r="B279" i="8"/>
  <c r="B391" i="21"/>
  <c r="B594" i="21" s="1"/>
  <c r="N594" i="21" s="1"/>
  <c r="F576" i="12"/>
  <c r="K576" i="12" s="1"/>
  <c r="F575" i="12"/>
  <c r="K575" i="12" s="1"/>
  <c r="F565" i="12"/>
  <c r="K565" i="12" s="1"/>
  <c r="F564" i="12"/>
  <c r="K564" i="12" s="1"/>
  <c r="F563" i="12"/>
  <c r="K563" i="12" s="1"/>
  <c r="F562" i="12"/>
  <c r="K562" i="12" s="1"/>
  <c r="F561" i="12"/>
  <c r="K561" i="12" s="1"/>
  <c r="I120" i="8"/>
  <c r="H120" i="8"/>
  <c r="G120" i="8"/>
  <c r="E120" i="8"/>
  <c r="P120" i="8"/>
  <c r="N114" i="8"/>
  <c r="K115" i="8"/>
  <c r="K118" i="8" s="1"/>
  <c r="P112" i="8"/>
  <c r="P111" i="8"/>
  <c r="P110" i="8"/>
  <c r="N110" i="8"/>
  <c r="P109" i="8"/>
  <c r="N109" i="8"/>
  <c r="K106" i="8"/>
  <c r="H106" i="8"/>
  <c r="G106" i="8"/>
  <c r="B106" i="8"/>
  <c r="P104" i="8"/>
  <c r="N104" i="8"/>
  <c r="D106" i="8"/>
  <c r="D119" i="8" s="1"/>
  <c r="B335" i="8"/>
  <c r="F118" i="8"/>
  <c r="M118" i="8"/>
  <c r="K117" i="8"/>
  <c r="N103" i="8"/>
  <c r="E106" i="8"/>
  <c r="I106" i="8"/>
  <c r="D115" i="8"/>
  <c r="D117" i="8" s="1"/>
  <c r="H115" i="8"/>
  <c r="F106" i="8"/>
  <c r="N112" i="8"/>
  <c r="C106" i="8"/>
  <c r="C119" i="8" s="1"/>
  <c r="AF59" i="8"/>
  <c r="H119" i="8"/>
  <c r="H117" i="8"/>
  <c r="H118" i="8"/>
  <c r="F556" i="12"/>
  <c r="K556" i="12" s="1"/>
  <c r="F555" i="12"/>
  <c r="K555" i="12" s="1"/>
  <c r="AA557" i="12"/>
  <c r="AD557" i="12"/>
  <c r="F533" i="12"/>
  <c r="F540" i="12"/>
  <c r="K540" i="12" s="1"/>
  <c r="F544" i="12"/>
  <c r="K544" i="12" s="1"/>
  <c r="F546" i="12"/>
  <c r="K546" i="12" s="1"/>
  <c r="F547" i="12"/>
  <c r="K547" i="12" s="1"/>
  <c r="N393" i="21"/>
  <c r="N392" i="21"/>
  <c r="K380" i="21"/>
  <c r="K411" i="21" s="1"/>
  <c r="J380" i="21"/>
  <c r="J411" i="21"/>
  <c r="N374" i="21"/>
  <c r="N372" i="21"/>
  <c r="N371" i="21"/>
  <c r="N370" i="21"/>
  <c r="N369" i="21"/>
  <c r="N368" i="21"/>
  <c r="N367" i="21"/>
  <c r="N366" i="21"/>
  <c r="I380" i="21"/>
  <c r="I411" i="21" s="1"/>
  <c r="N364" i="21"/>
  <c r="N363" i="21"/>
  <c r="N362" i="21"/>
  <c r="N361" i="21"/>
  <c r="N360" i="21"/>
  <c r="N359" i="21"/>
  <c r="N357" i="21"/>
  <c r="N355" i="21"/>
  <c r="M316" i="21"/>
  <c r="B50" i="18"/>
  <c r="E50" i="18"/>
  <c r="C51" i="18"/>
  <c r="D51" i="18"/>
  <c r="B51" i="18"/>
  <c r="M91" i="8"/>
  <c r="M81" i="8"/>
  <c r="M96" i="8" s="1"/>
  <c r="Y117" i="8"/>
  <c r="AF117" i="8" s="1"/>
  <c r="Y118" i="8"/>
  <c r="Y42" i="8"/>
  <c r="E51" i="18"/>
  <c r="C52" i="18"/>
  <c r="D52" i="18"/>
  <c r="B52" i="18"/>
  <c r="V42" i="8"/>
  <c r="AF42" i="8" s="1"/>
  <c r="AH42" i="8" s="1"/>
  <c r="B53" i="18"/>
  <c r="C53" i="18"/>
  <c r="D53" i="18"/>
  <c r="E52" i="18"/>
  <c r="F499" i="12"/>
  <c r="K499" i="12" s="1"/>
  <c r="F500" i="12"/>
  <c r="K500" i="12" s="1"/>
  <c r="F502" i="12"/>
  <c r="K502" i="12" s="1"/>
  <c r="F506" i="12"/>
  <c r="K506" i="12" s="1"/>
  <c r="F508" i="12"/>
  <c r="K508" i="12" s="1"/>
  <c r="F509" i="12"/>
  <c r="K509" i="12" s="1"/>
  <c r="F511" i="12"/>
  <c r="K511" i="12" s="1"/>
  <c r="F513" i="12"/>
  <c r="K513" i="12" s="1"/>
  <c r="F514" i="12"/>
  <c r="K514" i="12" s="1"/>
  <c r="F517" i="12"/>
  <c r="K517" i="12" s="1"/>
  <c r="F525" i="12"/>
  <c r="K525" i="12" s="1"/>
  <c r="F529" i="12"/>
  <c r="K529" i="12" s="1"/>
  <c r="F530" i="12"/>
  <c r="K530" i="12" s="1"/>
  <c r="F531" i="12"/>
  <c r="K531" i="12" s="1"/>
  <c r="F532" i="12"/>
  <c r="B54" i="18"/>
  <c r="C54" i="18"/>
  <c r="D54" i="18"/>
  <c r="E53" i="18"/>
  <c r="W42" i="8"/>
  <c r="X42" i="8"/>
  <c r="B55" i="18"/>
  <c r="C55" i="18"/>
  <c r="D55" i="18"/>
  <c r="E54" i="18"/>
  <c r="B278" i="8"/>
  <c r="B56" i="18"/>
  <c r="C56" i="18"/>
  <c r="D56" i="18"/>
  <c r="E55" i="18"/>
  <c r="F34" i="20"/>
  <c r="J34" i="20"/>
  <c r="B57" i="18"/>
  <c r="C57" i="18"/>
  <c r="D57" i="18"/>
  <c r="E56" i="18"/>
  <c r="L98" i="8"/>
  <c r="L83" i="8"/>
  <c r="L95" i="8" s="1"/>
  <c r="B58" i="18"/>
  <c r="C58" i="18"/>
  <c r="D58" i="18"/>
  <c r="E57" i="18"/>
  <c r="K98" i="8"/>
  <c r="J98" i="8"/>
  <c r="I98" i="8"/>
  <c r="H98" i="8"/>
  <c r="L91" i="8"/>
  <c r="B59" i="18"/>
  <c r="C59" i="18"/>
  <c r="D59" i="18"/>
  <c r="E58" i="18"/>
  <c r="W41" i="8"/>
  <c r="B60" i="18"/>
  <c r="C60" i="18"/>
  <c r="D60" i="18"/>
  <c r="E59" i="18"/>
  <c r="V41" i="8"/>
  <c r="B61" i="18"/>
  <c r="C61" i="18"/>
  <c r="D61" i="18"/>
  <c r="E60" i="18"/>
  <c r="X41" i="8"/>
  <c r="AF41" i="8" s="1"/>
  <c r="B62" i="18"/>
  <c r="C62" i="18"/>
  <c r="D62" i="18"/>
  <c r="E61" i="18"/>
  <c r="N282" i="21"/>
  <c r="M614" i="21"/>
  <c r="L614" i="21"/>
  <c r="L616" i="21" s="1"/>
  <c r="K614" i="21"/>
  <c r="K616" i="21" s="1"/>
  <c r="J614" i="21"/>
  <c r="J616" i="21" s="1"/>
  <c r="I614" i="21"/>
  <c r="H614" i="21"/>
  <c r="H616" i="21" s="1"/>
  <c r="G614" i="21"/>
  <c r="G616" i="21" s="1"/>
  <c r="F614" i="21"/>
  <c r="F616" i="21"/>
  <c r="E614" i="21"/>
  <c r="E616" i="21" s="1"/>
  <c r="D614" i="21"/>
  <c r="D616" i="21" s="1"/>
  <c r="C614" i="21"/>
  <c r="C616" i="21"/>
  <c r="B614" i="21"/>
  <c r="B616" i="21" s="1"/>
  <c r="M572" i="21"/>
  <c r="L572" i="21"/>
  <c r="K572" i="21"/>
  <c r="J572" i="21"/>
  <c r="I572" i="21"/>
  <c r="H572" i="21"/>
  <c r="G572" i="21"/>
  <c r="F572" i="21"/>
  <c r="E572" i="21"/>
  <c r="D572" i="21"/>
  <c r="C572" i="21"/>
  <c r="M571" i="21"/>
  <c r="L571" i="21"/>
  <c r="K571" i="21"/>
  <c r="J571" i="21"/>
  <c r="I571" i="21"/>
  <c r="H571" i="21"/>
  <c r="G571" i="21"/>
  <c r="F571" i="21"/>
  <c r="E571" i="21"/>
  <c r="D571" i="21"/>
  <c r="C571" i="21"/>
  <c r="M570" i="21"/>
  <c r="L570" i="21"/>
  <c r="K570" i="21"/>
  <c r="J570" i="21"/>
  <c r="H570" i="21"/>
  <c r="G570" i="21"/>
  <c r="E570" i="21"/>
  <c r="D570" i="21"/>
  <c r="C570" i="21"/>
  <c r="M569" i="21"/>
  <c r="L569" i="21"/>
  <c r="K569" i="21"/>
  <c r="J569" i="21"/>
  <c r="I569" i="21"/>
  <c r="H569" i="21"/>
  <c r="G569" i="21"/>
  <c r="F569" i="21"/>
  <c r="E569" i="21"/>
  <c r="D569" i="21"/>
  <c r="C569" i="21"/>
  <c r="M568" i="21"/>
  <c r="L568" i="21"/>
  <c r="K568" i="21"/>
  <c r="J568" i="21"/>
  <c r="I568" i="21"/>
  <c r="H568" i="21"/>
  <c r="G568" i="21"/>
  <c r="F568" i="21"/>
  <c r="E568" i="21"/>
  <c r="D568" i="21"/>
  <c r="C568" i="21"/>
  <c r="M567" i="21"/>
  <c r="L567" i="21"/>
  <c r="K567" i="21"/>
  <c r="J567" i="21"/>
  <c r="I567" i="21"/>
  <c r="H567" i="21"/>
  <c r="G567" i="21"/>
  <c r="F567" i="21"/>
  <c r="E567" i="21"/>
  <c r="D567" i="21"/>
  <c r="C567" i="21"/>
  <c r="N615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N52" i="21"/>
  <c r="N51" i="21"/>
  <c r="N50" i="21"/>
  <c r="N48" i="21"/>
  <c r="M47" i="21"/>
  <c r="L47" i="21"/>
  <c r="K47" i="21"/>
  <c r="J47" i="21"/>
  <c r="I47" i="21"/>
  <c r="H47" i="21"/>
  <c r="H55" i="21" s="1"/>
  <c r="G47" i="21"/>
  <c r="F47" i="21"/>
  <c r="E47" i="21"/>
  <c r="D47" i="21"/>
  <c r="D55" i="21" s="1"/>
  <c r="C47" i="21"/>
  <c r="B47" i="21"/>
  <c r="N46" i="21"/>
  <c r="N42" i="21"/>
  <c r="N41" i="21"/>
  <c r="N40" i="21"/>
  <c r="N39" i="21"/>
  <c r="N38" i="21"/>
  <c r="N37" i="21"/>
  <c r="N36" i="21"/>
  <c r="N35" i="21"/>
  <c r="N34" i="21"/>
  <c r="N33" i="21"/>
  <c r="N32" i="21"/>
  <c r="N31" i="21"/>
  <c r="N30" i="21"/>
  <c r="N28" i="21"/>
  <c r="M27" i="21"/>
  <c r="L27" i="21"/>
  <c r="K27" i="21"/>
  <c r="K55" i="21" s="1"/>
  <c r="J27" i="21"/>
  <c r="I27" i="21"/>
  <c r="H27" i="21"/>
  <c r="G27" i="21"/>
  <c r="F27" i="21"/>
  <c r="E27" i="21"/>
  <c r="D27" i="21"/>
  <c r="C27" i="21"/>
  <c r="B27" i="21"/>
  <c r="N26" i="21"/>
  <c r="N25" i="21"/>
  <c r="N24" i="21"/>
  <c r="N23" i="21"/>
  <c r="N22" i="21"/>
  <c r="N21" i="21"/>
  <c r="N20" i="21"/>
  <c r="N19" i="21"/>
  <c r="N18" i="21"/>
  <c r="N17" i="21"/>
  <c r="N16" i="21"/>
  <c r="N15" i="21"/>
  <c r="N14" i="21"/>
  <c r="N13" i="21"/>
  <c r="N12" i="21"/>
  <c r="N11" i="21"/>
  <c r="N10" i="21"/>
  <c r="N9" i="21"/>
  <c r="N8" i="21"/>
  <c r="N7" i="21"/>
  <c r="N6" i="21"/>
  <c r="N5" i="21"/>
  <c r="N4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N110" i="21"/>
  <c r="N109" i="21"/>
  <c r="N108" i="21"/>
  <c r="N106" i="21"/>
  <c r="M105" i="21"/>
  <c r="L105" i="21"/>
  <c r="K105" i="21"/>
  <c r="J105" i="21"/>
  <c r="J113" i="21" s="1"/>
  <c r="I105" i="21"/>
  <c r="H105" i="21"/>
  <c r="G105" i="21"/>
  <c r="F105" i="21"/>
  <c r="F113" i="21" s="1"/>
  <c r="E105" i="21"/>
  <c r="D105" i="21"/>
  <c r="C105" i="21"/>
  <c r="B105" i="21"/>
  <c r="N104" i="21"/>
  <c r="N100" i="21"/>
  <c r="N99" i="21"/>
  <c r="N98" i="21"/>
  <c r="N97" i="21"/>
  <c r="N96" i="21"/>
  <c r="N95" i="21"/>
  <c r="N94" i="21"/>
  <c r="N93" i="21"/>
  <c r="N92" i="21"/>
  <c r="N91" i="21"/>
  <c r="N90" i="21"/>
  <c r="N89" i="21"/>
  <c r="N88" i="21"/>
  <c r="N86" i="21"/>
  <c r="M85" i="21"/>
  <c r="L85" i="21"/>
  <c r="K85" i="21"/>
  <c r="J85" i="21"/>
  <c r="I85" i="21"/>
  <c r="I113" i="21" s="1"/>
  <c r="H85" i="21"/>
  <c r="G85" i="21"/>
  <c r="F85" i="21"/>
  <c r="E85" i="21"/>
  <c r="E113" i="21" s="1"/>
  <c r="D85" i="21"/>
  <c r="C85" i="21"/>
  <c r="B85" i="21"/>
  <c r="N84" i="21"/>
  <c r="N83" i="21"/>
  <c r="N82" i="21"/>
  <c r="N81" i="21"/>
  <c r="N80" i="21"/>
  <c r="N79" i="21"/>
  <c r="N78" i="21"/>
  <c r="N77" i="21"/>
  <c r="N76" i="21"/>
  <c r="N75" i="21"/>
  <c r="N74" i="21"/>
  <c r="N73" i="21"/>
  <c r="N72" i="21"/>
  <c r="N71" i="21"/>
  <c r="N70" i="21"/>
  <c r="N69" i="21"/>
  <c r="N68" i="21"/>
  <c r="N67" i="21"/>
  <c r="N66" i="21"/>
  <c r="N65" i="21"/>
  <c r="N64" i="21"/>
  <c r="N63" i="21"/>
  <c r="N62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N168" i="21"/>
  <c r="N167" i="21"/>
  <c r="N166" i="21"/>
  <c r="N164" i="21"/>
  <c r="M163" i="21"/>
  <c r="L163" i="21"/>
  <c r="K163" i="21"/>
  <c r="J163" i="21"/>
  <c r="I163" i="21"/>
  <c r="H163" i="21"/>
  <c r="G163" i="21"/>
  <c r="F163" i="21"/>
  <c r="E163" i="21"/>
  <c r="D163" i="21"/>
  <c r="D171" i="21" s="1"/>
  <c r="C163" i="21"/>
  <c r="B163" i="21"/>
  <c r="N162" i="21"/>
  <c r="N158" i="21"/>
  <c r="N157" i="21"/>
  <c r="N156" i="21"/>
  <c r="N155" i="21"/>
  <c r="N154" i="21"/>
  <c r="N153" i="21"/>
  <c r="N152" i="21"/>
  <c r="N151" i="21"/>
  <c r="N150" i="21"/>
  <c r="N149" i="21"/>
  <c r="N148" i="21"/>
  <c r="N147" i="21"/>
  <c r="N146" i="21"/>
  <c r="N144" i="21"/>
  <c r="M143" i="21"/>
  <c r="L143" i="21"/>
  <c r="K143" i="21"/>
  <c r="K171" i="21" s="1"/>
  <c r="J143" i="21"/>
  <c r="I143" i="21"/>
  <c r="H143" i="21"/>
  <c r="G143" i="21"/>
  <c r="F143" i="21"/>
  <c r="E143" i="21"/>
  <c r="D143" i="21"/>
  <c r="C143" i="21"/>
  <c r="B143" i="21"/>
  <c r="N142" i="21"/>
  <c r="N141" i="21"/>
  <c r="N140" i="21"/>
  <c r="N139" i="21"/>
  <c r="N138" i="21"/>
  <c r="N137" i="21"/>
  <c r="N136" i="21"/>
  <c r="N135" i="21"/>
  <c r="N134" i="21"/>
  <c r="N133" i="21"/>
  <c r="N132" i="21"/>
  <c r="N131" i="21"/>
  <c r="N130" i="21"/>
  <c r="N129" i="21"/>
  <c r="N128" i="21"/>
  <c r="N127" i="21"/>
  <c r="N126" i="21"/>
  <c r="N125" i="21"/>
  <c r="N124" i="21"/>
  <c r="N123" i="21"/>
  <c r="N122" i="21"/>
  <c r="N121" i="21"/>
  <c r="N120" i="21"/>
  <c r="B201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N226" i="21"/>
  <c r="N225" i="21"/>
  <c r="N224" i="21"/>
  <c r="N222" i="21"/>
  <c r="M221" i="21"/>
  <c r="L221" i="21"/>
  <c r="K221" i="21"/>
  <c r="J221" i="21"/>
  <c r="I221" i="21"/>
  <c r="H221" i="21"/>
  <c r="G221" i="21"/>
  <c r="G229" i="21" s="1"/>
  <c r="F221" i="21"/>
  <c r="E221" i="21"/>
  <c r="D221" i="21"/>
  <c r="C221" i="21"/>
  <c r="B221" i="21"/>
  <c r="N220" i="21"/>
  <c r="N216" i="21"/>
  <c r="N215" i="21"/>
  <c r="N214" i="21"/>
  <c r="N213" i="21"/>
  <c r="N212" i="21"/>
  <c r="N211" i="21"/>
  <c r="N210" i="21"/>
  <c r="N209" i="21"/>
  <c r="N208" i="21"/>
  <c r="N207" i="21"/>
  <c r="N206" i="21"/>
  <c r="N205" i="21"/>
  <c r="N204" i="21"/>
  <c r="N202" i="21"/>
  <c r="M201" i="21"/>
  <c r="L201" i="21"/>
  <c r="K201" i="21"/>
  <c r="J201" i="21"/>
  <c r="J229" i="21" s="1"/>
  <c r="I201" i="21"/>
  <c r="H201" i="21"/>
  <c r="H229" i="21" s="1"/>
  <c r="G201" i="21"/>
  <c r="E201" i="21"/>
  <c r="E229" i="21" s="1"/>
  <c r="D201" i="21"/>
  <c r="D229" i="21" s="1"/>
  <c r="C201" i="21"/>
  <c r="N200" i="21"/>
  <c r="N199" i="21"/>
  <c r="N198" i="21"/>
  <c r="N197" i="21"/>
  <c r="N196" i="21"/>
  <c r="F201" i="21"/>
  <c r="F229" i="21" s="1"/>
  <c r="N195" i="21"/>
  <c r="N194" i="21"/>
  <c r="N193" i="21"/>
  <c r="N192" i="21"/>
  <c r="N191" i="21"/>
  <c r="N190" i="21"/>
  <c r="N189" i="21"/>
  <c r="N188" i="21"/>
  <c r="N187" i="21"/>
  <c r="N186" i="21"/>
  <c r="N185" i="21"/>
  <c r="N184" i="21"/>
  <c r="N183" i="21"/>
  <c r="N182" i="21"/>
  <c r="N181" i="21"/>
  <c r="N180" i="21"/>
  <c r="N179" i="21"/>
  <c r="N178" i="21"/>
  <c r="N236" i="21"/>
  <c r="N237" i="21"/>
  <c r="N238" i="21"/>
  <c r="N239" i="21"/>
  <c r="N240" i="21"/>
  <c r="N241" i="21"/>
  <c r="K259" i="21"/>
  <c r="G259" i="21"/>
  <c r="G287" i="21" s="1"/>
  <c r="C259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M279" i="21"/>
  <c r="L279" i="21"/>
  <c r="K279" i="21"/>
  <c r="K287" i="21" s="1"/>
  <c r="J279" i="21"/>
  <c r="I279" i="21"/>
  <c r="H279" i="21"/>
  <c r="G279" i="21"/>
  <c r="F279" i="21"/>
  <c r="E279" i="21"/>
  <c r="D279" i="21"/>
  <c r="C279" i="21"/>
  <c r="C287" i="21" s="1"/>
  <c r="B279" i="21"/>
  <c r="N284" i="21"/>
  <c r="N283" i="21"/>
  <c r="N274" i="21"/>
  <c r="N273" i="21"/>
  <c r="N272" i="21"/>
  <c r="N271" i="21"/>
  <c r="N270" i="21"/>
  <c r="N269" i="21"/>
  <c r="N268" i="21"/>
  <c r="N267" i="21"/>
  <c r="N266" i="21"/>
  <c r="N265" i="21"/>
  <c r="N264" i="21"/>
  <c r="N263" i="21"/>
  <c r="N262" i="21"/>
  <c r="F254" i="21"/>
  <c r="N258" i="21"/>
  <c r="N257" i="21"/>
  <c r="N256" i="21"/>
  <c r="N255" i="21"/>
  <c r="N253" i="21"/>
  <c r="N252" i="21"/>
  <c r="N251" i="21"/>
  <c r="N250" i="21"/>
  <c r="N249" i="21"/>
  <c r="N248" i="21"/>
  <c r="N247" i="21"/>
  <c r="N246" i="21"/>
  <c r="N245" i="21"/>
  <c r="N244" i="21"/>
  <c r="N243" i="21"/>
  <c r="N2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L316" i="21"/>
  <c r="L344" i="21" s="1"/>
  <c r="K316" i="21"/>
  <c r="J316" i="21"/>
  <c r="H316" i="21"/>
  <c r="G316" i="21"/>
  <c r="E316" i="21"/>
  <c r="C316" i="21"/>
  <c r="B316" i="21"/>
  <c r="B344" i="21"/>
  <c r="N341" i="21"/>
  <c r="N314" i="21"/>
  <c r="N313" i="21"/>
  <c r="I312" i="21"/>
  <c r="I316" i="21" s="1"/>
  <c r="I344" i="21" s="1"/>
  <c r="F312" i="21"/>
  <c r="I304" i="21"/>
  <c r="I562" i="21"/>
  <c r="D295" i="21"/>
  <c r="N294" i="21"/>
  <c r="N296" i="21"/>
  <c r="N297" i="21"/>
  <c r="N298" i="21"/>
  <c r="N299" i="21"/>
  <c r="N300" i="21"/>
  <c r="N301" i="21"/>
  <c r="N302" i="21"/>
  <c r="N303" i="21"/>
  <c r="N305" i="21"/>
  <c r="N306" i="21"/>
  <c r="N307" i="21"/>
  <c r="N308" i="21"/>
  <c r="N309" i="21"/>
  <c r="N310" i="21"/>
  <c r="N311" i="21"/>
  <c r="N319" i="21"/>
  <c r="N320" i="21"/>
  <c r="N321" i="21"/>
  <c r="N322" i="21"/>
  <c r="N323" i="21"/>
  <c r="N324" i="21"/>
  <c r="N325" i="21"/>
  <c r="N326" i="21"/>
  <c r="N327" i="21"/>
  <c r="N328" i="21"/>
  <c r="N329" i="21"/>
  <c r="N330" i="21"/>
  <c r="N339" i="21"/>
  <c r="N340" i="21"/>
  <c r="N260" i="21"/>
  <c r="B63" i="18"/>
  <c r="C63" i="18"/>
  <c r="D63" i="18"/>
  <c r="E62" i="18"/>
  <c r="G610" i="21"/>
  <c r="L610" i="21"/>
  <c r="E610" i="21"/>
  <c r="N561" i="21"/>
  <c r="M171" i="21"/>
  <c r="C113" i="21"/>
  <c r="G113" i="21"/>
  <c r="K113" i="21"/>
  <c r="E55" i="21"/>
  <c r="I55" i="21"/>
  <c r="M55" i="21"/>
  <c r="H171" i="21"/>
  <c r="L171" i="21"/>
  <c r="L55" i="21"/>
  <c r="C344" i="21"/>
  <c r="H113" i="21"/>
  <c r="B113" i="21"/>
  <c r="G55" i="21"/>
  <c r="J344" i="21"/>
  <c r="L229" i="21"/>
  <c r="F55" i="21"/>
  <c r="B171" i="21"/>
  <c r="E171" i="21"/>
  <c r="I171" i="21"/>
  <c r="K229" i="21"/>
  <c r="C229" i="21"/>
  <c r="F259" i="21"/>
  <c r="F287" i="21" s="1"/>
  <c r="I259" i="21"/>
  <c r="I287" i="21" s="1"/>
  <c r="M259" i="21"/>
  <c r="M287" i="21" s="1"/>
  <c r="E259" i="21"/>
  <c r="E287" i="21"/>
  <c r="J259" i="21"/>
  <c r="J287" i="21" s="1"/>
  <c r="B259" i="21"/>
  <c r="B287" i="21" s="1"/>
  <c r="D259" i="21"/>
  <c r="D287" i="21" s="1"/>
  <c r="H259" i="21"/>
  <c r="L259" i="21"/>
  <c r="L287" i="21" s="1"/>
  <c r="G344" i="21"/>
  <c r="N254" i="21"/>
  <c r="E344" i="21"/>
  <c r="N304" i="21"/>
  <c r="F316" i="21"/>
  <c r="F344" i="21" s="1"/>
  <c r="D316" i="21"/>
  <c r="D344" i="21"/>
  <c r="F30" i="20"/>
  <c r="J30" i="20"/>
  <c r="B86" i="20"/>
  <c r="B64" i="18"/>
  <c r="C64" i="18"/>
  <c r="D64" i="18"/>
  <c r="E63" i="18"/>
  <c r="B65" i="18"/>
  <c r="C65" i="18"/>
  <c r="D65" i="18"/>
  <c r="E64" i="18"/>
  <c r="F486" i="12"/>
  <c r="K486" i="12" s="1"/>
  <c r="B66" i="18"/>
  <c r="C66" i="18"/>
  <c r="D66" i="18"/>
  <c r="E65" i="18"/>
  <c r="F483" i="12"/>
  <c r="K483" i="12" s="1"/>
  <c r="B67" i="18"/>
  <c r="C67" i="18"/>
  <c r="D67" i="18"/>
  <c r="E66" i="18"/>
  <c r="B334" i="8"/>
  <c r="K91" i="8"/>
  <c r="J91" i="8"/>
  <c r="C68" i="18"/>
  <c r="D68" i="18"/>
  <c r="B68" i="18"/>
  <c r="E67" i="18"/>
  <c r="Y20" i="18"/>
  <c r="X20" i="18"/>
  <c r="N14" i="18"/>
  <c r="Y13" i="18"/>
  <c r="X13" i="18"/>
  <c r="N7" i="18"/>
  <c r="Y6" i="18"/>
  <c r="X6" i="18"/>
  <c r="B69" i="18"/>
  <c r="C69" i="18"/>
  <c r="D69" i="18"/>
  <c r="E68" i="18"/>
  <c r="B277" i="8"/>
  <c r="C70" i="18"/>
  <c r="D70" i="18"/>
  <c r="B70" i="18"/>
  <c r="E69" i="18"/>
  <c r="W40" i="8"/>
  <c r="F479" i="12"/>
  <c r="K479" i="12" s="1"/>
  <c r="B71" i="18"/>
  <c r="C71" i="18"/>
  <c r="D71" i="18"/>
  <c r="E70" i="18"/>
  <c r="K84" i="8"/>
  <c r="V40" i="8"/>
  <c r="AF40" i="8" s="1"/>
  <c r="F478" i="12"/>
  <c r="K478" i="12" s="1"/>
  <c r="B72" i="18"/>
  <c r="C72" i="18"/>
  <c r="D72" i="18"/>
  <c r="E71" i="18"/>
  <c r="F476" i="12"/>
  <c r="K476" i="12" s="1"/>
  <c r="B73" i="18"/>
  <c r="C73" i="18"/>
  <c r="D73" i="18"/>
  <c r="E72" i="18"/>
  <c r="F475" i="12"/>
  <c r="K475" i="12" s="1"/>
  <c r="B74" i="18"/>
  <c r="C74" i="18"/>
  <c r="D74" i="18"/>
  <c r="E73" i="18"/>
  <c r="B333" i="8"/>
  <c r="B276" i="8"/>
  <c r="B75" i="18"/>
  <c r="C75" i="18"/>
  <c r="D75" i="18"/>
  <c r="E74" i="18"/>
  <c r="B71" i="8"/>
  <c r="F473" i="12"/>
  <c r="K473" i="12" s="1"/>
  <c r="F472" i="12"/>
  <c r="K472" i="12" s="1"/>
  <c r="B76" i="18"/>
  <c r="C76" i="18"/>
  <c r="D76" i="18"/>
  <c r="E75" i="18"/>
  <c r="B74" i="8"/>
  <c r="B73" i="8"/>
  <c r="F469" i="12"/>
  <c r="K469" i="12" s="1"/>
  <c r="B77" i="18"/>
  <c r="C77" i="18"/>
  <c r="D77" i="18"/>
  <c r="E76" i="18"/>
  <c r="F468" i="12"/>
  <c r="K468" i="12" s="1"/>
  <c r="F467" i="12"/>
  <c r="K467" i="12" s="1"/>
  <c r="B78" i="18"/>
  <c r="C78" i="18"/>
  <c r="D78" i="18"/>
  <c r="E77" i="18"/>
  <c r="O83" i="20"/>
  <c r="N83" i="20"/>
  <c r="L83" i="20"/>
  <c r="K83" i="20"/>
  <c r="I83" i="20"/>
  <c r="H83" i="20"/>
  <c r="G83" i="20"/>
  <c r="F24" i="20"/>
  <c r="J24" i="20"/>
  <c r="F25" i="20"/>
  <c r="J25" i="20"/>
  <c r="P3" i="20"/>
  <c r="F4" i="20"/>
  <c r="J4" i="20"/>
  <c r="F17" i="20"/>
  <c r="J17" i="20"/>
  <c r="F14" i="20"/>
  <c r="J14" i="20"/>
  <c r="F16" i="20"/>
  <c r="J16" i="20"/>
  <c r="F15" i="20"/>
  <c r="J15" i="20"/>
  <c r="F13" i="20"/>
  <c r="J13" i="20"/>
  <c r="B79" i="18"/>
  <c r="C79" i="18"/>
  <c r="D79" i="18"/>
  <c r="E78" i="18"/>
  <c r="J8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D83" i="20"/>
  <c r="B80" i="18"/>
  <c r="C80" i="18"/>
  <c r="D80" i="18"/>
  <c r="E79" i="18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F451" i="12"/>
  <c r="K451" i="12" s="1"/>
  <c r="F452" i="12"/>
  <c r="K452" i="12" s="1"/>
  <c r="F456" i="12"/>
  <c r="K456" i="12" s="1"/>
  <c r="F457" i="12"/>
  <c r="K457" i="12" s="1"/>
  <c r="K93" i="8"/>
  <c r="K96" i="8" s="1"/>
  <c r="B81" i="18"/>
  <c r="C81" i="18"/>
  <c r="D81" i="18"/>
  <c r="E80" i="18"/>
  <c r="B82" i="18"/>
  <c r="C82" i="18"/>
  <c r="D82" i="18"/>
  <c r="E81" i="18"/>
  <c r="J83" i="8"/>
  <c r="B83" i="18"/>
  <c r="C83" i="18"/>
  <c r="D83" i="18"/>
  <c r="E82" i="18"/>
  <c r="X39" i="8"/>
  <c r="B84" i="18"/>
  <c r="C84" i="18"/>
  <c r="D84" i="18"/>
  <c r="E83" i="18"/>
  <c r="P88" i="8"/>
  <c r="P87" i="8"/>
  <c r="B85" i="18"/>
  <c r="C85" i="18"/>
  <c r="D85" i="18"/>
  <c r="E84" i="18"/>
  <c r="W39" i="8"/>
  <c r="F447" i="12"/>
  <c r="K447" i="12" s="1"/>
  <c r="F446" i="12"/>
  <c r="K446" i="12" s="1"/>
  <c r="V39" i="8"/>
  <c r="F445" i="12"/>
  <c r="K445" i="12" s="1"/>
  <c r="B86" i="18"/>
  <c r="C86" i="18"/>
  <c r="D86" i="18"/>
  <c r="E85" i="18"/>
  <c r="AF39" i="8"/>
  <c r="B323" i="8"/>
  <c r="B320" i="8"/>
  <c r="B318" i="8"/>
  <c r="B317" i="8"/>
  <c r="B316" i="8"/>
  <c r="B315" i="8"/>
  <c r="B84" i="8"/>
  <c r="B62" i="8"/>
  <c r="B75" i="8" s="1"/>
  <c r="M93" i="8"/>
  <c r="L93" i="8"/>
  <c r="J93" i="8"/>
  <c r="G93" i="8"/>
  <c r="G96" i="8" s="1"/>
  <c r="E93" i="8"/>
  <c r="H84" i="8"/>
  <c r="G84" i="8"/>
  <c r="M71" i="8"/>
  <c r="J71" i="8"/>
  <c r="H71" i="8"/>
  <c r="H75" i="8" s="1"/>
  <c r="AL20" i="8" s="1"/>
  <c r="G71" i="8"/>
  <c r="G74" i="8"/>
  <c r="F71" i="8"/>
  <c r="E71" i="8"/>
  <c r="E73" i="8" s="1"/>
  <c r="D71" i="8"/>
  <c r="C71" i="8"/>
  <c r="P61" i="8"/>
  <c r="M62" i="8"/>
  <c r="K62" i="8"/>
  <c r="H62" i="8"/>
  <c r="G62" i="8"/>
  <c r="E62" i="8"/>
  <c r="E75" i="8" s="1"/>
  <c r="AL17" i="8" s="1"/>
  <c r="P70" i="8"/>
  <c r="N70" i="8"/>
  <c r="L69" i="8"/>
  <c r="N69" i="8" s="1"/>
  <c r="L68" i="8"/>
  <c r="L76" i="8"/>
  <c r="K68" i="8"/>
  <c r="K76" i="8" s="1"/>
  <c r="I68" i="8"/>
  <c r="N68" i="8" s="1"/>
  <c r="P67" i="8"/>
  <c r="N67" i="8"/>
  <c r="P66" i="8"/>
  <c r="N66" i="8"/>
  <c r="N71" i="8" s="1"/>
  <c r="B190" i="8" s="1"/>
  <c r="P65" i="8"/>
  <c r="N65" i="8"/>
  <c r="I60" i="8"/>
  <c r="P60" i="8" s="1"/>
  <c r="N61" i="8"/>
  <c r="N88" i="8"/>
  <c r="B87" i="18"/>
  <c r="C87" i="18"/>
  <c r="D87" i="18"/>
  <c r="E86" i="18"/>
  <c r="N60" i="8"/>
  <c r="B319" i="8"/>
  <c r="K71" i="8"/>
  <c r="B321" i="8"/>
  <c r="B322" i="8"/>
  <c r="M75" i="8"/>
  <c r="C73" i="8"/>
  <c r="G73" i="8"/>
  <c r="M74" i="8"/>
  <c r="M73" i="8"/>
  <c r="D73" i="8"/>
  <c r="H73" i="8"/>
  <c r="G75" i="8"/>
  <c r="F73" i="8"/>
  <c r="E74" i="8"/>
  <c r="J73" i="8"/>
  <c r="I71" i="8"/>
  <c r="I73" i="8" s="1"/>
  <c r="M95" i="8"/>
  <c r="L96" i="8"/>
  <c r="F443" i="12"/>
  <c r="K443" i="12" s="1"/>
  <c r="B88" i="18"/>
  <c r="C88" i="18"/>
  <c r="D88" i="18"/>
  <c r="E87" i="18"/>
  <c r="K75" i="8"/>
  <c r="K73" i="8"/>
  <c r="K74" i="8"/>
  <c r="B332" i="8"/>
  <c r="B331" i="8"/>
  <c r="B330" i="8"/>
  <c r="B329" i="8"/>
  <c r="B328" i="8"/>
  <c r="B327" i="8"/>
  <c r="B325" i="8"/>
  <c r="B324" i="8"/>
  <c r="B89" i="18"/>
  <c r="C89" i="18"/>
  <c r="D89" i="18"/>
  <c r="E88" i="18"/>
  <c r="F442" i="12"/>
  <c r="K442" i="12" s="1"/>
  <c r="F441" i="12"/>
  <c r="K441" i="12" s="1"/>
  <c r="B90" i="18"/>
  <c r="C90" i="18"/>
  <c r="D90" i="18"/>
  <c r="E89" i="18"/>
  <c r="J81" i="8"/>
  <c r="J96" i="8" s="1"/>
  <c r="B91" i="18"/>
  <c r="C91" i="18"/>
  <c r="D91" i="18"/>
  <c r="E90" i="18"/>
  <c r="J84" i="8"/>
  <c r="J97" i="8" s="1"/>
  <c r="AL39" i="8" s="1"/>
  <c r="F439" i="12"/>
  <c r="K439" i="12" s="1"/>
  <c r="B92" i="18"/>
  <c r="C92" i="18"/>
  <c r="D92" i="18"/>
  <c r="E91" i="18"/>
  <c r="B275" i="8"/>
  <c r="B93" i="18"/>
  <c r="C93" i="18"/>
  <c r="D93" i="18"/>
  <c r="E92" i="18"/>
  <c r="F429" i="12"/>
  <c r="K429" i="12" s="1"/>
  <c r="F428" i="12"/>
  <c r="K428" i="12" s="1"/>
  <c r="B94" i="18"/>
  <c r="C94" i="18"/>
  <c r="D94" i="18"/>
  <c r="E93" i="18"/>
  <c r="F426" i="12"/>
  <c r="K426" i="12" s="1"/>
  <c r="B95" i="18"/>
  <c r="C95" i="18"/>
  <c r="D95" i="18"/>
  <c r="E94" i="18"/>
  <c r="AC25" i="18"/>
  <c r="W26" i="18"/>
  <c r="W20" i="18"/>
  <c r="V20" i="18"/>
  <c r="W13" i="18"/>
  <c r="V13" i="18"/>
  <c r="W6" i="18"/>
  <c r="V6" i="18"/>
  <c r="U6" i="18"/>
  <c r="B96" i="18"/>
  <c r="C96" i="18"/>
  <c r="D96" i="18"/>
  <c r="E95" i="18"/>
  <c r="F424" i="12"/>
  <c r="K424" i="12" s="1"/>
  <c r="F423" i="12"/>
  <c r="K423" i="12" s="1"/>
  <c r="B97" i="18"/>
  <c r="C97" i="18"/>
  <c r="D97" i="18"/>
  <c r="E96" i="18"/>
  <c r="F421" i="12"/>
  <c r="K421" i="12" s="1"/>
  <c r="B98" i="18"/>
  <c r="C98" i="18"/>
  <c r="D98" i="18"/>
  <c r="E97" i="18"/>
  <c r="F418" i="12"/>
  <c r="K418" i="12" s="1"/>
  <c r="B99" i="18"/>
  <c r="C99" i="18"/>
  <c r="D99" i="18"/>
  <c r="E98" i="18"/>
  <c r="W38" i="8"/>
  <c r="B100" i="18"/>
  <c r="C100" i="18"/>
  <c r="D100" i="18"/>
  <c r="E99" i="18"/>
  <c r="X38" i="8"/>
  <c r="X43" i="8" s="1"/>
  <c r="F416" i="12"/>
  <c r="K416" i="12" s="1"/>
  <c r="B101" i="18"/>
  <c r="C101" i="18"/>
  <c r="D101" i="18"/>
  <c r="E100" i="18"/>
  <c r="I83" i="8"/>
  <c r="B102" i="18"/>
  <c r="C102" i="18"/>
  <c r="D102" i="18"/>
  <c r="E101" i="18"/>
  <c r="I91" i="8"/>
  <c r="I93" i="8" s="1"/>
  <c r="B103" i="18"/>
  <c r="C103" i="18"/>
  <c r="D103" i="18"/>
  <c r="E102" i="18"/>
  <c r="V38" i="8"/>
  <c r="B104" i="18"/>
  <c r="C104" i="18"/>
  <c r="D104" i="18"/>
  <c r="E103" i="18"/>
  <c r="F409" i="12"/>
  <c r="K409" i="12" s="1"/>
  <c r="I81" i="8"/>
  <c r="I84" i="8" s="1"/>
  <c r="F408" i="12"/>
  <c r="K408" i="12" s="1"/>
  <c r="B105" i="18"/>
  <c r="C105" i="18"/>
  <c r="D105" i="18"/>
  <c r="E104" i="18"/>
  <c r="F404" i="12"/>
  <c r="K404" i="12" s="1"/>
  <c r="B106" i="18"/>
  <c r="C106" i="18"/>
  <c r="D106" i="18"/>
  <c r="E105" i="18"/>
  <c r="F402" i="12"/>
  <c r="K402" i="12" s="1"/>
  <c r="B107" i="18"/>
  <c r="C107" i="18"/>
  <c r="D107" i="18"/>
  <c r="E106" i="18"/>
  <c r="P82" i="8"/>
  <c r="B108" i="18"/>
  <c r="C108" i="18"/>
  <c r="D108" i="18"/>
  <c r="E107" i="18"/>
  <c r="U38" i="8"/>
  <c r="AF38" i="8" s="1"/>
  <c r="E392" i="12"/>
  <c r="B109" i="18"/>
  <c r="C109" i="18"/>
  <c r="D109" i="18"/>
  <c r="E108" i="18"/>
  <c r="B110" i="18"/>
  <c r="C110" i="18"/>
  <c r="D110" i="18"/>
  <c r="E109" i="18"/>
  <c r="F390" i="12"/>
  <c r="K390" i="12" s="1"/>
  <c r="F389" i="12"/>
  <c r="K389" i="12" s="1"/>
  <c r="B111" i="18"/>
  <c r="C111" i="18"/>
  <c r="D111" i="18"/>
  <c r="E110" i="18"/>
  <c r="B274" i="8"/>
  <c r="B273" i="8"/>
  <c r="B272" i="8"/>
  <c r="B271" i="8"/>
  <c r="B270" i="8"/>
  <c r="B112" i="18"/>
  <c r="C112" i="18"/>
  <c r="D112" i="18"/>
  <c r="E111" i="18"/>
  <c r="F388" i="12"/>
  <c r="K388" i="12" s="1"/>
  <c r="F386" i="12"/>
  <c r="K386" i="12" s="1"/>
  <c r="F385" i="12"/>
  <c r="K385" i="12" s="1"/>
  <c r="B113" i="18"/>
  <c r="C113" i="18"/>
  <c r="D113" i="18"/>
  <c r="E112" i="18"/>
  <c r="H91" i="8"/>
  <c r="H93" i="8" s="1"/>
  <c r="H95" i="8" s="1"/>
  <c r="B114" i="18"/>
  <c r="C114" i="18"/>
  <c r="D114" i="18"/>
  <c r="E113" i="18"/>
  <c r="W37" i="8"/>
  <c r="F380" i="12"/>
  <c r="K380" i="12" s="1"/>
  <c r="B115" i="18"/>
  <c r="C115" i="18"/>
  <c r="D115" i="18"/>
  <c r="E114" i="18"/>
  <c r="F377" i="12"/>
  <c r="K377" i="12" s="1"/>
  <c r="B116" i="18"/>
  <c r="C116" i="18"/>
  <c r="D116" i="18"/>
  <c r="E115" i="18"/>
  <c r="B117" i="18"/>
  <c r="C117" i="18"/>
  <c r="D117" i="18"/>
  <c r="E116" i="18"/>
  <c r="U20" i="18"/>
  <c r="X37" i="8"/>
  <c r="Y37" i="8"/>
  <c r="Y43" i="8" s="1"/>
  <c r="B118" i="18"/>
  <c r="C118" i="18"/>
  <c r="D118" i="18"/>
  <c r="E117" i="18"/>
  <c r="F376" i="12"/>
  <c r="K376" i="12" s="1"/>
  <c r="B119" i="18"/>
  <c r="C119" i="18"/>
  <c r="D119" i="18"/>
  <c r="E118" i="18"/>
  <c r="F373" i="12"/>
  <c r="K373" i="12" s="1"/>
  <c r="F372" i="12"/>
  <c r="K372" i="12" s="1"/>
  <c r="B120" i="18"/>
  <c r="C120" i="18"/>
  <c r="D120" i="18"/>
  <c r="E119" i="18"/>
  <c r="B121" i="18"/>
  <c r="C121" i="18"/>
  <c r="D121" i="18"/>
  <c r="E120" i="18"/>
  <c r="B122" i="18"/>
  <c r="C122" i="18"/>
  <c r="D122" i="18"/>
  <c r="E121" i="18"/>
  <c r="F365" i="12"/>
  <c r="K365" i="12" s="1"/>
  <c r="F364" i="12"/>
  <c r="K364" i="12" s="1"/>
  <c r="B123" i="18"/>
  <c r="C123" i="18"/>
  <c r="D123" i="18"/>
  <c r="E122" i="18"/>
  <c r="V37" i="8"/>
  <c r="F361" i="12"/>
  <c r="K361" i="12" s="1"/>
  <c r="F360" i="12"/>
  <c r="K360" i="12" s="1"/>
  <c r="B124" i="18"/>
  <c r="C124" i="18"/>
  <c r="D124" i="18"/>
  <c r="E123" i="18"/>
  <c r="F358" i="12"/>
  <c r="K358" i="12" s="1"/>
  <c r="B125" i="18"/>
  <c r="C125" i="18"/>
  <c r="D125" i="18"/>
  <c r="E124" i="18"/>
  <c r="V36" i="8"/>
  <c r="W36" i="8"/>
  <c r="B126" i="18"/>
  <c r="C126" i="18"/>
  <c r="D126" i="18"/>
  <c r="E125" i="18"/>
  <c r="F351" i="12"/>
  <c r="K351" i="12" s="1"/>
  <c r="B127" i="18"/>
  <c r="C127" i="18"/>
  <c r="D127" i="18"/>
  <c r="E126" i="18"/>
  <c r="F350" i="12"/>
  <c r="K350" i="12" s="1"/>
  <c r="B128" i="18"/>
  <c r="C128" i="18"/>
  <c r="D128" i="18"/>
  <c r="E127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351" i="18"/>
  <c r="A352" i="18"/>
  <c r="A353" i="18"/>
  <c r="B129" i="18"/>
  <c r="C129" i="18"/>
  <c r="D129" i="18"/>
  <c r="E128" i="18"/>
  <c r="F347" i="12"/>
  <c r="K347" i="12" s="1"/>
  <c r="N12" i="18"/>
  <c r="X35" i="8"/>
  <c r="X16" i="8"/>
  <c r="X15" i="8"/>
  <c r="AF15" i="8" s="1"/>
  <c r="AH15" i="8" s="1"/>
  <c r="X8" i="8"/>
  <c r="X7" i="8"/>
  <c r="X9" i="8" s="1"/>
  <c r="X5" i="8"/>
  <c r="B130" i="18"/>
  <c r="C130" i="18"/>
  <c r="D130" i="18"/>
  <c r="E129" i="18"/>
  <c r="AC26" i="18"/>
  <c r="N25" i="18"/>
  <c r="AR25" i="18"/>
  <c r="N24" i="18"/>
  <c r="X26" i="8"/>
  <c r="C26" i="18"/>
  <c r="Q26" i="18"/>
  <c r="I26" i="18"/>
  <c r="N19" i="18"/>
  <c r="N20" i="18"/>
  <c r="T20" i="18"/>
  <c r="S20" i="18"/>
  <c r="R20" i="18"/>
  <c r="Q20" i="18"/>
  <c r="P20" i="18"/>
  <c r="M20" i="18"/>
  <c r="L20" i="18"/>
  <c r="K20" i="18"/>
  <c r="J20" i="18"/>
  <c r="I20" i="18"/>
  <c r="H20" i="18"/>
  <c r="G20" i="18"/>
  <c r="B131" i="18"/>
  <c r="C131" i="18"/>
  <c r="D131" i="18"/>
  <c r="E130" i="18"/>
  <c r="N26" i="18"/>
  <c r="R14" i="18"/>
  <c r="P14" i="18"/>
  <c r="K14" i="18"/>
  <c r="N11" i="18"/>
  <c r="N13" i="18"/>
  <c r="N4" i="18"/>
  <c r="M13" i="18"/>
  <c r="L13" i="18"/>
  <c r="K13" i="18"/>
  <c r="J13" i="18"/>
  <c r="I13" i="18"/>
  <c r="H13" i="18"/>
  <c r="M6" i="18"/>
  <c r="L6" i="18"/>
  <c r="K6" i="18"/>
  <c r="J6" i="18"/>
  <c r="I6" i="18"/>
  <c r="H6" i="18"/>
  <c r="U13" i="18"/>
  <c r="T13" i="18"/>
  <c r="S13" i="18"/>
  <c r="R12" i="18"/>
  <c r="R13" i="18"/>
  <c r="Q12" i="18"/>
  <c r="Q13" i="18"/>
  <c r="P12" i="18"/>
  <c r="T6" i="18"/>
  <c r="S6" i="18"/>
  <c r="Q6" i="18"/>
  <c r="P6" i="18"/>
  <c r="R5" i="18"/>
  <c r="AC5" i="18"/>
  <c r="G6" i="18"/>
  <c r="F6" i="18"/>
  <c r="E6" i="18"/>
  <c r="D6" i="18"/>
  <c r="B6" i="18"/>
  <c r="C6" i="18"/>
  <c r="AR5" i="18"/>
  <c r="AC6" i="18"/>
  <c r="P13" i="18"/>
  <c r="AC12" i="18"/>
  <c r="B132" i="18"/>
  <c r="C132" i="18"/>
  <c r="D132" i="18"/>
  <c r="E131" i="18"/>
  <c r="R6" i="18"/>
  <c r="N6" i="18"/>
  <c r="AC13" i="18"/>
  <c r="AR12" i="18"/>
  <c r="AP30" i="18"/>
  <c r="AP32" i="18"/>
  <c r="B133" i="18"/>
  <c r="C133" i="18"/>
  <c r="E132" i="18"/>
  <c r="D133" i="18"/>
  <c r="F345" i="12"/>
  <c r="K345" i="12" s="1"/>
  <c r="B134" i="18"/>
  <c r="C134" i="18"/>
  <c r="D134" i="18"/>
  <c r="E133" i="18"/>
  <c r="F339" i="12"/>
  <c r="K339" i="12" s="1"/>
  <c r="B135" i="18"/>
  <c r="C135" i="18"/>
  <c r="D135" i="18"/>
  <c r="E134" i="18"/>
  <c r="F338" i="12"/>
  <c r="K338" i="12" s="1"/>
  <c r="B136" i="18"/>
  <c r="C136" i="18"/>
  <c r="D136" i="18"/>
  <c r="E135" i="18"/>
  <c r="F335" i="12"/>
  <c r="K335" i="12" s="1"/>
  <c r="B137" i="18"/>
  <c r="C137" i="18"/>
  <c r="E136" i="18"/>
  <c r="D137" i="18"/>
  <c r="F333" i="12"/>
  <c r="K333" i="12" s="1"/>
  <c r="F91" i="8"/>
  <c r="B138" i="18"/>
  <c r="C138" i="18"/>
  <c r="D138" i="18"/>
  <c r="E137" i="18"/>
  <c r="F93" i="8"/>
  <c r="AF20" i="8"/>
  <c r="AH20" i="8" s="1"/>
  <c r="AF17" i="8"/>
  <c r="B139" i="18"/>
  <c r="C139" i="18"/>
  <c r="D139" i="18"/>
  <c r="E138" i="18"/>
  <c r="F81" i="8"/>
  <c r="F84" i="8" s="1"/>
  <c r="F97" i="8" s="1"/>
  <c r="F83" i="8"/>
  <c r="F95" i="8" s="1"/>
  <c r="B140" i="18"/>
  <c r="C140" i="18"/>
  <c r="E139" i="18"/>
  <c r="D140" i="18"/>
  <c r="B141" i="18"/>
  <c r="C141" i="18"/>
  <c r="D141" i="18"/>
  <c r="E140" i="18"/>
  <c r="V35" i="8"/>
  <c r="F327" i="12"/>
  <c r="K327" i="12" s="1"/>
  <c r="F326" i="12"/>
  <c r="K326" i="12" s="1"/>
  <c r="B142" i="18"/>
  <c r="C142" i="18"/>
  <c r="D142" i="18"/>
  <c r="E141" i="18"/>
  <c r="W35" i="8"/>
  <c r="B143" i="18"/>
  <c r="C143" i="18"/>
  <c r="D143" i="18"/>
  <c r="E142" i="18"/>
  <c r="Y26" i="8"/>
  <c r="Y9" i="8"/>
  <c r="B144" i="18"/>
  <c r="C144" i="18"/>
  <c r="D144" i="18"/>
  <c r="E143" i="18"/>
  <c r="F322" i="12"/>
  <c r="K322" i="12" s="1"/>
  <c r="B145" i="18"/>
  <c r="C145" i="18"/>
  <c r="D145" i="18"/>
  <c r="E144" i="18"/>
  <c r="U35" i="8"/>
  <c r="AF35" i="8" s="1"/>
  <c r="B146" i="18"/>
  <c r="C146" i="18"/>
  <c r="D146" i="18"/>
  <c r="E145" i="18"/>
  <c r="B147" i="18"/>
  <c r="C147" i="18"/>
  <c r="D147" i="18"/>
  <c r="E146" i="18"/>
  <c r="F321" i="12"/>
  <c r="K321" i="12" s="1"/>
  <c r="B148" i="18"/>
  <c r="C148" i="18"/>
  <c r="D148" i="18"/>
  <c r="E147" i="18"/>
  <c r="F310" i="12"/>
  <c r="K310" i="12" s="1"/>
  <c r="B149" i="18"/>
  <c r="C149" i="18"/>
  <c r="D149" i="18"/>
  <c r="E148" i="18"/>
  <c r="F309" i="12"/>
  <c r="K309" i="12" s="1"/>
  <c r="F308" i="12"/>
  <c r="K308" i="12" s="1"/>
  <c r="B150" i="18"/>
  <c r="C150" i="18"/>
  <c r="D150" i="18"/>
  <c r="E149" i="18"/>
  <c r="W34" i="8"/>
  <c r="B151" i="18"/>
  <c r="C151" i="18"/>
  <c r="D151" i="18"/>
  <c r="E150" i="18"/>
  <c r="F307" i="12"/>
  <c r="K307" i="12" s="1"/>
  <c r="E83" i="8"/>
  <c r="E95" i="8" s="1"/>
  <c r="B152" i="18"/>
  <c r="C152" i="18"/>
  <c r="D152" i="18"/>
  <c r="E151" i="18"/>
  <c r="E81" i="8"/>
  <c r="E96" i="8" s="1"/>
  <c r="B153" i="18"/>
  <c r="C153" i="18"/>
  <c r="D153" i="18"/>
  <c r="E152" i="18"/>
  <c r="B154" i="18"/>
  <c r="C154" i="18"/>
  <c r="D154" i="18"/>
  <c r="E153" i="18"/>
  <c r="V34" i="8"/>
  <c r="AF34" i="8" s="1"/>
  <c r="AH34" i="8" s="1"/>
  <c r="F300" i="12"/>
  <c r="K300" i="12" s="1"/>
  <c r="B155" i="18"/>
  <c r="C155" i="18"/>
  <c r="D155" i="18"/>
  <c r="E154" i="18"/>
  <c r="F298" i="12"/>
  <c r="K298" i="12" s="1"/>
  <c r="B156" i="18"/>
  <c r="C156" i="18"/>
  <c r="D156" i="18"/>
  <c r="E155" i="18"/>
  <c r="D83" i="8"/>
  <c r="D84" i="8" s="1"/>
  <c r="D97" i="8" s="1"/>
  <c r="AL33" i="8" s="1"/>
  <c r="D90" i="8"/>
  <c r="D93" i="8" s="1"/>
  <c r="D89" i="8"/>
  <c r="B157" i="18"/>
  <c r="C157" i="18"/>
  <c r="D157" i="18"/>
  <c r="E156" i="18"/>
  <c r="P83" i="8"/>
  <c r="B269" i="8"/>
  <c r="W115" i="8"/>
  <c r="AF115" i="8" s="1"/>
  <c r="F292" i="12"/>
  <c r="K292" i="12" s="1"/>
  <c r="F291" i="12"/>
  <c r="K291" i="12" s="1"/>
  <c r="B158" i="18"/>
  <c r="C158" i="18"/>
  <c r="D158" i="18"/>
  <c r="E157" i="18"/>
  <c r="D81" i="8"/>
  <c r="V33" i="8"/>
  <c r="AF33" i="8" s="1"/>
  <c r="F290" i="12"/>
  <c r="K290" i="12" s="1"/>
  <c r="B159" i="18"/>
  <c r="C159" i="18"/>
  <c r="D159" i="18"/>
  <c r="E158" i="18"/>
  <c r="B160" i="18"/>
  <c r="C160" i="18"/>
  <c r="D160" i="18"/>
  <c r="E159" i="18"/>
  <c r="F288" i="12"/>
  <c r="K288" i="12" s="1"/>
  <c r="B161" i="18"/>
  <c r="C161" i="18"/>
  <c r="D161" i="18"/>
  <c r="E160" i="18"/>
  <c r="F284" i="12"/>
  <c r="K284" i="12" s="1"/>
  <c r="B162" i="18"/>
  <c r="C162" i="18"/>
  <c r="D162" i="18"/>
  <c r="E161" i="18"/>
  <c r="F282" i="12"/>
  <c r="K282" i="12" s="1"/>
  <c r="P283" i="12"/>
  <c r="B163" i="18"/>
  <c r="C163" i="18"/>
  <c r="D163" i="18"/>
  <c r="E162" i="18"/>
  <c r="F280" i="12"/>
  <c r="K280" i="12" s="1"/>
  <c r="B164" i="18"/>
  <c r="C164" i="18"/>
  <c r="D164" i="18"/>
  <c r="E163" i="18"/>
  <c r="P278" i="12"/>
  <c r="B165" i="18"/>
  <c r="C165" i="18"/>
  <c r="D165" i="18"/>
  <c r="E164" i="18"/>
  <c r="F277" i="12"/>
  <c r="K277" i="12" s="1"/>
  <c r="B166" i="18"/>
  <c r="C166" i="18"/>
  <c r="D166" i="18"/>
  <c r="E165" i="18"/>
  <c r="F276" i="12"/>
  <c r="K276" i="12" s="1"/>
  <c r="B167" i="18"/>
  <c r="C167" i="18"/>
  <c r="D167" i="18"/>
  <c r="E166" i="18"/>
  <c r="F273" i="12"/>
  <c r="K273" i="12" s="1"/>
  <c r="B168" i="18"/>
  <c r="C168" i="18"/>
  <c r="D168" i="18"/>
  <c r="E167" i="18"/>
  <c r="C81" i="8"/>
  <c r="P81" i="8" s="1"/>
  <c r="F272" i="12"/>
  <c r="K272" i="12" s="1"/>
  <c r="B169" i="18"/>
  <c r="C169" i="18"/>
  <c r="D169" i="18"/>
  <c r="E168" i="18"/>
  <c r="C84" i="8"/>
  <c r="W31" i="8"/>
  <c r="F270" i="12"/>
  <c r="K270" i="12" s="1"/>
  <c r="E169" i="18"/>
  <c r="C170" i="18"/>
  <c r="D170" i="18"/>
  <c r="B170" i="18"/>
  <c r="F268" i="12"/>
  <c r="K268" i="12" s="1"/>
  <c r="C89" i="8"/>
  <c r="C93" i="8" s="1"/>
  <c r="F263" i="12"/>
  <c r="K263" i="12" s="1"/>
  <c r="C171" i="18"/>
  <c r="D171" i="18"/>
  <c r="E170" i="18"/>
  <c r="B171" i="18"/>
  <c r="F262" i="12"/>
  <c r="K262" i="12" s="1"/>
  <c r="C172" i="18"/>
  <c r="D172" i="18"/>
  <c r="B172" i="18"/>
  <c r="E171" i="18"/>
  <c r="E172" i="18"/>
  <c r="B173" i="18"/>
  <c r="C173" i="18"/>
  <c r="D173" i="18"/>
  <c r="V31" i="8"/>
  <c r="F260" i="12"/>
  <c r="K260" i="12" s="1"/>
  <c r="C174" i="18"/>
  <c r="D174" i="18"/>
  <c r="B174" i="18"/>
  <c r="E173" i="18"/>
  <c r="AF31" i="8"/>
  <c r="F257" i="12"/>
  <c r="K257" i="12" s="1"/>
  <c r="F258" i="12"/>
  <c r="K258" i="12" s="1"/>
  <c r="W113" i="8"/>
  <c r="AF113" i="8" s="1"/>
  <c r="C175" i="18"/>
  <c r="D175" i="18"/>
  <c r="B175" i="18"/>
  <c r="E174" i="18"/>
  <c r="B176" i="18"/>
  <c r="C176" i="18"/>
  <c r="D176" i="18"/>
  <c r="E175" i="18"/>
  <c r="B89" i="8"/>
  <c r="B98" i="8" s="1"/>
  <c r="E176" i="18"/>
  <c r="C177" i="18"/>
  <c r="D177" i="18"/>
  <c r="B177" i="18"/>
  <c r="B93" i="8"/>
  <c r="B96" i="8" s="1"/>
  <c r="B267" i="8"/>
  <c r="N92" i="8"/>
  <c r="N87" i="8"/>
  <c r="N82" i="8"/>
  <c r="AE31" i="8"/>
  <c r="C178" i="18"/>
  <c r="D178" i="18"/>
  <c r="E177" i="18"/>
  <c r="B178" i="18"/>
  <c r="F253" i="12"/>
  <c r="K253" i="12" s="1"/>
  <c r="AF37" i="8"/>
  <c r="AH37" i="8" s="1"/>
  <c r="AF32" i="8"/>
  <c r="W110" i="8"/>
  <c r="AF110" i="8" s="1"/>
  <c r="B179" i="18"/>
  <c r="E178" i="18"/>
  <c r="C179" i="18"/>
  <c r="D179" i="18"/>
  <c r="AF36" i="8"/>
  <c r="B180" i="18"/>
  <c r="E179" i="18"/>
  <c r="C180" i="18"/>
  <c r="D180" i="18"/>
  <c r="AE26" i="8"/>
  <c r="AD25" i="8"/>
  <c r="AD26" i="8" s="1"/>
  <c r="B181" i="18"/>
  <c r="C181" i="18"/>
  <c r="D181" i="18"/>
  <c r="E180" i="18"/>
  <c r="W25" i="8"/>
  <c r="F246" i="12"/>
  <c r="K246" i="12" s="1"/>
  <c r="C182" i="18"/>
  <c r="D182" i="18"/>
  <c r="B182" i="18"/>
  <c r="E181" i="18"/>
  <c r="V25" i="8"/>
  <c r="AF25" i="8" s="1"/>
  <c r="F244" i="12"/>
  <c r="K244" i="12" s="1"/>
  <c r="B183" i="18"/>
  <c r="E182" i="18"/>
  <c r="C183" i="18"/>
  <c r="D183" i="18"/>
  <c r="F239" i="12"/>
  <c r="K239" i="12" s="1"/>
  <c r="F240" i="12"/>
  <c r="K240" i="12" s="1"/>
  <c r="B184" i="18"/>
  <c r="C184" i="18"/>
  <c r="D184" i="18"/>
  <c r="E183" i="18"/>
  <c r="F233" i="12"/>
  <c r="K233" i="12" s="1"/>
  <c r="F234" i="12"/>
  <c r="K234" i="12" s="1"/>
  <c r="F236" i="12"/>
  <c r="K236" i="12" s="1"/>
  <c r="B185" i="18"/>
  <c r="C185" i="18"/>
  <c r="D185" i="18"/>
  <c r="E184" i="18"/>
  <c r="V24" i="8"/>
  <c r="F228" i="12"/>
  <c r="K228" i="12" s="1"/>
  <c r="C186" i="18"/>
  <c r="D186" i="18"/>
  <c r="B186" i="18"/>
  <c r="E185" i="18"/>
  <c r="W24" i="8"/>
  <c r="F227" i="12"/>
  <c r="K227" i="12" s="1"/>
  <c r="F226" i="12"/>
  <c r="K226" i="12" s="1"/>
  <c r="B187" i="18"/>
  <c r="E186" i="18"/>
  <c r="C187" i="18"/>
  <c r="D187" i="18"/>
  <c r="F224" i="12"/>
  <c r="K224" i="12" s="1"/>
  <c r="B188" i="18"/>
  <c r="E187" i="18"/>
  <c r="C188" i="18"/>
  <c r="D188" i="18"/>
  <c r="L59" i="8"/>
  <c r="E188" i="18"/>
  <c r="B189" i="18"/>
  <c r="C189" i="18"/>
  <c r="D189" i="18"/>
  <c r="F220" i="12"/>
  <c r="K220" i="12" s="1"/>
  <c r="F219" i="12"/>
  <c r="K219" i="12" s="1"/>
  <c r="C190" i="18"/>
  <c r="D190" i="18"/>
  <c r="E189" i="18"/>
  <c r="B190" i="18"/>
  <c r="B191" i="18"/>
  <c r="E190" i="18"/>
  <c r="C191" i="18"/>
  <c r="D191" i="18"/>
  <c r="W23" i="8"/>
  <c r="V23" i="8"/>
  <c r="F217" i="12"/>
  <c r="K217" i="12" s="1"/>
  <c r="E191" i="18"/>
  <c r="C192" i="18"/>
  <c r="D192" i="18"/>
  <c r="B192" i="18"/>
  <c r="F214" i="12"/>
  <c r="K214" i="12" s="1"/>
  <c r="C193" i="18"/>
  <c r="D193" i="18"/>
  <c r="B193" i="18"/>
  <c r="E192" i="18"/>
  <c r="J59" i="8"/>
  <c r="J62" i="8" s="1"/>
  <c r="F212" i="12"/>
  <c r="K212" i="12" s="1"/>
  <c r="B194" i="18"/>
  <c r="C194" i="18"/>
  <c r="D194" i="18"/>
  <c r="E193" i="18"/>
  <c r="Q211" i="12"/>
  <c r="B195" i="18"/>
  <c r="E194" i="18"/>
  <c r="C195" i="18"/>
  <c r="D195" i="18"/>
  <c r="F209" i="12"/>
  <c r="K209" i="12" s="1"/>
  <c r="E195" i="18"/>
  <c r="B196" i="18"/>
  <c r="C196" i="18"/>
  <c r="D196" i="18"/>
  <c r="AB26" i="8"/>
  <c r="E196" i="18"/>
  <c r="B197" i="18"/>
  <c r="C197" i="18"/>
  <c r="D197" i="18"/>
  <c r="F207" i="12"/>
  <c r="K207" i="12" s="1"/>
  <c r="B198" i="18"/>
  <c r="E197" i="18"/>
  <c r="C198" i="18"/>
  <c r="D198" i="18"/>
  <c r="W22" i="8"/>
  <c r="F205" i="12"/>
  <c r="K205" i="12" s="1"/>
  <c r="B199" i="18"/>
  <c r="E198" i="18"/>
  <c r="C199" i="18"/>
  <c r="D199" i="18"/>
  <c r="F203" i="12"/>
  <c r="K203" i="12" s="1"/>
  <c r="E199" i="18"/>
  <c r="C200" i="18"/>
  <c r="D200" i="18"/>
  <c r="B200" i="18"/>
  <c r="I59" i="8"/>
  <c r="I62" i="8" s="1"/>
  <c r="E200" i="18"/>
  <c r="B201" i="18"/>
  <c r="C201" i="18"/>
  <c r="D201" i="18"/>
  <c r="C13" i="13"/>
  <c r="D13" i="13"/>
  <c r="E13" i="13"/>
  <c r="M13" i="13" s="1"/>
  <c r="E12" i="13"/>
  <c r="M12" i="13" s="1"/>
  <c r="E11" i="13"/>
  <c r="M11" i="13" s="1"/>
  <c r="E8" i="13"/>
  <c r="D8" i="13"/>
  <c r="D4" i="13"/>
  <c r="D10" i="13"/>
  <c r="E10" i="13"/>
  <c r="M10" i="13" s="1"/>
  <c r="E9" i="13"/>
  <c r="D9" i="13"/>
  <c r="C9" i="13"/>
  <c r="E29" i="13"/>
  <c r="M29" i="13" s="1"/>
  <c r="E4" i="13"/>
  <c r="C29" i="13"/>
  <c r="F29" i="13" s="1"/>
  <c r="J29" i="13"/>
  <c r="I29" i="13"/>
  <c r="H29" i="13"/>
  <c r="C4" i="13"/>
  <c r="C8" i="13"/>
  <c r="E7" i="13"/>
  <c r="D7" i="13"/>
  <c r="C7" i="13"/>
  <c r="E5" i="13"/>
  <c r="D5" i="13"/>
  <c r="C5" i="13"/>
  <c r="E3" i="13"/>
  <c r="D3" i="13"/>
  <c r="C3" i="13"/>
  <c r="K37" i="13"/>
  <c r="K38" i="13" s="1"/>
  <c r="J37" i="13"/>
  <c r="J38" i="13" s="1"/>
  <c r="L36" i="13"/>
  <c r="K36" i="13"/>
  <c r="J36" i="13"/>
  <c r="Q220" i="11"/>
  <c r="P220" i="11"/>
  <c r="O220" i="11"/>
  <c r="N220" i="11"/>
  <c r="M220" i="11"/>
  <c r="L220" i="11"/>
  <c r="K220" i="11"/>
  <c r="I220" i="11"/>
  <c r="H220" i="11"/>
  <c r="G220" i="11"/>
  <c r="D220" i="11"/>
  <c r="B220" i="11"/>
  <c r="K30" i="13"/>
  <c r="I6" i="13"/>
  <c r="H6" i="13"/>
  <c r="E6" i="13"/>
  <c r="M6" i="13"/>
  <c r="D6" i="13"/>
  <c r="C6" i="13"/>
  <c r="B202" i="18"/>
  <c r="E201" i="18"/>
  <c r="C202" i="18"/>
  <c r="D202" i="18"/>
  <c r="W21" i="8"/>
  <c r="F197" i="12"/>
  <c r="K197" i="12" s="1"/>
  <c r="B203" i="18"/>
  <c r="E202" i="18"/>
  <c r="C203" i="18"/>
  <c r="D203" i="18"/>
  <c r="C59" i="8"/>
  <c r="C74" i="8" s="1"/>
  <c r="D59" i="8"/>
  <c r="D62" i="8" s="1"/>
  <c r="D75" i="8" s="1"/>
  <c r="B204" i="18"/>
  <c r="E203" i="18"/>
  <c r="C204" i="18"/>
  <c r="D204" i="18"/>
  <c r="D74" i="8"/>
  <c r="C62" i="8"/>
  <c r="F192" i="12"/>
  <c r="K192" i="12" s="1"/>
  <c r="C75" i="8"/>
  <c r="C205" i="18"/>
  <c r="D205" i="18"/>
  <c r="E204" i="18"/>
  <c r="B205" i="18"/>
  <c r="AH32" i="8"/>
  <c r="F190" i="12"/>
  <c r="K190" i="12" s="1"/>
  <c r="B206" i="18"/>
  <c r="E205" i="18"/>
  <c r="C206" i="18"/>
  <c r="D206" i="18"/>
  <c r="C207" i="18"/>
  <c r="D207" i="18"/>
  <c r="B207" i="18"/>
  <c r="E206" i="18"/>
  <c r="F188" i="12"/>
  <c r="K188" i="12" s="1"/>
  <c r="E207" i="18"/>
  <c r="C208" i="18"/>
  <c r="D208" i="18"/>
  <c r="B208" i="18"/>
  <c r="F186" i="12"/>
  <c r="K186" i="12" s="1"/>
  <c r="F185" i="12"/>
  <c r="K185" i="12" s="1"/>
  <c r="C209" i="18"/>
  <c r="D209" i="18"/>
  <c r="B209" i="18"/>
  <c r="E208" i="18"/>
  <c r="F184" i="12"/>
  <c r="K184" i="12" s="1"/>
  <c r="B210" i="18"/>
  <c r="C210" i="18"/>
  <c r="D210" i="18"/>
  <c r="E209" i="18"/>
  <c r="P23" i="14"/>
  <c r="O23" i="14"/>
  <c r="N23" i="14"/>
  <c r="M23" i="14"/>
  <c r="L23" i="14"/>
  <c r="K23" i="14"/>
  <c r="H23" i="14"/>
  <c r="D23" i="14"/>
  <c r="B23" i="14"/>
  <c r="B211" i="18"/>
  <c r="E210" i="18"/>
  <c r="C211" i="18"/>
  <c r="D211" i="18"/>
  <c r="R23" i="14"/>
  <c r="S23" i="14"/>
  <c r="U19" i="8"/>
  <c r="U26" i="8" s="1"/>
  <c r="E211" i="18"/>
  <c r="C212" i="18"/>
  <c r="D212" i="18"/>
  <c r="B212" i="18"/>
  <c r="F59" i="8"/>
  <c r="F74" i="8" s="1"/>
  <c r="E212" i="18"/>
  <c r="B213" i="18"/>
  <c r="C213" i="18"/>
  <c r="D213" i="18"/>
  <c r="AF22" i="8"/>
  <c r="AF21" i="8"/>
  <c r="AC26" i="8"/>
  <c r="AC9" i="8"/>
  <c r="AB9" i="8"/>
  <c r="B214" i="18"/>
  <c r="C214" i="18"/>
  <c r="D214" i="18"/>
  <c r="E213" i="18"/>
  <c r="U9" i="8"/>
  <c r="V8" i="8"/>
  <c r="AF8" i="8"/>
  <c r="V7" i="8"/>
  <c r="AF7" i="8" s="1"/>
  <c r="V6" i="8"/>
  <c r="AF6" i="8"/>
  <c r="V5" i="8"/>
  <c r="AF5" i="8" s="1"/>
  <c r="V4" i="8"/>
  <c r="AF4" i="8" s="1"/>
  <c r="V3" i="8"/>
  <c r="V19" i="8"/>
  <c r="AF19" i="8" s="1"/>
  <c r="AH19" i="8" s="1"/>
  <c r="V18" i="8"/>
  <c r="V16" i="8"/>
  <c r="AF16" i="8" s="1"/>
  <c r="V15" i="8"/>
  <c r="V14" i="8"/>
  <c r="AF14" i="8" s="1"/>
  <c r="F173" i="12"/>
  <c r="K173" i="12" s="1"/>
  <c r="C215" i="18"/>
  <c r="D215" i="18"/>
  <c r="B215" i="18"/>
  <c r="E214" i="18"/>
  <c r="AF3" i="8"/>
  <c r="V9" i="8"/>
  <c r="AF18" i="8"/>
  <c r="F171" i="12"/>
  <c r="K171" i="12" s="1"/>
  <c r="E215" i="18"/>
  <c r="B216" i="18"/>
  <c r="C216" i="18"/>
  <c r="D216" i="18"/>
  <c r="F169" i="12"/>
  <c r="K169" i="12" s="1"/>
  <c r="F164" i="12"/>
  <c r="K164" i="12" s="1"/>
  <c r="B217" i="18"/>
  <c r="C217" i="18"/>
  <c r="D217" i="18"/>
  <c r="E216" i="18"/>
  <c r="F161" i="12"/>
  <c r="K161" i="12" s="1"/>
  <c r="B218" i="18"/>
  <c r="C218" i="18"/>
  <c r="D218" i="18"/>
  <c r="E217" i="18"/>
  <c r="F157" i="12"/>
  <c r="K157" i="12" s="1"/>
  <c r="C219" i="18"/>
  <c r="D219" i="18"/>
  <c r="B219" i="18"/>
  <c r="E218" i="18"/>
  <c r="F152" i="12"/>
  <c r="K152" i="12" s="1"/>
  <c r="C220" i="18"/>
  <c r="D220" i="18"/>
  <c r="B220" i="18"/>
  <c r="E219" i="18"/>
  <c r="F148" i="12"/>
  <c r="K148" i="12" s="1"/>
  <c r="F145" i="12"/>
  <c r="K145" i="12"/>
  <c r="B221" i="18"/>
  <c r="C221" i="18"/>
  <c r="D221" i="18"/>
  <c r="E220" i="18"/>
  <c r="B222" i="18"/>
  <c r="C222" i="18"/>
  <c r="D222" i="18"/>
  <c r="E221" i="18"/>
  <c r="J28" i="13"/>
  <c r="I28" i="13"/>
  <c r="H28" i="13"/>
  <c r="E28" i="13"/>
  <c r="M28" i="13" s="1"/>
  <c r="D28" i="13"/>
  <c r="C28" i="13"/>
  <c r="F139" i="12"/>
  <c r="K139" i="12" s="1"/>
  <c r="F138" i="12"/>
  <c r="K138" i="12" s="1"/>
  <c r="F133" i="12"/>
  <c r="K133" i="12" s="1"/>
  <c r="F131" i="12"/>
  <c r="K131" i="12" s="1"/>
  <c r="C223" i="18"/>
  <c r="D223" i="18"/>
  <c r="B223" i="18"/>
  <c r="E222" i="18"/>
  <c r="F129" i="12"/>
  <c r="K129" i="12" s="1"/>
  <c r="B224" i="18"/>
  <c r="C224" i="18"/>
  <c r="D224" i="18"/>
  <c r="E223" i="18"/>
  <c r="F128" i="12"/>
  <c r="K128" i="12" s="1"/>
  <c r="B225" i="18"/>
  <c r="C225" i="18"/>
  <c r="D225" i="18"/>
  <c r="E224" i="18"/>
  <c r="F123" i="12"/>
  <c r="K123" i="12" s="1"/>
  <c r="B226" i="18"/>
  <c r="C226" i="18"/>
  <c r="D226" i="18"/>
  <c r="E225" i="18"/>
  <c r="F118" i="12"/>
  <c r="K118" i="12" s="1"/>
  <c r="C227" i="18"/>
  <c r="D227" i="18"/>
  <c r="B227" i="18"/>
  <c r="E226" i="18"/>
  <c r="F114" i="12"/>
  <c r="K114" i="12" s="1"/>
  <c r="B228" i="18"/>
  <c r="C228" i="18"/>
  <c r="D228" i="18"/>
  <c r="E227" i="18"/>
  <c r="F111" i="12"/>
  <c r="K111" i="12" s="1"/>
  <c r="B229" i="18"/>
  <c r="C229" i="18"/>
  <c r="D229" i="18"/>
  <c r="E228" i="18"/>
  <c r="H4" i="8"/>
  <c r="F108" i="12"/>
  <c r="K108" i="12" s="1"/>
  <c r="C230" i="18"/>
  <c r="D230" i="18"/>
  <c r="B230" i="18"/>
  <c r="E229" i="18"/>
  <c r="F106" i="12"/>
  <c r="K106" i="12" s="1"/>
  <c r="C231" i="18"/>
  <c r="D231" i="18"/>
  <c r="B231" i="18"/>
  <c r="E230" i="18"/>
  <c r="F103" i="12"/>
  <c r="K103" i="12" s="1"/>
  <c r="B232" i="18"/>
  <c r="C232" i="18"/>
  <c r="D232" i="18"/>
  <c r="E231" i="18"/>
  <c r="F100" i="12"/>
  <c r="K100" i="12" s="1"/>
  <c r="B233" i="18"/>
  <c r="C233" i="18"/>
  <c r="D233" i="18"/>
  <c r="E232" i="18"/>
  <c r="F98" i="12"/>
  <c r="K98" i="12" s="1"/>
  <c r="C234" i="18"/>
  <c r="D234" i="18"/>
  <c r="B234" i="18"/>
  <c r="E233" i="18"/>
  <c r="H3" i="8"/>
  <c r="H9" i="8"/>
  <c r="H8" i="8"/>
  <c r="H7" i="8"/>
  <c r="H6" i="8"/>
  <c r="H5" i="8"/>
  <c r="H10" i="8" s="1"/>
  <c r="B10" i="8"/>
  <c r="F96" i="12"/>
  <c r="K96" i="12" s="1"/>
  <c r="B235" i="18"/>
  <c r="C235" i="18"/>
  <c r="D235" i="18"/>
  <c r="E234" i="18"/>
  <c r="F92" i="12"/>
  <c r="K92" i="12" s="1"/>
  <c r="C236" i="18"/>
  <c r="D236" i="18"/>
  <c r="B236" i="18"/>
  <c r="E235" i="18"/>
  <c r="J27" i="13"/>
  <c r="I27" i="13"/>
  <c r="H27" i="13"/>
  <c r="E27" i="13"/>
  <c r="M27" i="13" s="1"/>
  <c r="D27" i="13"/>
  <c r="C27" i="13"/>
  <c r="B237" i="18"/>
  <c r="C237" i="18"/>
  <c r="D237" i="18"/>
  <c r="E236" i="18"/>
  <c r="F88" i="12"/>
  <c r="K88" i="12" s="1"/>
  <c r="C238" i="18"/>
  <c r="D238" i="18"/>
  <c r="B238" i="18"/>
  <c r="E237" i="18"/>
  <c r="E9" i="8"/>
  <c r="F9" i="8"/>
  <c r="C239" i="18"/>
  <c r="D239" i="18"/>
  <c r="B239" i="18"/>
  <c r="E238" i="18"/>
  <c r="F82" i="12"/>
  <c r="K82" i="12" s="1"/>
  <c r="B240" i="18"/>
  <c r="C240" i="18"/>
  <c r="D240" i="18"/>
  <c r="E239" i="18"/>
  <c r="F80" i="12"/>
  <c r="K80" i="12" s="1"/>
  <c r="C241" i="18"/>
  <c r="D241" i="18"/>
  <c r="B241" i="18"/>
  <c r="E240" i="18"/>
  <c r="F78" i="12"/>
  <c r="K78" i="12" s="1"/>
  <c r="F77" i="12"/>
  <c r="K77" i="12" s="1"/>
  <c r="B242" i="18"/>
  <c r="C242" i="18"/>
  <c r="D242" i="18"/>
  <c r="E241" i="18"/>
  <c r="F74" i="12"/>
  <c r="K74" i="12" s="1"/>
  <c r="C243" i="18"/>
  <c r="D243" i="18"/>
  <c r="B243" i="18"/>
  <c r="E242" i="18"/>
  <c r="F213" i="11"/>
  <c r="J213" i="11"/>
  <c r="F210" i="11"/>
  <c r="J210" i="11"/>
  <c r="F70" i="12"/>
  <c r="K70" i="12" s="1"/>
  <c r="F55" i="12"/>
  <c r="K55" i="12" s="1"/>
  <c r="F64" i="12"/>
  <c r="K64" i="12" s="1"/>
  <c r="J26" i="13"/>
  <c r="I26" i="13"/>
  <c r="H26" i="13"/>
  <c r="E26" i="13"/>
  <c r="M26" i="13" s="1"/>
  <c r="D26" i="13"/>
  <c r="C26" i="13"/>
  <c r="J25" i="13"/>
  <c r="E25" i="13"/>
  <c r="M25" i="13" s="1"/>
  <c r="D25" i="13"/>
  <c r="C25" i="13"/>
  <c r="J24" i="13"/>
  <c r="I24" i="13"/>
  <c r="H24" i="13"/>
  <c r="E24" i="13"/>
  <c r="M24" i="13" s="1"/>
  <c r="D24" i="13"/>
  <c r="C24" i="13"/>
  <c r="J23" i="13"/>
  <c r="H23" i="13"/>
  <c r="E23" i="13"/>
  <c r="M23" i="13" s="1"/>
  <c r="D23" i="13"/>
  <c r="C23" i="13"/>
  <c r="J22" i="13"/>
  <c r="H22" i="13"/>
  <c r="E22" i="13"/>
  <c r="M22" i="13" s="1"/>
  <c r="D22" i="13"/>
  <c r="C22" i="13"/>
  <c r="F68" i="12"/>
  <c r="K68" i="12" s="1"/>
  <c r="B244" i="18"/>
  <c r="C244" i="18"/>
  <c r="D244" i="18"/>
  <c r="E243" i="18"/>
  <c r="F67" i="12"/>
  <c r="K67" i="12" s="1"/>
  <c r="F66" i="12"/>
  <c r="K66" i="12" s="1"/>
  <c r="C245" i="18"/>
  <c r="D245" i="18"/>
  <c r="B245" i="18"/>
  <c r="E244" i="18"/>
  <c r="F63" i="12"/>
  <c r="K63" i="12" s="1"/>
  <c r="B246" i="18"/>
  <c r="C246" i="18"/>
  <c r="D246" i="18"/>
  <c r="E245" i="18"/>
  <c r="F61" i="12"/>
  <c r="K61" i="12" s="1"/>
  <c r="B247" i="18"/>
  <c r="C247" i="18"/>
  <c r="E246" i="18"/>
  <c r="D247" i="18"/>
  <c r="F60" i="12"/>
  <c r="K60" i="12" s="1"/>
  <c r="C248" i="18"/>
  <c r="D248" i="18"/>
  <c r="B248" i="18"/>
  <c r="E247" i="18"/>
  <c r="F56" i="12"/>
  <c r="F54" i="12"/>
  <c r="K54" i="12" s="1"/>
  <c r="E8" i="8"/>
  <c r="F8" i="8"/>
  <c r="C249" i="18"/>
  <c r="D249" i="18"/>
  <c r="B249" i="18"/>
  <c r="E248" i="18"/>
  <c r="K56" i="12"/>
  <c r="F53" i="12"/>
  <c r="K53" i="12" s="1"/>
  <c r="F51" i="12"/>
  <c r="K51" i="12" s="1"/>
  <c r="F49" i="12"/>
  <c r="K49" i="12" s="1"/>
  <c r="B250" i="18"/>
  <c r="C250" i="18"/>
  <c r="D250" i="18"/>
  <c r="E249" i="18"/>
  <c r="F47" i="12"/>
  <c r="B251" i="18"/>
  <c r="C251" i="18"/>
  <c r="E250" i="18"/>
  <c r="D251" i="18"/>
  <c r="C252" i="18"/>
  <c r="D252" i="18"/>
  <c r="B252" i="18"/>
  <c r="E251" i="18"/>
  <c r="F46" i="12"/>
  <c r="K46" i="12" s="1"/>
  <c r="C253" i="18"/>
  <c r="D253" i="18"/>
  <c r="B253" i="18"/>
  <c r="E252" i="18"/>
  <c r="F45" i="12"/>
  <c r="K45" i="12" s="1"/>
  <c r="C254" i="18"/>
  <c r="D254" i="18"/>
  <c r="B254" i="18"/>
  <c r="E253" i="18"/>
  <c r="F44" i="12"/>
  <c r="K44" i="12" s="1"/>
  <c r="B255" i="18"/>
  <c r="C255" i="18"/>
  <c r="D255" i="18"/>
  <c r="E254" i="18"/>
  <c r="P33" i="12"/>
  <c r="O33" i="12"/>
  <c r="N33" i="12"/>
  <c r="M33" i="12"/>
  <c r="L33" i="12"/>
  <c r="J33" i="12"/>
  <c r="H33" i="12"/>
  <c r="G33" i="12"/>
  <c r="D33" i="12"/>
  <c r="B33" i="12"/>
  <c r="C256" i="18"/>
  <c r="D256" i="18"/>
  <c r="B256" i="18"/>
  <c r="E255" i="18"/>
  <c r="F43" i="12"/>
  <c r="K43" i="12" s="1"/>
  <c r="F40" i="12"/>
  <c r="K40" i="12" s="1"/>
  <c r="F42" i="12"/>
  <c r="K42" i="12" s="1"/>
  <c r="F41" i="12"/>
  <c r="K41" i="12" s="1"/>
  <c r="F205" i="11"/>
  <c r="J205" i="11"/>
  <c r="F202" i="11"/>
  <c r="J202" i="11"/>
  <c r="F203" i="11"/>
  <c r="J203" i="11"/>
  <c r="F199" i="11"/>
  <c r="J199" i="11"/>
  <c r="F191" i="11"/>
  <c r="J191" i="11"/>
  <c r="F184" i="11"/>
  <c r="J184" i="11"/>
  <c r="F177" i="11"/>
  <c r="J177" i="11"/>
  <c r="F178" i="11"/>
  <c r="J178" i="11"/>
  <c r="C257" i="18"/>
  <c r="D257" i="18"/>
  <c r="B257" i="18"/>
  <c r="E256" i="18"/>
  <c r="C258" i="18"/>
  <c r="D258" i="18"/>
  <c r="B258" i="18"/>
  <c r="E257" i="18"/>
  <c r="F39" i="12"/>
  <c r="C259" i="18"/>
  <c r="D259" i="18"/>
  <c r="B259" i="18"/>
  <c r="E258" i="18"/>
  <c r="F37" i="12"/>
  <c r="K37" i="12" s="1"/>
  <c r="C260" i="18"/>
  <c r="D260" i="18"/>
  <c r="B260" i="18"/>
  <c r="E259" i="18"/>
  <c r="B261" i="18"/>
  <c r="C261" i="18"/>
  <c r="D261" i="18"/>
  <c r="E260" i="18"/>
  <c r="F32" i="12"/>
  <c r="K32" i="12" s="1"/>
  <c r="C262" i="18"/>
  <c r="D262" i="18"/>
  <c r="B262" i="18"/>
  <c r="E261" i="18"/>
  <c r="E17" i="13"/>
  <c r="M17" i="13" s="1"/>
  <c r="D17" i="13"/>
  <c r="C17" i="13"/>
  <c r="J21" i="13"/>
  <c r="I21" i="13"/>
  <c r="H21" i="13"/>
  <c r="E21" i="13"/>
  <c r="M21" i="13" s="1"/>
  <c r="D21" i="13"/>
  <c r="C21" i="13"/>
  <c r="G21" i="13" s="1"/>
  <c r="F169" i="11"/>
  <c r="J169" i="11"/>
  <c r="F167" i="11"/>
  <c r="J167" i="11"/>
  <c r="C263" i="18"/>
  <c r="D263" i="18"/>
  <c r="B263" i="18"/>
  <c r="E262" i="18"/>
  <c r="J20" i="13"/>
  <c r="I20" i="13"/>
  <c r="H20" i="13"/>
  <c r="E20" i="13"/>
  <c r="M20" i="13" s="1"/>
  <c r="D20" i="13"/>
  <c r="C20" i="13"/>
  <c r="G20" i="13" s="1"/>
  <c r="F166" i="11"/>
  <c r="J166" i="11"/>
  <c r="B264" i="18"/>
  <c r="C264" i="18"/>
  <c r="D264" i="18"/>
  <c r="E263" i="18"/>
  <c r="F164" i="11"/>
  <c r="J164" i="11"/>
  <c r="B265" i="18"/>
  <c r="C265" i="18"/>
  <c r="D265" i="18"/>
  <c r="E264" i="18"/>
  <c r="F163" i="11"/>
  <c r="J163" i="11"/>
  <c r="B266" i="18"/>
  <c r="C266" i="18"/>
  <c r="D266" i="18"/>
  <c r="E265" i="18"/>
  <c r="F161" i="11"/>
  <c r="J161" i="11"/>
  <c r="F160" i="11"/>
  <c r="J160" i="11"/>
  <c r="F159" i="11"/>
  <c r="J159" i="11"/>
  <c r="F158" i="11"/>
  <c r="J158" i="11"/>
  <c r="F156" i="11"/>
  <c r="J156" i="11"/>
  <c r="B267" i="18"/>
  <c r="C267" i="18"/>
  <c r="D267" i="18"/>
  <c r="E266" i="18"/>
  <c r="F157" i="11"/>
  <c r="J157" i="11"/>
  <c r="B268" i="18"/>
  <c r="C268" i="18"/>
  <c r="D268" i="18"/>
  <c r="E267" i="18"/>
  <c r="F152" i="11"/>
  <c r="J152" i="11"/>
  <c r="C269" i="18"/>
  <c r="D269" i="18"/>
  <c r="B269" i="18"/>
  <c r="E268" i="18"/>
  <c r="J19" i="13"/>
  <c r="J17" i="13"/>
  <c r="I19" i="13"/>
  <c r="I17" i="13"/>
  <c r="H19" i="13"/>
  <c r="H17" i="13"/>
  <c r="E19" i="13"/>
  <c r="M19" i="13" s="1"/>
  <c r="D19" i="13"/>
  <c r="C19" i="13"/>
  <c r="G19" i="13" s="1"/>
  <c r="F151" i="11"/>
  <c r="J151" i="11"/>
  <c r="C270" i="18"/>
  <c r="D270" i="18"/>
  <c r="B270" i="18"/>
  <c r="E269" i="18"/>
  <c r="F149" i="11"/>
  <c r="J149" i="11"/>
  <c r="F150" i="11"/>
  <c r="J150" i="11"/>
  <c r="F145" i="11"/>
  <c r="J145" i="11"/>
  <c r="F144" i="11"/>
  <c r="J144" i="11"/>
  <c r="B271" i="18"/>
  <c r="C271" i="18"/>
  <c r="D271" i="18"/>
  <c r="E270" i="18"/>
  <c r="M4" i="13"/>
  <c r="M5" i="13"/>
  <c r="M7" i="13"/>
  <c r="M8" i="13"/>
  <c r="M9" i="13"/>
  <c r="E14" i="13"/>
  <c r="M14" i="13" s="1"/>
  <c r="E15" i="13"/>
  <c r="M15" i="13" s="1"/>
  <c r="E16" i="13"/>
  <c r="M16" i="13" s="1"/>
  <c r="E18" i="13"/>
  <c r="M18" i="13" s="1"/>
  <c r="F143" i="11"/>
  <c r="J143" i="11"/>
  <c r="F142" i="11"/>
  <c r="J142" i="11"/>
  <c r="F138" i="11"/>
  <c r="J138" i="11"/>
  <c r="F28" i="12"/>
  <c r="K28" i="12" s="1"/>
  <c r="B272" i="18"/>
  <c r="C272" i="18"/>
  <c r="D272" i="18"/>
  <c r="E271" i="18"/>
  <c r="M3" i="13"/>
  <c r="F136" i="11"/>
  <c r="J136" i="11"/>
  <c r="C273" i="18"/>
  <c r="D273" i="18"/>
  <c r="B273" i="18"/>
  <c r="E272" i="18"/>
  <c r="F134" i="11"/>
  <c r="J134" i="11"/>
  <c r="F133" i="11"/>
  <c r="J133" i="11"/>
  <c r="C274" i="18"/>
  <c r="D274" i="18"/>
  <c r="B274" i="18"/>
  <c r="E273" i="18"/>
  <c r="F129" i="11"/>
  <c r="J129" i="11"/>
  <c r="E7" i="8"/>
  <c r="F7" i="8"/>
  <c r="B275" i="18"/>
  <c r="C275" i="18"/>
  <c r="D275" i="18"/>
  <c r="E274" i="18"/>
  <c r="F6" i="8"/>
  <c r="E6" i="8"/>
  <c r="H11" i="13"/>
  <c r="I11" i="13"/>
  <c r="J11" i="13"/>
  <c r="J18" i="13"/>
  <c r="I18" i="13"/>
  <c r="H18" i="13"/>
  <c r="D11" i="13"/>
  <c r="C11" i="13"/>
  <c r="C18" i="13"/>
  <c r="F18" i="13" s="1"/>
  <c r="D18" i="13"/>
  <c r="F126" i="11"/>
  <c r="J126" i="11"/>
  <c r="C276" i="18"/>
  <c r="D276" i="18"/>
  <c r="B276" i="18"/>
  <c r="E275" i="18"/>
  <c r="G52" i="13"/>
  <c r="F121" i="11"/>
  <c r="J121" i="11"/>
  <c r="C277" i="18"/>
  <c r="D277" i="18"/>
  <c r="B277" i="18"/>
  <c r="E276" i="18"/>
  <c r="G51" i="13"/>
  <c r="F119" i="11"/>
  <c r="C278" i="18"/>
  <c r="D278" i="18"/>
  <c r="B278" i="18"/>
  <c r="E277" i="18"/>
  <c r="J119" i="11"/>
  <c r="G50" i="13"/>
  <c r="B279" i="18"/>
  <c r="C279" i="18"/>
  <c r="D279" i="18"/>
  <c r="E278" i="18"/>
  <c r="G49" i="13"/>
  <c r="B280" i="18"/>
  <c r="C280" i="18"/>
  <c r="D280" i="18"/>
  <c r="E279" i="18"/>
  <c r="F118" i="11"/>
  <c r="J118" i="11"/>
  <c r="C281" i="18"/>
  <c r="D281" i="18"/>
  <c r="B281" i="18"/>
  <c r="E280" i="18"/>
  <c r="G48" i="13"/>
  <c r="F23" i="12"/>
  <c r="C282" i="18"/>
  <c r="D282" i="18"/>
  <c r="B282" i="18"/>
  <c r="E281" i="18"/>
  <c r="G47" i="13"/>
  <c r="C283" i="18"/>
  <c r="D283" i="18"/>
  <c r="B283" i="18"/>
  <c r="E282" i="18"/>
  <c r="G46" i="13"/>
  <c r="F112" i="11"/>
  <c r="J112" i="11"/>
  <c r="C284" i="18"/>
  <c r="D284" i="18"/>
  <c r="B284" i="18"/>
  <c r="E283" i="18"/>
  <c r="G45" i="13"/>
  <c r="F22" i="12"/>
  <c r="K22" i="12" s="1"/>
  <c r="C285" i="18"/>
  <c r="D285" i="18"/>
  <c r="B285" i="18"/>
  <c r="E284" i="18"/>
  <c r="C10" i="8"/>
  <c r="G44" i="13"/>
  <c r="F20" i="12"/>
  <c r="K20" i="12" s="1"/>
  <c r="C286" i="18"/>
  <c r="D286" i="18"/>
  <c r="B286" i="18"/>
  <c r="E285" i="18"/>
  <c r="G43" i="13"/>
  <c r="F19" i="12"/>
  <c r="K19" i="12" s="1"/>
  <c r="F18" i="12"/>
  <c r="K18" i="12" s="1"/>
  <c r="B287" i="18"/>
  <c r="C287" i="18"/>
  <c r="D287" i="18"/>
  <c r="E286" i="18"/>
  <c r="G42" i="13"/>
  <c r="C288" i="18"/>
  <c r="D288" i="18"/>
  <c r="B288" i="18"/>
  <c r="E287" i="18"/>
  <c r="G41" i="13"/>
  <c r="I16" i="13"/>
  <c r="I15" i="13"/>
  <c r="I14" i="13"/>
  <c r="I13" i="13"/>
  <c r="I12" i="13"/>
  <c r="I10" i="13"/>
  <c r="I9" i="13"/>
  <c r="I8" i="13"/>
  <c r="I7" i="13"/>
  <c r="I5" i="13"/>
  <c r="I4" i="13"/>
  <c r="F16" i="12"/>
  <c r="K16" i="12" s="1"/>
  <c r="C289" i="18"/>
  <c r="D289" i="18"/>
  <c r="B289" i="18"/>
  <c r="E288" i="18"/>
  <c r="G40" i="13"/>
  <c r="G39" i="13"/>
  <c r="F14" i="12"/>
  <c r="K14" i="12" s="1"/>
  <c r="C290" i="18"/>
  <c r="D290" i="18"/>
  <c r="B290" i="18"/>
  <c r="E289" i="18"/>
  <c r="F13" i="12"/>
  <c r="K13" i="12" s="1"/>
  <c r="C291" i="18"/>
  <c r="D291" i="18"/>
  <c r="B291" i="18"/>
  <c r="E290" i="18"/>
  <c r="C292" i="18"/>
  <c r="D292" i="18"/>
  <c r="B292" i="18"/>
  <c r="E291" i="18"/>
  <c r="J4" i="13"/>
  <c r="J16" i="13"/>
  <c r="J15" i="13"/>
  <c r="J14" i="13"/>
  <c r="J13" i="13"/>
  <c r="J12" i="13"/>
  <c r="J10" i="13"/>
  <c r="J9" i="13"/>
  <c r="J8" i="13"/>
  <c r="J7" i="13"/>
  <c r="J6" i="13"/>
  <c r="J5" i="13"/>
  <c r="J3" i="13"/>
  <c r="H4" i="13"/>
  <c r="H16" i="13"/>
  <c r="H15" i="13"/>
  <c r="H14" i="13"/>
  <c r="H13" i="13"/>
  <c r="H12" i="13"/>
  <c r="H10" i="13"/>
  <c r="H9" i="13"/>
  <c r="H8" i="13"/>
  <c r="H7" i="13"/>
  <c r="H5" i="13"/>
  <c r="H3" i="13"/>
  <c r="D16" i="13"/>
  <c r="D15" i="13"/>
  <c r="D14" i="13"/>
  <c r="D12" i="13"/>
  <c r="C16" i="13"/>
  <c r="F16" i="13" s="1"/>
  <c r="C15" i="13"/>
  <c r="G15" i="13" s="1"/>
  <c r="C14" i="13"/>
  <c r="G14" i="13" s="1"/>
  <c r="C12" i="13"/>
  <c r="F12" i="13" s="1"/>
  <c r="C10" i="13"/>
  <c r="G10" i="13" s="1"/>
  <c r="F103" i="11"/>
  <c r="F4" i="12"/>
  <c r="K4" i="12" s="1"/>
  <c r="Q2" i="12"/>
  <c r="Q3" i="12" s="1"/>
  <c r="F9" i="12"/>
  <c r="K9" i="12" s="1"/>
  <c r="F12" i="12"/>
  <c r="K12" i="12" s="1"/>
  <c r="F11" i="12"/>
  <c r="K11" i="12" s="1"/>
  <c r="F10" i="12"/>
  <c r="K10" i="12" s="1"/>
  <c r="J57" i="11"/>
  <c r="F107" i="11"/>
  <c r="J107" i="11"/>
  <c r="F106" i="11"/>
  <c r="J106" i="11"/>
  <c r="F102" i="11"/>
  <c r="J102" i="11"/>
  <c r="F101" i="11"/>
  <c r="J101" i="11"/>
  <c r="F100" i="11"/>
  <c r="F83" i="11"/>
  <c r="J83" i="11"/>
  <c r="F75" i="11"/>
  <c r="J75" i="11"/>
  <c r="F65" i="11"/>
  <c r="J65" i="11"/>
  <c r="F51" i="11"/>
  <c r="J51" i="11"/>
  <c r="F15" i="11"/>
  <c r="J15" i="11"/>
  <c r="F99" i="11"/>
  <c r="J99" i="11"/>
  <c r="F96" i="11"/>
  <c r="J96" i="11"/>
  <c r="F85" i="11"/>
  <c r="J85" i="11"/>
  <c r="F77" i="11"/>
  <c r="F76" i="11"/>
  <c r="J76" i="11"/>
  <c r="F71" i="11"/>
  <c r="J71" i="11"/>
  <c r="F70" i="11"/>
  <c r="J70" i="11"/>
  <c r="F67" i="11"/>
  <c r="J67" i="11"/>
  <c r="F66" i="11"/>
  <c r="J66" i="11"/>
  <c r="F61" i="11"/>
  <c r="J61" i="11"/>
  <c r="F59" i="11"/>
  <c r="J59" i="11"/>
  <c r="F53" i="11"/>
  <c r="J53" i="11"/>
  <c r="F48" i="11"/>
  <c r="J48" i="11"/>
  <c r="F43" i="11"/>
  <c r="J43" i="11"/>
  <c r="F39" i="11"/>
  <c r="J39" i="11"/>
  <c r="F37" i="11"/>
  <c r="J37" i="11"/>
  <c r="F31" i="11"/>
  <c r="J31" i="11"/>
  <c r="F29" i="11"/>
  <c r="F24" i="11"/>
  <c r="F23" i="11"/>
  <c r="J23" i="11"/>
  <c r="F22" i="11"/>
  <c r="J22" i="11"/>
  <c r="F21" i="11"/>
  <c r="J21" i="11"/>
  <c r="F18" i="11"/>
  <c r="J18" i="11"/>
  <c r="F17" i="11"/>
  <c r="J17" i="11"/>
  <c r="F16" i="11"/>
  <c r="J16" i="11"/>
  <c r="F12" i="11"/>
  <c r="F4" i="11"/>
  <c r="J4" i="11"/>
  <c r="F3" i="11"/>
  <c r="C293" i="18"/>
  <c r="D293" i="18"/>
  <c r="B293" i="18"/>
  <c r="E292" i="18"/>
  <c r="J24" i="11"/>
  <c r="F5" i="13"/>
  <c r="J100" i="11"/>
  <c r="F7" i="13"/>
  <c r="J12" i="11"/>
  <c r="F3" i="13"/>
  <c r="J29" i="11"/>
  <c r="G6" i="13"/>
  <c r="F6" i="13"/>
  <c r="F9" i="13"/>
  <c r="J3" i="11"/>
  <c r="R3" i="11"/>
  <c r="F4" i="13"/>
  <c r="J77" i="11"/>
  <c r="F8" i="13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G5" i="13"/>
  <c r="G9" i="13"/>
  <c r="G4" i="13"/>
  <c r="C294" i="18"/>
  <c r="D294" i="18"/>
  <c r="B294" i="18"/>
  <c r="E293" i="18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B295" i="18"/>
  <c r="C295" i="18"/>
  <c r="D295" i="18"/>
  <c r="E294" i="18"/>
  <c r="R121" i="11"/>
  <c r="R122" i="11"/>
  <c r="R123" i="11"/>
  <c r="R124" i="11"/>
  <c r="R125" i="11"/>
  <c r="R126" i="11"/>
  <c r="R127" i="11"/>
  <c r="R128" i="11"/>
  <c r="R129" i="11"/>
  <c r="R130" i="11"/>
  <c r="R131" i="11"/>
  <c r="C296" i="18"/>
  <c r="D296" i="18"/>
  <c r="B296" i="18"/>
  <c r="E295" i="18"/>
  <c r="R132" i="11"/>
  <c r="R133" i="11"/>
  <c r="R134" i="11"/>
  <c r="R135" i="11"/>
  <c r="R136" i="11"/>
  <c r="R137" i="11"/>
  <c r="R138" i="11"/>
  <c r="R139" i="11"/>
  <c r="R140" i="11"/>
  <c r="C297" i="18"/>
  <c r="D297" i="18"/>
  <c r="B297" i="18"/>
  <c r="E296" i="18"/>
  <c r="R141" i="11"/>
  <c r="R142" i="11"/>
  <c r="R143" i="11"/>
  <c r="R144" i="11"/>
  <c r="R145" i="11"/>
  <c r="R146" i="11"/>
  <c r="R147" i="11"/>
  <c r="R148" i="11"/>
  <c r="R149" i="11"/>
  <c r="R150" i="11"/>
  <c r="Q36" i="12"/>
  <c r="C298" i="18"/>
  <c r="D298" i="18"/>
  <c r="B298" i="18"/>
  <c r="E297" i="18"/>
  <c r="L48" i="13"/>
  <c r="R151" i="11"/>
  <c r="R152" i="11"/>
  <c r="R153" i="11"/>
  <c r="R154" i="11"/>
  <c r="R155" i="11"/>
  <c r="R156" i="11"/>
  <c r="R157" i="11"/>
  <c r="B299" i="18"/>
  <c r="C299" i="18"/>
  <c r="D299" i="18"/>
  <c r="E298" i="18"/>
  <c r="R158" i="11"/>
  <c r="R159" i="11"/>
  <c r="R160" i="11"/>
  <c r="R161" i="11"/>
  <c r="R162" i="11"/>
  <c r="R163" i="11"/>
  <c r="R164" i="11"/>
  <c r="C300" i="18"/>
  <c r="D300" i="18"/>
  <c r="B300" i="18"/>
  <c r="E299" i="18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0" i="11"/>
  <c r="R211" i="11"/>
  <c r="R212" i="11"/>
  <c r="R213" i="11"/>
  <c r="R214" i="11"/>
  <c r="R215" i="11"/>
  <c r="R216" i="11"/>
  <c r="R217" i="11"/>
  <c r="F5" i="8"/>
  <c r="E5" i="8"/>
  <c r="F4" i="8"/>
  <c r="F3" i="8"/>
  <c r="E4" i="8"/>
  <c r="E3" i="8"/>
  <c r="E300" i="18"/>
  <c r="C301" i="18"/>
  <c r="D301" i="18"/>
  <c r="B301" i="18"/>
  <c r="E301" i="18"/>
  <c r="C302" i="18"/>
  <c r="D302" i="18"/>
  <c r="B302" i="18"/>
  <c r="C36" i="13"/>
  <c r="C303" i="18"/>
  <c r="D303" i="18"/>
  <c r="E302" i="18"/>
  <c r="B303" i="18"/>
  <c r="B304" i="18"/>
  <c r="E303" i="18"/>
  <c r="C304" i="18"/>
  <c r="D304" i="18"/>
  <c r="E304" i="18"/>
  <c r="C305" i="18"/>
  <c r="D305" i="18"/>
  <c r="B305" i="18"/>
  <c r="E305" i="18"/>
  <c r="C306" i="18"/>
  <c r="D306" i="18"/>
  <c r="B306" i="18"/>
  <c r="E306" i="18"/>
  <c r="C307" i="18"/>
  <c r="D307" i="18"/>
  <c r="B307" i="18"/>
  <c r="B308" i="18"/>
  <c r="E307" i="18"/>
  <c r="C308" i="18"/>
  <c r="D308" i="18"/>
  <c r="E308" i="18"/>
  <c r="C309" i="18"/>
  <c r="D309" i="18"/>
  <c r="B309" i="18"/>
  <c r="E309" i="18"/>
  <c r="C310" i="18"/>
  <c r="D310" i="18"/>
  <c r="B310" i="18"/>
  <c r="B311" i="18"/>
  <c r="C311" i="18"/>
  <c r="E310" i="18"/>
  <c r="D311" i="18"/>
  <c r="E311" i="18"/>
  <c r="C312" i="18"/>
  <c r="D312" i="18"/>
  <c r="B312" i="18"/>
  <c r="E312" i="18"/>
  <c r="C313" i="18"/>
  <c r="D313" i="18"/>
  <c r="B313" i="18"/>
  <c r="E313" i="18"/>
  <c r="C314" i="18"/>
  <c r="D314" i="18"/>
  <c r="B314" i="18"/>
  <c r="C315" i="18"/>
  <c r="D315" i="18"/>
  <c r="E314" i="18"/>
  <c r="B315" i="18"/>
  <c r="E315" i="18"/>
  <c r="C316" i="18"/>
  <c r="B316" i="18"/>
  <c r="D316" i="18"/>
  <c r="E316" i="18"/>
  <c r="C317" i="18"/>
  <c r="D317" i="18"/>
  <c r="B317" i="18"/>
  <c r="E317" i="18"/>
  <c r="C318" i="18"/>
  <c r="D318" i="18"/>
  <c r="B318" i="18"/>
  <c r="E318" i="18"/>
  <c r="C319" i="18"/>
  <c r="D319" i="18"/>
  <c r="B319" i="18"/>
  <c r="B320" i="18"/>
  <c r="E319" i="18"/>
  <c r="C320" i="18"/>
  <c r="D320" i="18"/>
  <c r="E320" i="18"/>
  <c r="B321" i="18"/>
  <c r="C321" i="18"/>
  <c r="D321" i="18"/>
  <c r="E321" i="18"/>
  <c r="C322" i="18"/>
  <c r="D322" i="18"/>
  <c r="B322" i="18"/>
  <c r="C323" i="18"/>
  <c r="D323" i="18"/>
  <c r="E322" i="18"/>
  <c r="B323" i="18"/>
  <c r="B324" i="18"/>
  <c r="E323" i="18"/>
  <c r="C324" i="18"/>
  <c r="D324" i="18"/>
  <c r="E324" i="18"/>
  <c r="B325" i="18"/>
  <c r="C325" i="18"/>
  <c r="D325" i="18"/>
  <c r="E325" i="18"/>
  <c r="C326" i="18"/>
  <c r="D326" i="18"/>
  <c r="B326" i="18"/>
  <c r="C327" i="18"/>
  <c r="D327" i="18"/>
  <c r="B327" i="18"/>
  <c r="E326" i="18"/>
  <c r="B328" i="18"/>
  <c r="C328" i="18"/>
  <c r="D328" i="18"/>
  <c r="E327" i="18"/>
  <c r="E328" i="18"/>
  <c r="C329" i="18"/>
  <c r="D329" i="18"/>
  <c r="B329" i="18"/>
  <c r="E329" i="18"/>
  <c r="C330" i="18"/>
  <c r="D330" i="18"/>
  <c r="B330" i="18"/>
  <c r="C331" i="18"/>
  <c r="D331" i="18"/>
  <c r="B331" i="18"/>
  <c r="E330" i="18"/>
  <c r="B332" i="18"/>
  <c r="E331" i="18"/>
  <c r="C332" i="18"/>
  <c r="D332" i="18"/>
  <c r="B333" i="18"/>
  <c r="C333" i="18"/>
  <c r="D333" i="18"/>
  <c r="E332" i="18"/>
  <c r="E333" i="18"/>
  <c r="B334" i="18"/>
  <c r="C334" i="18"/>
  <c r="D334" i="18"/>
  <c r="E334" i="18"/>
  <c r="C335" i="18"/>
  <c r="B335" i="18"/>
  <c r="D335" i="18"/>
  <c r="B336" i="18"/>
  <c r="C336" i="18"/>
  <c r="D336" i="18"/>
  <c r="E335" i="18"/>
  <c r="E336" i="18"/>
  <c r="B337" i="18"/>
  <c r="C337" i="18"/>
  <c r="D337" i="18"/>
  <c r="B338" i="18"/>
  <c r="E337" i="18"/>
  <c r="C338" i="18"/>
  <c r="D338" i="18"/>
  <c r="C339" i="18"/>
  <c r="D339" i="18"/>
  <c r="E338" i="18"/>
  <c r="B339" i="18"/>
  <c r="B340" i="18"/>
  <c r="C340" i="18"/>
  <c r="D340" i="18"/>
  <c r="E339" i="18"/>
  <c r="E340" i="18"/>
  <c r="C341" i="18"/>
  <c r="D341" i="18"/>
  <c r="B341" i="18"/>
  <c r="E341" i="18"/>
  <c r="B342" i="18"/>
  <c r="C342" i="18"/>
  <c r="D342" i="18"/>
  <c r="C343" i="18"/>
  <c r="D343" i="18"/>
  <c r="B343" i="18"/>
  <c r="E342" i="18"/>
  <c r="B344" i="18"/>
  <c r="C344" i="18"/>
  <c r="D344" i="18"/>
  <c r="E343" i="18"/>
  <c r="E344" i="18"/>
  <c r="C345" i="18"/>
  <c r="D345" i="18"/>
  <c r="B345" i="18"/>
  <c r="E345" i="18"/>
  <c r="C346" i="18"/>
  <c r="D346" i="18"/>
  <c r="B346" i="18"/>
  <c r="C347" i="18"/>
  <c r="D347" i="18"/>
  <c r="B347" i="18"/>
  <c r="E346" i="18"/>
  <c r="B348" i="18"/>
  <c r="C348" i="18"/>
  <c r="D348" i="18"/>
  <c r="E347" i="18"/>
  <c r="E348" i="18"/>
  <c r="C349" i="18"/>
  <c r="D349" i="18"/>
  <c r="B349" i="18"/>
  <c r="E349" i="18"/>
  <c r="B350" i="18"/>
  <c r="C350" i="18"/>
  <c r="D350" i="18"/>
  <c r="C351" i="18"/>
  <c r="D351" i="18"/>
  <c r="E350" i="18"/>
  <c r="B351" i="18"/>
  <c r="B352" i="18"/>
  <c r="C352" i="18"/>
  <c r="D352" i="18"/>
  <c r="E351" i="18"/>
  <c r="E352" i="18"/>
  <c r="B353" i="18"/>
  <c r="C353" i="18"/>
  <c r="D353" i="18"/>
  <c r="E353" i="18"/>
  <c r="F13" i="13" l="1"/>
  <c r="T1011" i="12"/>
  <c r="I23" i="13"/>
  <c r="L1604" i="12"/>
  <c r="K1039" i="12"/>
  <c r="K1363" i="12"/>
  <c r="O1604" i="12"/>
  <c r="P1604" i="12"/>
  <c r="F392" i="12"/>
  <c r="K392" i="12" s="1"/>
  <c r="E1604" i="12"/>
  <c r="H1604" i="12"/>
  <c r="G1604" i="12"/>
  <c r="F1604" i="12"/>
  <c r="N1604" i="12"/>
  <c r="J10" i="26"/>
  <c r="J9" i="26"/>
  <c r="K835" i="12"/>
  <c r="F23" i="13"/>
  <c r="K1185" i="12"/>
  <c r="K869" i="12"/>
  <c r="K846" i="12"/>
  <c r="K923" i="12"/>
  <c r="K1332" i="12"/>
  <c r="F19" i="13"/>
  <c r="G8" i="13"/>
  <c r="K1044" i="12"/>
  <c r="K1120" i="12"/>
  <c r="K1307" i="12"/>
  <c r="Q4" i="12"/>
  <c r="Q5" i="12" s="1"/>
  <c r="Q6" i="12" s="1"/>
  <c r="Q7" i="12" s="1"/>
  <c r="Q8" i="12" s="1"/>
  <c r="Q9" i="12" s="1"/>
  <c r="Q10" i="12" s="1"/>
  <c r="Q11" i="12" s="1"/>
  <c r="Q12" i="12" s="1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Q31" i="12" s="1"/>
  <c r="K1291" i="12"/>
  <c r="Q37" i="12"/>
  <c r="Q38" i="12" s="1"/>
  <c r="I3" i="13"/>
  <c r="K1024" i="12"/>
  <c r="K1157" i="12"/>
  <c r="T1341" i="12"/>
  <c r="K1287" i="12"/>
  <c r="H25" i="13"/>
  <c r="H30" i="13" s="1"/>
  <c r="Q544" i="12"/>
  <c r="Q545" i="12" s="1"/>
  <c r="Q546" i="12" s="1"/>
  <c r="Q547" i="12" s="1"/>
  <c r="Q548" i="12" s="1"/>
  <c r="Q549" i="12" s="1"/>
  <c r="Q550" i="12" s="1"/>
  <c r="Q551" i="12" s="1"/>
  <c r="Q552" i="12" s="1"/>
  <c r="Q553" i="12" s="1"/>
  <c r="Q554" i="12" s="1"/>
  <c r="Q555" i="12" s="1"/>
  <c r="Q556" i="12" s="1"/>
  <c r="Q557" i="12" s="1"/>
  <c r="Q558" i="12" s="1"/>
  <c r="Q559" i="12" s="1"/>
  <c r="Q560" i="12" s="1"/>
  <c r="Q561" i="12" s="1"/>
  <c r="Q562" i="12" s="1"/>
  <c r="Q563" i="12" s="1"/>
  <c r="Q564" i="12" s="1"/>
  <c r="Q565" i="12" s="1"/>
  <c r="Q566" i="12" s="1"/>
  <c r="Q567" i="12" s="1"/>
  <c r="Q568" i="12" s="1"/>
  <c r="Q569" i="12" s="1"/>
  <c r="Q570" i="12" s="1"/>
  <c r="Q571" i="12" s="1"/>
  <c r="Q572" i="12" s="1"/>
  <c r="Q573" i="12" s="1"/>
  <c r="Q574" i="12" s="1"/>
  <c r="Q575" i="12" s="1"/>
  <c r="Q576" i="12" s="1"/>
  <c r="Q577" i="12" s="1"/>
  <c r="Q578" i="12" s="1"/>
  <c r="Q579" i="12" s="1"/>
  <c r="Q580" i="12" s="1"/>
  <c r="Q581" i="12" s="1"/>
  <c r="Q582" i="12" s="1"/>
  <c r="Q583" i="12" s="1"/>
  <c r="Q584" i="12" s="1"/>
  <c r="Q585" i="12" s="1"/>
  <c r="Q586" i="12" s="1"/>
  <c r="Q587" i="12" s="1"/>
  <c r="Q588" i="12" s="1"/>
  <c r="AD559" i="12"/>
  <c r="U877" i="12"/>
  <c r="K1017" i="12"/>
  <c r="G13" i="13" s="1"/>
  <c r="K1023" i="12"/>
  <c r="K1288" i="12"/>
  <c r="T802" i="12"/>
  <c r="F20" i="13"/>
  <c r="Q212" i="12"/>
  <c r="Q213" i="12" s="1"/>
  <c r="Q214" i="12" s="1"/>
  <c r="Q215" i="12" s="1"/>
  <c r="Q216" i="12" s="1"/>
  <c r="Q217" i="12" s="1"/>
  <c r="Q218" i="12" s="1"/>
  <c r="Q219" i="12" s="1"/>
  <c r="Q220" i="12" s="1"/>
  <c r="Q221" i="12" s="1"/>
  <c r="Q222" i="12" s="1"/>
  <c r="Q223" i="12" s="1"/>
  <c r="Q224" i="12" s="1"/>
  <c r="Q225" i="12" s="1"/>
  <c r="Q226" i="12" s="1"/>
  <c r="Q227" i="12" s="1"/>
  <c r="Q228" i="12" s="1"/>
  <c r="Q229" i="12" s="1"/>
  <c r="Q230" i="12" s="1"/>
  <c r="Q231" i="12" s="1"/>
  <c r="Q232" i="12" s="1"/>
  <c r="Q233" i="12" s="1"/>
  <c r="Q234" i="12" s="1"/>
  <c r="Q235" i="12" s="1"/>
  <c r="Q236" i="12" s="1"/>
  <c r="Q237" i="12" s="1"/>
  <c r="Q238" i="12" s="1"/>
  <c r="Q239" i="12" s="1"/>
  <c r="Q240" i="12" s="1"/>
  <c r="Q241" i="12" s="1"/>
  <c r="Q242" i="12" s="1"/>
  <c r="Q243" i="12" s="1"/>
  <c r="Q244" i="12" s="1"/>
  <c r="Q245" i="12" s="1"/>
  <c r="Q246" i="12" s="1"/>
  <c r="Q247" i="12" s="1"/>
  <c r="Q248" i="12" s="1"/>
  <c r="Q249" i="12" s="1"/>
  <c r="Q250" i="12" s="1"/>
  <c r="Q251" i="12" s="1"/>
  <c r="Q252" i="12" s="1"/>
  <c r="Q253" i="12" s="1"/>
  <c r="Q254" i="12" s="1"/>
  <c r="Q255" i="12" s="1"/>
  <c r="Q256" i="12" s="1"/>
  <c r="Q257" i="12" s="1"/>
  <c r="Q258" i="12" s="1"/>
  <c r="Q259" i="12" s="1"/>
  <c r="Q260" i="12" s="1"/>
  <c r="Q261" i="12" s="1"/>
  <c r="Q262" i="12" s="1"/>
  <c r="Q263" i="12" s="1"/>
  <c r="Q264" i="12" s="1"/>
  <c r="Q265" i="12" s="1"/>
  <c r="Q266" i="12" s="1"/>
  <c r="Q267" i="12" s="1"/>
  <c r="Q268" i="12" s="1"/>
  <c r="Q269" i="12" s="1"/>
  <c r="Q270" i="12" s="1"/>
  <c r="Q271" i="12" s="1"/>
  <c r="Q272" i="12" s="1"/>
  <c r="Q273" i="12" s="1"/>
  <c r="Q274" i="12" s="1"/>
  <c r="Q275" i="12" s="1"/>
  <c r="Q276" i="12" s="1"/>
  <c r="Q277" i="12" s="1"/>
  <c r="Q278" i="12" s="1"/>
  <c r="Q279" i="12" s="1"/>
  <c r="Q280" i="12" s="1"/>
  <c r="Q281" i="12" s="1"/>
  <c r="Q282" i="12" s="1"/>
  <c r="Q283" i="12" s="1"/>
  <c r="Q284" i="12" s="1"/>
  <c r="Q285" i="12" s="1"/>
  <c r="Q286" i="12" s="1"/>
  <c r="Q287" i="12" s="1"/>
  <c r="Q288" i="12" s="1"/>
  <c r="Q289" i="12" s="1"/>
  <c r="Q290" i="12" s="1"/>
  <c r="Q291" i="12" s="1"/>
  <c r="Q292" i="12" s="1"/>
  <c r="Q293" i="12" s="1"/>
  <c r="Q294" i="12" s="1"/>
  <c r="Q295" i="12" s="1"/>
  <c r="Q296" i="12" s="1"/>
  <c r="Q297" i="12" s="1"/>
  <c r="Q298" i="12" s="1"/>
  <c r="Q299" i="12" s="1"/>
  <c r="Q300" i="12" s="1"/>
  <c r="Q301" i="12" s="1"/>
  <c r="Q302" i="12" s="1"/>
  <c r="Q303" i="12" s="1"/>
  <c r="Q304" i="12" s="1"/>
  <c r="Q305" i="12" s="1"/>
  <c r="Q306" i="12" s="1"/>
  <c r="Q307" i="12" s="1"/>
  <c r="Q308" i="12" s="1"/>
  <c r="Q309" i="12" s="1"/>
  <c r="Q310" i="12" s="1"/>
  <c r="Q311" i="12" s="1"/>
  <c r="Q312" i="12" s="1"/>
  <c r="Q313" i="12" s="1"/>
  <c r="Q314" i="12" s="1"/>
  <c r="Q315" i="12" s="1"/>
  <c r="Q316" i="12" s="1"/>
  <c r="Q317" i="12" s="1"/>
  <c r="Q318" i="12" s="1"/>
  <c r="Q319" i="12" s="1"/>
  <c r="Q320" i="12" s="1"/>
  <c r="Q321" i="12" s="1"/>
  <c r="Q322" i="12" s="1"/>
  <c r="Q323" i="12" s="1"/>
  <c r="Q324" i="12" s="1"/>
  <c r="Q325" i="12" s="1"/>
  <c r="Q326" i="12" s="1"/>
  <c r="Q327" i="12" s="1"/>
  <c r="Q328" i="12" s="1"/>
  <c r="Q329" i="12" s="1"/>
  <c r="Q330" i="12" s="1"/>
  <c r="Q331" i="12" s="1"/>
  <c r="Q332" i="12" s="1"/>
  <c r="Q333" i="12" s="1"/>
  <c r="Q334" i="12" s="1"/>
  <c r="Q335" i="12" s="1"/>
  <c r="Q336" i="12" s="1"/>
  <c r="Q337" i="12" s="1"/>
  <c r="Q338" i="12" s="1"/>
  <c r="Q339" i="12" s="1"/>
  <c r="Q340" i="12" s="1"/>
  <c r="Q341" i="12" s="1"/>
  <c r="Q342" i="12" s="1"/>
  <c r="Q343" i="12" s="1"/>
  <c r="Q344" i="12" s="1"/>
  <c r="Q345" i="12" s="1"/>
  <c r="Q346" i="12" s="1"/>
  <c r="Q347" i="12" s="1"/>
  <c r="Q348" i="12" s="1"/>
  <c r="Q349" i="12" s="1"/>
  <c r="Q350" i="12" s="1"/>
  <c r="Q351" i="12" s="1"/>
  <c r="Q352" i="12" s="1"/>
  <c r="Q353" i="12" s="1"/>
  <c r="Q354" i="12" s="1"/>
  <c r="Q355" i="12" s="1"/>
  <c r="Q356" i="12" s="1"/>
  <c r="Q357" i="12" s="1"/>
  <c r="Q358" i="12" s="1"/>
  <c r="Q359" i="12" s="1"/>
  <c r="Q360" i="12" s="1"/>
  <c r="Q361" i="12" s="1"/>
  <c r="Q362" i="12" s="1"/>
  <c r="Q363" i="12" s="1"/>
  <c r="Q364" i="12" s="1"/>
  <c r="Q365" i="12" s="1"/>
  <c r="Q366" i="12" s="1"/>
  <c r="Q367" i="12" s="1"/>
  <c r="Q368" i="12" s="1"/>
  <c r="Q369" i="12" s="1"/>
  <c r="Q370" i="12" s="1"/>
  <c r="Q371" i="12" s="1"/>
  <c r="Q372" i="12" s="1"/>
  <c r="Q373" i="12" s="1"/>
  <c r="Q374" i="12" s="1"/>
  <c r="Q375" i="12" s="1"/>
  <c r="Q376" i="12" s="1"/>
  <c r="Q377" i="12" s="1"/>
  <c r="Q378" i="12" s="1"/>
  <c r="Q379" i="12" s="1"/>
  <c r="Q380" i="12" s="1"/>
  <c r="Q381" i="12" s="1"/>
  <c r="Q382" i="12" s="1"/>
  <c r="Q383" i="12" s="1"/>
  <c r="Q384" i="12" s="1"/>
  <c r="Q385" i="12" s="1"/>
  <c r="Q386" i="12" s="1"/>
  <c r="Q387" i="12" s="1"/>
  <c r="Q388" i="12" s="1"/>
  <c r="Q389" i="12" s="1"/>
  <c r="Q390" i="12" s="1"/>
  <c r="Q391" i="12" s="1"/>
  <c r="I22" i="13"/>
  <c r="G26" i="13"/>
  <c r="T1281" i="12"/>
  <c r="K931" i="12"/>
  <c r="G7" i="13" s="1"/>
  <c r="L9" i="26"/>
  <c r="E53" i="26"/>
  <c r="D53" i="26"/>
  <c r="B36" i="13"/>
  <c r="S24" i="23"/>
  <c r="S25" i="23" s="1"/>
  <c r="S27" i="23" s="1"/>
  <c r="D46" i="23"/>
  <c r="AL15" i="8"/>
  <c r="AL41" i="8"/>
  <c r="G119" i="8"/>
  <c r="L74" i="8"/>
  <c r="N91" i="8"/>
  <c r="W43" i="8"/>
  <c r="D98" i="8"/>
  <c r="F96" i="8"/>
  <c r="P91" i="8"/>
  <c r="P68" i="8"/>
  <c r="G97" i="8"/>
  <c r="L71" i="8"/>
  <c r="L73" i="8" s="1"/>
  <c r="P73" i="8" s="1"/>
  <c r="H74" i="8"/>
  <c r="L84" i="8"/>
  <c r="L97" i="8" s="1"/>
  <c r="J95" i="8"/>
  <c r="AF58" i="8"/>
  <c r="M106" i="8"/>
  <c r="M119" i="8" s="1"/>
  <c r="AL59" i="8" s="1"/>
  <c r="N105" i="8"/>
  <c r="B115" i="8"/>
  <c r="V60" i="8"/>
  <c r="AF50" i="8"/>
  <c r="AL50" i="8" s="1"/>
  <c r="W60" i="8"/>
  <c r="J142" i="8"/>
  <c r="P137" i="8"/>
  <c r="I141" i="8"/>
  <c r="K145" i="8"/>
  <c r="J115" i="8"/>
  <c r="AL36" i="8"/>
  <c r="B97" i="8"/>
  <c r="AL31" i="8" s="1"/>
  <c r="V43" i="8"/>
  <c r="E84" i="8"/>
  <c r="E97" i="8" s="1"/>
  <c r="P69" i="8"/>
  <c r="G95" i="8"/>
  <c r="N76" i="8"/>
  <c r="B372" i="8" s="1"/>
  <c r="C372" i="8" s="1"/>
  <c r="M84" i="8"/>
  <c r="M97" i="8" s="1"/>
  <c r="AL42" i="8" s="1"/>
  <c r="D118" i="8"/>
  <c r="F119" i="8"/>
  <c r="AL52" i="8" s="1"/>
  <c r="L106" i="8"/>
  <c r="L115" i="8"/>
  <c r="L117" i="8" s="1"/>
  <c r="E115" i="8"/>
  <c r="P103" i="8"/>
  <c r="H53" i="8"/>
  <c r="X60" i="8"/>
  <c r="K139" i="8"/>
  <c r="V77" i="8"/>
  <c r="AF65" i="8"/>
  <c r="AL65" i="8" s="1"/>
  <c r="AF66" i="8"/>
  <c r="N129" i="8"/>
  <c r="N130" i="8" s="1"/>
  <c r="B207" i="8" s="1"/>
  <c r="N106" i="8"/>
  <c r="B201" i="8" s="1"/>
  <c r="E10" i="8"/>
  <c r="AF23" i="8"/>
  <c r="AJ26" i="8" s="1"/>
  <c r="AH31" i="8"/>
  <c r="N81" i="8"/>
  <c r="N84" i="8" s="1"/>
  <c r="B195" i="8" s="1"/>
  <c r="N83" i="8"/>
  <c r="U43" i="8"/>
  <c r="AL35" i="8"/>
  <c r="AH17" i="8"/>
  <c r="AH40" i="8"/>
  <c r="E119" i="8"/>
  <c r="AL51" i="8" s="1"/>
  <c r="N120" i="8"/>
  <c r="B374" i="8" s="1"/>
  <c r="C374" i="8" s="1"/>
  <c r="G115" i="8"/>
  <c r="C118" i="8"/>
  <c r="L130" i="8"/>
  <c r="L143" i="8" s="1"/>
  <c r="AL75" i="8" s="1"/>
  <c r="AF73" i="8"/>
  <c r="AL73" i="8" s="1"/>
  <c r="AF9" i="8"/>
  <c r="AH25" i="8"/>
  <c r="AL25" i="8"/>
  <c r="X98" i="8"/>
  <c r="N89" i="8"/>
  <c r="I115" i="8"/>
  <c r="AL53" i="8"/>
  <c r="C141" i="8"/>
  <c r="I143" i="8"/>
  <c r="AL72" i="8" s="1"/>
  <c r="AF69" i="8"/>
  <c r="AH16" i="8"/>
  <c r="P93" i="8"/>
  <c r="AL34" i="8"/>
  <c r="W99" i="8"/>
  <c r="AF68" i="8"/>
  <c r="AL68" i="8" s="1"/>
  <c r="AF24" i="8"/>
  <c r="AH36" i="8"/>
  <c r="B95" i="8"/>
  <c r="C95" i="8"/>
  <c r="I95" i="8"/>
  <c r="K119" i="8"/>
  <c r="B117" i="8"/>
  <c r="AF57" i="8"/>
  <c r="AF49" i="8"/>
  <c r="C143" i="8"/>
  <c r="AF67" i="8"/>
  <c r="AL67" i="8" s="1"/>
  <c r="AA77" i="8"/>
  <c r="P59" i="8"/>
  <c r="Y98" i="8"/>
  <c r="X99" i="8"/>
  <c r="I76" i="8"/>
  <c r="P76" i="8" s="1"/>
  <c r="N113" i="8"/>
  <c r="N115" i="8" s="1"/>
  <c r="B202" i="8" s="1"/>
  <c r="B203" i="8" s="1"/>
  <c r="J119" i="8"/>
  <c r="AL56" i="8" s="1"/>
  <c r="AL54" i="8"/>
  <c r="AF71" i="8"/>
  <c r="AL71" i="8" s="1"/>
  <c r="AL16" i="8"/>
  <c r="AH38" i="8"/>
  <c r="I75" i="8"/>
  <c r="AL21" i="8" s="1"/>
  <c r="AH21" i="8"/>
  <c r="AH14" i="8"/>
  <c r="AL14" i="8"/>
  <c r="AH39" i="8"/>
  <c r="J75" i="8"/>
  <c r="AL22" i="8" s="1"/>
  <c r="AH22" i="8"/>
  <c r="D96" i="8"/>
  <c r="D95" i="8"/>
  <c r="AL49" i="8"/>
  <c r="AH23" i="8"/>
  <c r="AF43" i="8"/>
  <c r="AH33" i="8"/>
  <c r="AJ43" i="8"/>
  <c r="I96" i="8"/>
  <c r="I97" i="8"/>
  <c r="AL38" i="8" s="1"/>
  <c r="AL19" i="8"/>
  <c r="V26" i="8"/>
  <c r="W26" i="8"/>
  <c r="W98" i="8" s="1"/>
  <c r="N90" i="8"/>
  <c r="C97" i="8"/>
  <c r="B326" i="8"/>
  <c r="H97" i="8"/>
  <c r="AL37" i="8" s="1"/>
  <c r="K97" i="8"/>
  <c r="AL40" i="8" s="1"/>
  <c r="Y119" i="8"/>
  <c r="AJ60" i="8"/>
  <c r="N144" i="8"/>
  <c r="B375" i="8" s="1"/>
  <c r="D375" i="8" s="1"/>
  <c r="P145" i="8"/>
  <c r="B141" i="8"/>
  <c r="L142" i="8"/>
  <c r="F62" i="8"/>
  <c r="I74" i="8"/>
  <c r="J74" i="8"/>
  <c r="L62" i="8"/>
  <c r="AH24" i="8" s="1"/>
  <c r="P89" i="8"/>
  <c r="C96" i="8"/>
  <c r="B268" i="8"/>
  <c r="C98" i="8"/>
  <c r="P98" i="8" s="1"/>
  <c r="P90" i="8"/>
  <c r="H96" i="8"/>
  <c r="K95" i="8"/>
  <c r="AL69" i="8"/>
  <c r="B121" i="8"/>
  <c r="P121" i="8" s="1"/>
  <c r="E53" i="8"/>
  <c r="AL66" i="8"/>
  <c r="U77" i="8"/>
  <c r="G139" i="8"/>
  <c r="P139" i="8" s="1"/>
  <c r="N59" i="8"/>
  <c r="N62" i="8" s="1"/>
  <c r="B189" i="8" s="1"/>
  <c r="B191" i="8" s="1"/>
  <c r="P144" i="8"/>
  <c r="AF119" i="8"/>
  <c r="Y120" i="8"/>
  <c r="AF118" i="8"/>
  <c r="N365" i="21"/>
  <c r="B403" i="21"/>
  <c r="B411" i="21" s="1"/>
  <c r="D380" i="21"/>
  <c r="D411" i="21" s="1"/>
  <c r="N573" i="21"/>
  <c r="N557" i="21"/>
  <c r="N558" i="21"/>
  <c r="G477" i="21"/>
  <c r="N475" i="21"/>
  <c r="N455" i="21"/>
  <c r="D469" i="21"/>
  <c r="H477" i="21"/>
  <c r="N312" i="21"/>
  <c r="M344" i="21"/>
  <c r="H344" i="21"/>
  <c r="N562" i="21"/>
  <c r="F570" i="21"/>
  <c r="I570" i="21"/>
  <c r="I618" i="21" s="1"/>
  <c r="K344" i="21"/>
  <c r="N285" i="21"/>
  <c r="H287" i="21"/>
  <c r="I229" i="21"/>
  <c r="M229" i="21"/>
  <c r="B229" i="21"/>
  <c r="F171" i="21"/>
  <c r="J171" i="21"/>
  <c r="C171" i="21"/>
  <c r="G171" i="21"/>
  <c r="D113" i="21"/>
  <c r="L113" i="21"/>
  <c r="M113" i="21"/>
  <c r="B55" i="21"/>
  <c r="J55" i="21"/>
  <c r="C55" i="21"/>
  <c r="N391" i="21"/>
  <c r="N403" i="21" s="1"/>
  <c r="N574" i="21"/>
  <c r="N451" i="21"/>
  <c r="G618" i="21"/>
  <c r="N586" i="21"/>
  <c r="N588" i="21"/>
  <c r="K610" i="21"/>
  <c r="N589" i="21"/>
  <c r="H610" i="21"/>
  <c r="N595" i="21"/>
  <c r="N597" i="21"/>
  <c r="N600" i="21"/>
  <c r="N602" i="21"/>
  <c r="I616" i="21"/>
  <c r="M616" i="21"/>
  <c r="N279" i="21"/>
  <c r="N227" i="21"/>
  <c r="N163" i="21"/>
  <c r="N105" i="21"/>
  <c r="N169" i="21"/>
  <c r="N53" i="21"/>
  <c r="N221" i="21"/>
  <c r="N143" i="21"/>
  <c r="N85" i="21"/>
  <c r="N111" i="21"/>
  <c r="N559" i="21"/>
  <c r="N27" i="21"/>
  <c r="N47" i="21"/>
  <c r="N567" i="21"/>
  <c r="N571" i="21"/>
  <c r="N409" i="21"/>
  <c r="N566" i="21"/>
  <c r="S737" i="12"/>
  <c r="K477" i="21"/>
  <c r="M380" i="21"/>
  <c r="M411" i="21" s="1"/>
  <c r="N358" i="21"/>
  <c r="M555" i="21"/>
  <c r="N429" i="21"/>
  <c r="C443" i="21"/>
  <c r="C477" i="21" s="1"/>
  <c r="N419" i="21"/>
  <c r="D443" i="21"/>
  <c r="D477" i="21" s="1"/>
  <c r="N336" i="21"/>
  <c r="N570" i="21"/>
  <c r="N568" i="21"/>
  <c r="N572" i="21"/>
  <c r="N342" i="21"/>
  <c r="N201" i="21"/>
  <c r="N565" i="21"/>
  <c r="N569" i="21"/>
  <c r="B610" i="21"/>
  <c r="B618" i="21" s="1"/>
  <c r="C610" i="21"/>
  <c r="C618" i="21" s="1"/>
  <c r="N614" i="21"/>
  <c r="N616" i="21" s="1"/>
  <c r="D553" i="21"/>
  <c r="N553" i="21" s="1"/>
  <c r="N295" i="21"/>
  <c r="N316" i="21" s="1"/>
  <c r="N259" i="21"/>
  <c r="F593" i="21"/>
  <c r="F610" i="21" s="1"/>
  <c r="F403" i="21"/>
  <c r="F411" i="21" s="1"/>
  <c r="N552" i="21"/>
  <c r="E618" i="21"/>
  <c r="M618" i="21"/>
  <c r="N554" i="21"/>
  <c r="J618" i="21"/>
  <c r="N555" i="21"/>
  <c r="K618" i="21"/>
  <c r="L380" i="21"/>
  <c r="L411" i="21" s="1"/>
  <c r="L563" i="21"/>
  <c r="N563" i="21" s="1"/>
  <c r="N446" i="21"/>
  <c r="L469" i="21"/>
  <c r="L477" i="21" s="1"/>
  <c r="D590" i="21"/>
  <c r="N590" i="21" s="1"/>
  <c r="N437" i="21"/>
  <c r="AJ77" i="8"/>
  <c r="N145" i="8"/>
  <c r="L41" i="13"/>
  <c r="Q589" i="12"/>
  <c r="Q590" i="12" s="1"/>
  <c r="Q591" i="12" s="1"/>
  <c r="Q592" i="12" s="1"/>
  <c r="Q593" i="12" s="1"/>
  <c r="Q594" i="12" s="1"/>
  <c r="Q595" i="12" s="1"/>
  <c r="Q596" i="12" s="1"/>
  <c r="Q597" i="12" s="1"/>
  <c r="Q598" i="12" s="1"/>
  <c r="Q599" i="12" s="1"/>
  <c r="Q600" i="12" s="1"/>
  <c r="Q601" i="12" s="1"/>
  <c r="Q602" i="12" s="1"/>
  <c r="Q603" i="12" s="1"/>
  <c r="Q604" i="12" s="1"/>
  <c r="Q605" i="12" s="1"/>
  <c r="Q606" i="12" s="1"/>
  <c r="Q607" i="12" s="1"/>
  <c r="Q608" i="12" s="1"/>
  <c r="Q609" i="12" s="1"/>
  <c r="Q610" i="12" s="1"/>
  <c r="Q611" i="12" s="1"/>
  <c r="Q612" i="12" s="1"/>
  <c r="Q613" i="12" s="1"/>
  <c r="Q614" i="12" s="1"/>
  <c r="Q615" i="12" s="1"/>
  <c r="Q616" i="12" s="1"/>
  <c r="Q617" i="12" s="1"/>
  <c r="Q618" i="12" s="1"/>
  <c r="Q619" i="12" s="1"/>
  <c r="Q620" i="12" s="1"/>
  <c r="Q621" i="12" s="1"/>
  <c r="Q622" i="12" s="1"/>
  <c r="Q623" i="12" s="1"/>
  <c r="Q624" i="12" s="1"/>
  <c r="Q625" i="12" s="1"/>
  <c r="Q626" i="12" s="1"/>
  <c r="Q627" i="12" s="1"/>
  <c r="Q628" i="12" s="1"/>
  <c r="Q629" i="12" s="1"/>
  <c r="Q630" i="12" s="1"/>
  <c r="Q631" i="12" s="1"/>
  <c r="Q632" i="12" s="1"/>
  <c r="Q633" i="12" s="1"/>
  <c r="Q634" i="12" s="1"/>
  <c r="Q635" i="12" s="1"/>
  <c r="Q636" i="12" s="1"/>
  <c r="Q637" i="12" s="1"/>
  <c r="Q638" i="12" s="1"/>
  <c r="Q639" i="12" s="1"/>
  <c r="Q640" i="12" s="1"/>
  <c r="Q641" i="12" s="1"/>
  <c r="Q642" i="12" s="1"/>
  <c r="Q643" i="12" s="1"/>
  <c r="Q644" i="12" s="1"/>
  <c r="Q645" i="12" s="1"/>
  <c r="Q646" i="12" s="1"/>
  <c r="Q647" i="12" s="1"/>
  <c r="Q648" i="12" s="1"/>
  <c r="Q649" i="12" s="1"/>
  <c r="Q650" i="12" s="1"/>
  <c r="Q651" i="12" s="1"/>
  <c r="Q652" i="12" s="1"/>
  <c r="Q653" i="12" s="1"/>
  <c r="Q654" i="12" s="1"/>
  <c r="Q655" i="12" s="1"/>
  <c r="Q656" i="12" s="1"/>
  <c r="Q657" i="12" s="1"/>
  <c r="Q658" i="12" s="1"/>
  <c r="Q659" i="12" s="1"/>
  <c r="Q660" i="12" s="1"/>
  <c r="Q661" i="12" s="1"/>
  <c r="Q662" i="12" s="1"/>
  <c r="Q663" i="12" s="1"/>
  <c r="Q664" i="12" s="1"/>
  <c r="Q665" i="12" s="1"/>
  <c r="Q666" i="12" s="1"/>
  <c r="Q667" i="12" s="1"/>
  <c r="Q668" i="12" s="1"/>
  <c r="Q669" i="12" s="1"/>
  <c r="Q670" i="12" s="1"/>
  <c r="Q671" i="12" s="1"/>
  <c r="Q672" i="12" s="1"/>
  <c r="Q673" i="12" s="1"/>
  <c r="Q674" i="12" s="1"/>
  <c r="Q675" i="12" s="1"/>
  <c r="Q676" i="12" s="1"/>
  <c r="Q677" i="12" s="1"/>
  <c r="Q678" i="12" s="1"/>
  <c r="Q679" i="12" s="1"/>
  <c r="Q680" i="12" s="1"/>
  <c r="Q681" i="12" s="1"/>
  <c r="Q682" i="12" s="1"/>
  <c r="Q683" i="12" s="1"/>
  <c r="Q684" i="12" s="1"/>
  <c r="Q685" i="12" s="1"/>
  <c r="Q686" i="12" s="1"/>
  <c r="Q687" i="12" s="1"/>
  <c r="Q688" i="12" s="1"/>
  <c r="Q689" i="12" s="1"/>
  <c r="Q690" i="12" s="1"/>
  <c r="Q691" i="12" s="1"/>
  <c r="Q692" i="12" s="1"/>
  <c r="Q693" i="12" s="1"/>
  <c r="Q694" i="12" s="1"/>
  <c r="Q695" i="12" s="1"/>
  <c r="Q696" i="12" s="1"/>
  <c r="Q697" i="12" s="1"/>
  <c r="Q698" i="12" s="1"/>
  <c r="Q699" i="12" s="1"/>
  <c r="Q700" i="12" s="1"/>
  <c r="Q701" i="12" s="1"/>
  <c r="Q702" i="12" s="1"/>
  <c r="Q703" i="12" s="1"/>
  <c r="Q704" i="12" s="1"/>
  <c r="Q705" i="12" s="1"/>
  <c r="Q706" i="12" s="1"/>
  <c r="Q707" i="12" s="1"/>
  <c r="Q708" i="12" s="1"/>
  <c r="Q709" i="12" s="1"/>
  <c r="Q710" i="12" s="1"/>
  <c r="Q711" i="12" s="1"/>
  <c r="Q712" i="12" s="1"/>
  <c r="Q713" i="12" s="1"/>
  <c r="Q714" i="12" s="1"/>
  <c r="Q715" i="12" s="1"/>
  <c r="Q716" i="12" s="1"/>
  <c r="Q717" i="12" s="1"/>
  <c r="Q718" i="12" s="1"/>
  <c r="Q719" i="12" s="1"/>
  <c r="Q720" i="12" s="1"/>
  <c r="Q721" i="12" s="1"/>
  <c r="Q722" i="12" s="1"/>
  <c r="Q723" i="12" s="1"/>
  <c r="Q724" i="12" s="1"/>
  <c r="Q725" i="12" s="1"/>
  <c r="Q726" i="12" s="1"/>
  <c r="Q727" i="12" s="1"/>
  <c r="Q728" i="12" s="1"/>
  <c r="Q729" i="12" s="1"/>
  <c r="Q730" i="12" s="1"/>
  <c r="Q731" i="12" s="1"/>
  <c r="Q732" i="12" s="1"/>
  <c r="Q733" i="12" s="1"/>
  <c r="Q734" i="12" s="1"/>
  <c r="Q735" i="12" s="1"/>
  <c r="Q736" i="12" s="1"/>
  <c r="Q737" i="12" s="1"/>
  <c r="Q738" i="12" s="1"/>
  <c r="Q739" i="12" s="1"/>
  <c r="Q740" i="12" s="1"/>
  <c r="Q741" i="12" s="1"/>
  <c r="Q742" i="12" s="1"/>
  <c r="Q743" i="12" s="1"/>
  <c r="Q744" i="12" s="1"/>
  <c r="Q745" i="12" s="1"/>
  <c r="Q746" i="12" s="1"/>
  <c r="Q747" i="12" s="1"/>
  <c r="Q748" i="12" s="1"/>
  <c r="Q749" i="12" s="1"/>
  <c r="Q750" i="12" s="1"/>
  <c r="Q751" i="12" s="1"/>
  <c r="Q752" i="12" s="1"/>
  <c r="Q753" i="12" s="1"/>
  <c r="Q754" i="12" s="1"/>
  <c r="Q755" i="12" s="1"/>
  <c r="Q756" i="12" s="1"/>
  <c r="Q757" i="12" s="1"/>
  <c r="Q758" i="12" s="1"/>
  <c r="Q759" i="12" s="1"/>
  <c r="Q760" i="12" s="1"/>
  <c r="Q761" i="12" s="1"/>
  <c r="Q762" i="12" s="1"/>
  <c r="Q763" i="12" s="1"/>
  <c r="Q764" i="12" s="1"/>
  <c r="Q765" i="12" s="1"/>
  <c r="Q766" i="12" s="1"/>
  <c r="Q767" i="12" s="1"/>
  <c r="Q768" i="12" s="1"/>
  <c r="Q769" i="12" s="1"/>
  <c r="Q770" i="12" s="1"/>
  <c r="Q771" i="12" s="1"/>
  <c r="Q772" i="12" s="1"/>
  <c r="Q773" i="12" s="1"/>
  <c r="Q774" i="12" s="1"/>
  <c r="Q775" i="12" s="1"/>
  <c r="Q776" i="12" s="1"/>
  <c r="Q777" i="12" s="1"/>
  <c r="Q778" i="12" s="1"/>
  <c r="Q779" i="12" s="1"/>
  <c r="Q780" i="12" s="1"/>
  <c r="Q781" i="12" s="1"/>
  <c r="Q782" i="12" s="1"/>
  <c r="Q783" i="12" s="1"/>
  <c r="Q784" i="12" s="1"/>
  <c r="Q785" i="12" s="1"/>
  <c r="Q786" i="12" s="1"/>
  <c r="Q787" i="12" s="1"/>
  <c r="Q788" i="12" s="1"/>
  <c r="Q789" i="12" s="1"/>
  <c r="Q790" i="12" s="1"/>
  <c r="Q791" i="12" s="1"/>
  <c r="Q792" i="12" s="1"/>
  <c r="Q793" i="12" s="1"/>
  <c r="Q794" i="12" s="1"/>
  <c r="Q795" i="12" s="1"/>
  <c r="Q796" i="12" s="1"/>
  <c r="Q797" i="12" s="1"/>
  <c r="Q798" i="12" s="1"/>
  <c r="Q799" i="12" s="1"/>
  <c r="Q800" i="12" s="1"/>
  <c r="Q801" i="12" s="1"/>
  <c r="Q802" i="12" s="1"/>
  <c r="Q803" i="12" s="1"/>
  <c r="Q804" i="12" s="1"/>
  <c r="Q805" i="12" s="1"/>
  <c r="Q806" i="12" s="1"/>
  <c r="Q807" i="12" s="1"/>
  <c r="Q808" i="12" s="1"/>
  <c r="Q809" i="12" s="1"/>
  <c r="Q810" i="12" s="1"/>
  <c r="Q811" i="12" s="1"/>
  <c r="Q812" i="12" s="1"/>
  <c r="Q813" i="12" s="1"/>
  <c r="Q814" i="12" s="1"/>
  <c r="Q815" i="12" s="1"/>
  <c r="Q816" i="12" s="1"/>
  <c r="Q817" i="12" s="1"/>
  <c r="Q818" i="12" s="1"/>
  <c r="Q819" i="12" s="1"/>
  <c r="Q820" i="12" s="1"/>
  <c r="Q821" i="12" s="1"/>
  <c r="Q822" i="12" s="1"/>
  <c r="Q823" i="12" s="1"/>
  <c r="Q824" i="12" s="1"/>
  <c r="Q825" i="12" s="1"/>
  <c r="Q826" i="12" s="1"/>
  <c r="Q827" i="12" s="1"/>
  <c r="Q828" i="12" s="1"/>
  <c r="Q829" i="12" s="1"/>
  <c r="Q830" i="12" s="1"/>
  <c r="Q831" i="12" s="1"/>
  <c r="Q832" i="12" s="1"/>
  <c r="Q833" i="12" s="1"/>
  <c r="Q834" i="12" s="1"/>
  <c r="F21" i="13"/>
  <c r="G28" i="13"/>
  <c r="C375" i="8"/>
  <c r="F25" i="13"/>
  <c r="F11" i="13"/>
  <c r="L46" i="13"/>
  <c r="N139" i="8"/>
  <c r="B208" i="8" s="1"/>
  <c r="N469" i="21"/>
  <c r="G16" i="13"/>
  <c r="J30" i="13"/>
  <c r="F27" i="13"/>
  <c r="B44" i="23"/>
  <c r="D45" i="23"/>
  <c r="E45" i="23" s="1"/>
  <c r="G17" i="13"/>
  <c r="K33" i="12"/>
  <c r="G18" i="13"/>
  <c r="M36" i="13"/>
  <c r="F22" i="13"/>
  <c r="F15" i="13"/>
  <c r="K39" i="12"/>
  <c r="K47" i="12"/>
  <c r="G27" i="13" s="1"/>
  <c r="F24" i="13"/>
  <c r="G25" i="13"/>
  <c r="G11" i="13"/>
  <c r="F17" i="13"/>
  <c r="F10" i="13"/>
  <c r="G29" i="13"/>
  <c r="G12" i="13"/>
  <c r="B30" i="13"/>
  <c r="G23" i="13"/>
  <c r="F28" i="13"/>
  <c r="M30" i="13"/>
  <c r="M37" i="13"/>
  <c r="F14" i="13"/>
  <c r="E30" i="13"/>
  <c r="F26" i="13"/>
  <c r="D29" i="13"/>
  <c r="G24" i="13" l="1"/>
  <c r="X100" i="8"/>
  <c r="Q392" i="12"/>
  <c r="Q393" i="12" s="1"/>
  <c r="Q394" i="12" s="1"/>
  <c r="Q395" i="12" s="1"/>
  <c r="Q396" i="12" s="1"/>
  <c r="Q397" i="12" s="1"/>
  <c r="Q398" i="12" s="1"/>
  <c r="Q399" i="12" s="1"/>
  <c r="Q400" i="12" s="1"/>
  <c r="Q401" i="12" s="1"/>
  <c r="Q402" i="12" s="1"/>
  <c r="Q403" i="12" s="1"/>
  <c r="Q404" i="12" s="1"/>
  <c r="Q405" i="12" s="1"/>
  <c r="Q406" i="12" s="1"/>
  <c r="Q407" i="12" s="1"/>
  <c r="Q408" i="12" s="1"/>
  <c r="Q409" i="12" s="1"/>
  <c r="Q410" i="12" s="1"/>
  <c r="Q411" i="12" s="1"/>
  <c r="Q412" i="12" s="1"/>
  <c r="Q413" i="12" s="1"/>
  <c r="Q414" i="12" s="1"/>
  <c r="Q415" i="12" s="1"/>
  <c r="Q416" i="12" s="1"/>
  <c r="Q417" i="12" s="1"/>
  <c r="Q418" i="12" s="1"/>
  <c r="Q419" i="12" s="1"/>
  <c r="Q420" i="12" s="1"/>
  <c r="Q421" i="12" s="1"/>
  <c r="Q422" i="12" s="1"/>
  <c r="Q423" i="12" s="1"/>
  <c r="Q424" i="12" s="1"/>
  <c r="Q425" i="12" s="1"/>
  <c r="Q426" i="12" s="1"/>
  <c r="Q427" i="12" s="1"/>
  <c r="Q428" i="12" s="1"/>
  <c r="Q429" i="12" s="1"/>
  <c r="Q430" i="12" s="1"/>
  <c r="Q431" i="12" s="1"/>
  <c r="Q432" i="12" s="1"/>
  <c r="Q433" i="12" s="1"/>
  <c r="Q434" i="12" s="1"/>
  <c r="Q435" i="12" s="1"/>
  <c r="Q436" i="12" s="1"/>
  <c r="Q437" i="12" s="1"/>
  <c r="Q438" i="12" s="1"/>
  <c r="Q439" i="12" s="1"/>
  <c r="Q440" i="12" s="1"/>
  <c r="Q441" i="12" s="1"/>
  <c r="Q442" i="12" s="1"/>
  <c r="Q443" i="12" s="1"/>
  <c r="Q444" i="12" s="1"/>
  <c r="Q445" i="12" s="1"/>
  <c r="Q446" i="12" s="1"/>
  <c r="Q447" i="12" s="1"/>
  <c r="Q448" i="12" s="1"/>
  <c r="Q449" i="12" s="1"/>
  <c r="Q450" i="12" s="1"/>
  <c r="Q451" i="12" s="1"/>
  <c r="Q452" i="12" s="1"/>
  <c r="Q453" i="12" s="1"/>
  <c r="Q454" i="12" s="1"/>
  <c r="Q455" i="12" s="1"/>
  <c r="Q456" i="12" s="1"/>
  <c r="Q457" i="12" s="1"/>
  <c r="Q458" i="12" s="1"/>
  <c r="Q459" i="12" s="1"/>
  <c r="Q460" i="12" s="1"/>
  <c r="Q461" i="12" s="1"/>
  <c r="Q462" i="12" s="1"/>
  <c r="Q463" i="12" s="1"/>
  <c r="Q464" i="12" s="1"/>
  <c r="Q465" i="12" s="1"/>
  <c r="Q466" i="12" s="1"/>
  <c r="Q467" i="12" s="1"/>
  <c r="Q468" i="12" s="1"/>
  <c r="Q469" i="12" s="1"/>
  <c r="Q470" i="12" s="1"/>
  <c r="Q471" i="12" s="1"/>
  <c r="Q472" i="12" s="1"/>
  <c r="Q473" i="12" s="1"/>
  <c r="Q474" i="12" s="1"/>
  <c r="Q475" i="12" s="1"/>
  <c r="Q476" i="12" s="1"/>
  <c r="Q477" i="12" s="1"/>
  <c r="Q478" i="12" s="1"/>
  <c r="Q479" i="12" s="1"/>
  <c r="Q480" i="12" s="1"/>
  <c r="Q481" i="12" s="1"/>
  <c r="Q482" i="12" s="1"/>
  <c r="Q483" i="12" s="1"/>
  <c r="Q484" i="12" s="1"/>
  <c r="Q485" i="12" s="1"/>
  <c r="Q486" i="12" s="1"/>
  <c r="Q487" i="12" s="1"/>
  <c r="Q488" i="12" s="1"/>
  <c r="Q489" i="12" s="1"/>
  <c r="Q490" i="12" s="1"/>
  <c r="Q491" i="12" s="1"/>
  <c r="Q492" i="12" s="1"/>
  <c r="Q493" i="12" s="1"/>
  <c r="Q494" i="12" s="1"/>
  <c r="Q495" i="12" s="1"/>
  <c r="Q496" i="12" s="1"/>
  <c r="Q497" i="12" s="1"/>
  <c r="Q498" i="12" s="1"/>
  <c r="Q499" i="12" s="1"/>
  <c r="Q500" i="12" s="1"/>
  <c r="Q501" i="12" s="1"/>
  <c r="Q502" i="12" s="1"/>
  <c r="Q503" i="12" s="1"/>
  <c r="Q504" i="12" s="1"/>
  <c r="Q505" i="12" s="1"/>
  <c r="Q506" i="12" s="1"/>
  <c r="Q507" i="12" s="1"/>
  <c r="Q508" i="12" s="1"/>
  <c r="Q509" i="12" s="1"/>
  <c r="Q510" i="12" s="1"/>
  <c r="Q511" i="12" s="1"/>
  <c r="Q512" i="12" s="1"/>
  <c r="Q513" i="12" s="1"/>
  <c r="Q514" i="12" s="1"/>
  <c r="Q515" i="12" s="1"/>
  <c r="Q516" i="12" s="1"/>
  <c r="Q517" i="12" s="1"/>
  <c r="Q518" i="12" s="1"/>
  <c r="Q519" i="12" s="1"/>
  <c r="Q520" i="12" s="1"/>
  <c r="Q521" i="12" s="1"/>
  <c r="Q522" i="12" s="1"/>
  <c r="Q523" i="12" s="1"/>
  <c r="Q524" i="12" s="1"/>
  <c r="Q525" i="12" s="1"/>
  <c r="Q526" i="12" s="1"/>
  <c r="Q527" i="12" s="1"/>
  <c r="Q528" i="12" s="1"/>
  <c r="Q529" i="12" s="1"/>
  <c r="Q530" i="12" s="1"/>
  <c r="Q531" i="12" s="1"/>
  <c r="Q532" i="12" s="1"/>
  <c r="Q533" i="12" s="1"/>
  <c r="Q534" i="12" s="1"/>
  <c r="Q535" i="12" s="1"/>
  <c r="Q536" i="12" s="1"/>
  <c r="Q537" i="12" s="1"/>
  <c r="Q538" i="12" s="1"/>
  <c r="Q539" i="12" s="1"/>
  <c r="Q540" i="12" s="1"/>
  <c r="Q541" i="12" s="1"/>
  <c r="K1604" i="12"/>
  <c r="Q835" i="12"/>
  <c r="Q836" i="12" s="1"/>
  <c r="Q837" i="12" s="1"/>
  <c r="Q838" i="12" s="1"/>
  <c r="Q839" i="12" s="1"/>
  <c r="Q840" i="12" s="1"/>
  <c r="Q841" i="12" s="1"/>
  <c r="Q842" i="12" s="1"/>
  <c r="Q843" i="12" s="1"/>
  <c r="Q844" i="12" s="1"/>
  <c r="Q845" i="12" s="1"/>
  <c r="Q846" i="12" s="1"/>
  <c r="Q847" i="12" s="1"/>
  <c r="Q848" i="12" s="1"/>
  <c r="Q849" i="12" s="1"/>
  <c r="Q850" i="12" s="1"/>
  <c r="Q851" i="12" s="1"/>
  <c r="Q852" i="12" s="1"/>
  <c r="Q853" i="12" s="1"/>
  <c r="Q854" i="12" s="1"/>
  <c r="Q855" i="12" s="1"/>
  <c r="Q856" i="12" s="1"/>
  <c r="Q857" i="12" s="1"/>
  <c r="Q858" i="12" s="1"/>
  <c r="Q859" i="12" s="1"/>
  <c r="Q860" i="12" s="1"/>
  <c r="Q861" i="12" s="1"/>
  <c r="Q862" i="12" s="1"/>
  <c r="Q863" i="12" s="1"/>
  <c r="Q864" i="12" s="1"/>
  <c r="Q865" i="12" s="1"/>
  <c r="Q866" i="12" s="1"/>
  <c r="Q867" i="12" s="1"/>
  <c r="Q868" i="12" s="1"/>
  <c r="Q869" i="12" s="1"/>
  <c r="Q870" i="12" s="1"/>
  <c r="Q871" i="12" s="1"/>
  <c r="Q872" i="12" s="1"/>
  <c r="Q873" i="12" s="1"/>
  <c r="Q874" i="12" s="1"/>
  <c r="Q875" i="12" s="1"/>
  <c r="Q876" i="12" s="1"/>
  <c r="Q877" i="12" s="1"/>
  <c r="Q878" i="12" s="1"/>
  <c r="Q879" i="12" s="1"/>
  <c r="Q880" i="12" s="1"/>
  <c r="Q881" i="12" s="1"/>
  <c r="Q882" i="12" s="1"/>
  <c r="Q883" i="12" s="1"/>
  <c r="Q884" i="12" s="1"/>
  <c r="Q885" i="12" s="1"/>
  <c r="Q886" i="12" s="1"/>
  <c r="Q887" i="12" s="1"/>
  <c r="Q888" i="12" s="1"/>
  <c r="Q889" i="12" s="1"/>
  <c r="Q890" i="12" s="1"/>
  <c r="Q891" i="12" s="1"/>
  <c r="Q892" i="12" s="1"/>
  <c r="Q893" i="12" s="1"/>
  <c r="Q894" i="12" s="1"/>
  <c r="Q895" i="12" s="1"/>
  <c r="Q896" i="12" s="1"/>
  <c r="Q897" i="12" s="1"/>
  <c r="Q898" i="12" s="1"/>
  <c r="Q899" i="12" s="1"/>
  <c r="Q900" i="12" s="1"/>
  <c r="Q901" i="12" s="1"/>
  <c r="Q902" i="12" s="1"/>
  <c r="Q903" i="12" s="1"/>
  <c r="Q904" i="12" s="1"/>
  <c r="Q905" i="12" s="1"/>
  <c r="Q906" i="12" s="1"/>
  <c r="Q907" i="12" s="1"/>
  <c r="Q908" i="12" s="1"/>
  <c r="Q909" i="12" s="1"/>
  <c r="Q910" i="12" s="1"/>
  <c r="Q911" i="12" s="1"/>
  <c r="Q912" i="12" s="1"/>
  <c r="Q913" i="12" s="1"/>
  <c r="Q914" i="12" s="1"/>
  <c r="Q915" i="12" s="1"/>
  <c r="Q916" i="12" s="1"/>
  <c r="Q917" i="12" s="1"/>
  <c r="Q918" i="12" s="1"/>
  <c r="Q919" i="12" s="1"/>
  <c r="Q920" i="12" s="1"/>
  <c r="Q921" i="12" s="1"/>
  <c r="Q922" i="12" s="1"/>
  <c r="Q923" i="12" s="1"/>
  <c r="Q924" i="12" s="1"/>
  <c r="Q925" i="12" s="1"/>
  <c r="Q926" i="12" s="1"/>
  <c r="Q927" i="12" s="1"/>
  <c r="Q928" i="12" s="1"/>
  <c r="Q929" i="12" s="1"/>
  <c r="Q930" i="12" s="1"/>
  <c r="Q931" i="12" s="1"/>
  <c r="Q932" i="12" s="1"/>
  <c r="Q933" i="12" s="1"/>
  <c r="Q934" i="12" s="1"/>
  <c r="Q935" i="12" s="1"/>
  <c r="Q936" i="12" s="1"/>
  <c r="Q937" i="12" s="1"/>
  <c r="Q938" i="12" s="1"/>
  <c r="Q939" i="12" s="1"/>
  <c r="Q940" i="12" s="1"/>
  <c r="Q941" i="12" s="1"/>
  <c r="Q942" i="12" s="1"/>
  <c r="Q943" i="12" s="1"/>
  <c r="Q944" i="12" s="1"/>
  <c r="Q945" i="12" s="1"/>
  <c r="Q946" i="12" s="1"/>
  <c r="Q947" i="12" s="1"/>
  <c r="Q948" i="12" s="1"/>
  <c r="Q949" i="12" s="1"/>
  <c r="Q950" i="12" s="1"/>
  <c r="Q951" i="12" s="1"/>
  <c r="Q952" i="12" s="1"/>
  <c r="Q953" i="12" s="1"/>
  <c r="Q954" i="12" s="1"/>
  <c r="Q955" i="12" s="1"/>
  <c r="Q956" i="12" s="1"/>
  <c r="Q957" i="12" s="1"/>
  <c r="Q958" i="12" s="1"/>
  <c r="Q959" i="12" s="1"/>
  <c r="Q960" i="12" s="1"/>
  <c r="Q961" i="12" s="1"/>
  <c r="Q962" i="12" s="1"/>
  <c r="Q963" i="12" s="1"/>
  <c r="Q964" i="12" s="1"/>
  <c r="Q965" i="12" s="1"/>
  <c r="Q966" i="12" s="1"/>
  <c r="Q967" i="12" s="1"/>
  <c r="Q968" i="12" s="1"/>
  <c r="Q969" i="12" s="1"/>
  <c r="Q970" i="12" s="1"/>
  <c r="Q971" i="12" s="1"/>
  <c r="Q972" i="12" s="1"/>
  <c r="Q973" i="12" s="1"/>
  <c r="Q974" i="12" s="1"/>
  <c r="Q975" i="12" s="1"/>
  <c r="Q976" i="12" s="1"/>
  <c r="Q977" i="12" s="1"/>
  <c r="Q978" i="12" s="1"/>
  <c r="Q979" i="12" s="1"/>
  <c r="Q980" i="12" s="1"/>
  <c r="Q981" i="12" s="1"/>
  <c r="Q982" i="12" s="1"/>
  <c r="Q983" i="12" s="1"/>
  <c r="Q984" i="12" s="1"/>
  <c r="Q985" i="12" s="1"/>
  <c r="Q986" i="12" s="1"/>
  <c r="Q987" i="12" s="1"/>
  <c r="Q988" i="12" s="1"/>
  <c r="Q989" i="12" s="1"/>
  <c r="Q990" i="12" s="1"/>
  <c r="Q991" i="12" s="1"/>
  <c r="Q992" i="12" s="1"/>
  <c r="Q993" i="12" s="1"/>
  <c r="Q994" i="12" s="1"/>
  <c r="Q995" i="12" s="1"/>
  <c r="Q996" i="12" s="1"/>
  <c r="Q997" i="12" s="1"/>
  <c r="Q998" i="12" s="1"/>
  <c r="Q999" i="12" s="1"/>
  <c r="Q1000" i="12" s="1"/>
  <c r="Q1001" i="12" s="1"/>
  <c r="Q1002" i="12" s="1"/>
  <c r="Q1003" i="12" s="1"/>
  <c r="Q1004" i="12" s="1"/>
  <c r="Q1005" i="12" s="1"/>
  <c r="Q1006" i="12" s="1"/>
  <c r="Q1007" i="12" s="1"/>
  <c r="Q1008" i="12" s="1"/>
  <c r="Q1009" i="12" s="1"/>
  <c r="Q1010" i="12" s="1"/>
  <c r="Q1011" i="12" s="1"/>
  <c r="Q1012" i="12" s="1"/>
  <c r="Q1013" i="12" s="1"/>
  <c r="Q1014" i="12" s="1"/>
  <c r="Q1015" i="12" s="1"/>
  <c r="Q1016" i="12" s="1"/>
  <c r="Q1017" i="12" s="1"/>
  <c r="Q1018" i="12" s="1"/>
  <c r="Q1019" i="12" s="1"/>
  <c r="Q1020" i="12" s="1"/>
  <c r="Q1021" i="12" s="1"/>
  <c r="Q1022" i="12" s="1"/>
  <c r="Q1023" i="12" s="1"/>
  <c r="Q1024" i="12" s="1"/>
  <c r="Q1025" i="12" s="1"/>
  <c r="Q1026" i="12" s="1"/>
  <c r="Q1027" i="12" s="1"/>
  <c r="Q1028" i="12" s="1"/>
  <c r="Q1029" i="12" s="1"/>
  <c r="Q1030" i="12" s="1"/>
  <c r="Q1031" i="12" s="1"/>
  <c r="Q1032" i="12" s="1"/>
  <c r="Q1033" i="12" s="1"/>
  <c r="Q1034" i="12" s="1"/>
  <c r="Q1035" i="12" s="1"/>
  <c r="Q1036" i="12" s="1"/>
  <c r="Q1037" i="12" s="1"/>
  <c r="Q1038" i="12" s="1"/>
  <c r="Q1039" i="12" s="1"/>
  <c r="Q1040" i="12" s="1"/>
  <c r="Q1041" i="12" s="1"/>
  <c r="Q1042" i="12" s="1"/>
  <c r="Q1043" i="12" s="1"/>
  <c r="Q1044" i="12" s="1"/>
  <c r="Q1045" i="12" s="1"/>
  <c r="Q1046" i="12" s="1"/>
  <c r="Q1047" i="12" s="1"/>
  <c r="Q1048" i="12" s="1"/>
  <c r="Q1049" i="12" s="1"/>
  <c r="Q1050" i="12" s="1"/>
  <c r="Q1051" i="12" s="1"/>
  <c r="Q1052" i="12" s="1"/>
  <c r="Q1053" i="12" s="1"/>
  <c r="Q1054" i="12" s="1"/>
  <c r="Q1055" i="12" s="1"/>
  <c r="Q1056" i="12" s="1"/>
  <c r="Q1057" i="12" s="1"/>
  <c r="Q1058" i="12" s="1"/>
  <c r="Q1059" i="12" s="1"/>
  <c r="Q1060" i="12" s="1"/>
  <c r="Q1061" i="12" s="1"/>
  <c r="Q1062" i="12" s="1"/>
  <c r="Q1063" i="12" s="1"/>
  <c r="Q1064" i="12" s="1"/>
  <c r="Q1065" i="12" s="1"/>
  <c r="Q1066" i="12" s="1"/>
  <c r="Q1067" i="12" s="1"/>
  <c r="Q1068" i="12" s="1"/>
  <c r="Q1069" i="12" s="1"/>
  <c r="Q1070" i="12" s="1"/>
  <c r="Q1071" i="12" s="1"/>
  <c r="Q1072" i="12" s="1"/>
  <c r="Q1073" i="12" s="1"/>
  <c r="Q1074" i="12" s="1"/>
  <c r="Q1075" i="12" s="1"/>
  <c r="Q1076" i="12" s="1"/>
  <c r="Q1077" i="12" s="1"/>
  <c r="Q1078" i="12" s="1"/>
  <c r="Q1079" i="12" s="1"/>
  <c r="Q1080" i="12" s="1"/>
  <c r="Q1081" i="12" s="1"/>
  <c r="Q1082" i="12" s="1"/>
  <c r="Q1083" i="12" s="1"/>
  <c r="Q1084" i="12" s="1"/>
  <c r="Q1085" i="12" s="1"/>
  <c r="Q1086" i="12" s="1"/>
  <c r="Q1087" i="12" s="1"/>
  <c r="Q1088" i="12" s="1"/>
  <c r="Q1089" i="12" s="1"/>
  <c r="Q1090" i="12" s="1"/>
  <c r="Q1091" i="12" s="1"/>
  <c r="Q1092" i="12" s="1"/>
  <c r="Q1093" i="12" s="1"/>
  <c r="Q1094" i="12" s="1"/>
  <c r="Q1095" i="12" s="1"/>
  <c r="Q1096" i="12" s="1"/>
  <c r="Q1097" i="12" s="1"/>
  <c r="Q1098" i="12" s="1"/>
  <c r="Q1099" i="12" s="1"/>
  <c r="Q1100" i="12" s="1"/>
  <c r="Q1101" i="12" s="1"/>
  <c r="Q1102" i="12" s="1"/>
  <c r="Q1103" i="12" s="1"/>
  <c r="Q1104" i="12" s="1"/>
  <c r="Q1105" i="12" s="1"/>
  <c r="Q1106" i="12" s="1"/>
  <c r="Q1107" i="12" s="1"/>
  <c r="Q1108" i="12" s="1"/>
  <c r="Q1109" i="12" s="1"/>
  <c r="Q1110" i="12" s="1"/>
  <c r="Q1111" i="12" s="1"/>
  <c r="Q1112" i="12" s="1"/>
  <c r="Q1113" i="12" s="1"/>
  <c r="Q1114" i="12" s="1"/>
  <c r="Q1115" i="12" s="1"/>
  <c r="Q1116" i="12" s="1"/>
  <c r="Q1117" i="12" s="1"/>
  <c r="Q1118" i="12" s="1"/>
  <c r="Q1119" i="12" s="1"/>
  <c r="Q1120" i="12" s="1"/>
  <c r="Q1121" i="12" s="1"/>
  <c r="Q1122" i="12" s="1"/>
  <c r="Q1123" i="12" s="1"/>
  <c r="Q1124" i="12" s="1"/>
  <c r="Q1125" i="12" s="1"/>
  <c r="Q1126" i="12" s="1"/>
  <c r="Q1127" i="12" s="1"/>
  <c r="Q1128" i="12" s="1"/>
  <c r="Q1129" i="12" s="1"/>
  <c r="Q1130" i="12" s="1"/>
  <c r="Q1131" i="12" s="1"/>
  <c r="Q1132" i="12" s="1"/>
  <c r="Q1133" i="12" s="1"/>
  <c r="Q1134" i="12" s="1"/>
  <c r="Q1135" i="12" s="1"/>
  <c r="Q1136" i="12" s="1"/>
  <c r="Q1137" i="12" s="1"/>
  <c r="Q1138" i="12" s="1"/>
  <c r="Q1139" i="12" s="1"/>
  <c r="Q1140" i="12" s="1"/>
  <c r="Q1141" i="12" s="1"/>
  <c r="Q1142" i="12" s="1"/>
  <c r="Q1143" i="12" s="1"/>
  <c r="Q1144" i="12" s="1"/>
  <c r="Q1145" i="12" s="1"/>
  <c r="Q1146" i="12" s="1"/>
  <c r="Q1147" i="12" s="1"/>
  <c r="Q1148" i="12" s="1"/>
  <c r="Q1149" i="12" s="1"/>
  <c r="Q1150" i="12" s="1"/>
  <c r="Q1151" i="12" s="1"/>
  <c r="Q1152" i="12" s="1"/>
  <c r="Q1153" i="12" s="1"/>
  <c r="Q1154" i="12" s="1"/>
  <c r="Q1155" i="12" s="1"/>
  <c r="Q1156" i="12" s="1"/>
  <c r="Q1157" i="12" s="1"/>
  <c r="Q1158" i="12" s="1"/>
  <c r="Q1159" i="12" s="1"/>
  <c r="Q1160" i="12" s="1"/>
  <c r="Q1161" i="12" s="1"/>
  <c r="Q1162" i="12" s="1"/>
  <c r="Q1163" i="12" s="1"/>
  <c r="Q1164" i="12" s="1"/>
  <c r="Q1165" i="12" s="1"/>
  <c r="Q1166" i="12" s="1"/>
  <c r="Q1167" i="12" s="1"/>
  <c r="Q1168" i="12" s="1"/>
  <c r="Q1169" i="12" s="1"/>
  <c r="Q1170" i="12" s="1"/>
  <c r="Q1171" i="12" s="1"/>
  <c r="Q1172" i="12" s="1"/>
  <c r="Q1173" i="12" s="1"/>
  <c r="Q1174" i="12" s="1"/>
  <c r="Q1175" i="12" s="1"/>
  <c r="Q1176" i="12" s="1"/>
  <c r="Q1177" i="12" s="1"/>
  <c r="Q1178" i="12" s="1"/>
  <c r="Q1179" i="12" s="1"/>
  <c r="Q1180" i="12" s="1"/>
  <c r="Q1181" i="12" s="1"/>
  <c r="Q1182" i="12" s="1"/>
  <c r="Q1183" i="12" s="1"/>
  <c r="Q1184" i="12" s="1"/>
  <c r="Q1185" i="12" s="1"/>
  <c r="Q1186" i="12" s="1"/>
  <c r="Q1187" i="12" s="1"/>
  <c r="Q1188" i="12" s="1"/>
  <c r="Q1189" i="12" s="1"/>
  <c r="Q1190" i="12" s="1"/>
  <c r="Q1191" i="12" s="1"/>
  <c r="Q1192" i="12" s="1"/>
  <c r="Q1193" i="12" s="1"/>
  <c r="Q1194" i="12" s="1"/>
  <c r="Q1195" i="12" s="1"/>
  <c r="Q1196" i="12" s="1"/>
  <c r="Q1197" i="12" s="1"/>
  <c r="Q1198" i="12" s="1"/>
  <c r="Q1199" i="12" s="1"/>
  <c r="Q1200" i="12" s="1"/>
  <c r="Q1201" i="12" s="1"/>
  <c r="Q1202" i="12" s="1"/>
  <c r="Q1203" i="12" s="1"/>
  <c r="Q1204" i="12" s="1"/>
  <c r="Q1205" i="12" s="1"/>
  <c r="Q1206" i="12" s="1"/>
  <c r="Q1207" i="12" s="1"/>
  <c r="Q1208" i="12" s="1"/>
  <c r="Q1209" i="12" s="1"/>
  <c r="Q1210" i="12" s="1"/>
  <c r="Q1211" i="12" s="1"/>
  <c r="Q1212" i="12" s="1"/>
  <c r="Q1213" i="12" s="1"/>
  <c r="Q1214" i="12" s="1"/>
  <c r="Q1215" i="12" s="1"/>
  <c r="Q1216" i="12" s="1"/>
  <c r="Q1217" i="12" s="1"/>
  <c r="Q1218" i="12" s="1"/>
  <c r="Q1219" i="12" s="1"/>
  <c r="Q1220" i="12" s="1"/>
  <c r="Q1221" i="12" s="1"/>
  <c r="Q1222" i="12" s="1"/>
  <c r="Q1223" i="12" s="1"/>
  <c r="Q1224" i="12" s="1"/>
  <c r="Q1225" i="12" s="1"/>
  <c r="Q1226" i="12" s="1"/>
  <c r="Q1227" i="12" s="1"/>
  <c r="Q1228" i="12" s="1"/>
  <c r="Q1229" i="12" s="1"/>
  <c r="Q1230" i="12" s="1"/>
  <c r="Q1231" i="12" s="1"/>
  <c r="Q1232" i="12" s="1"/>
  <c r="Q1233" i="12" s="1"/>
  <c r="Q1234" i="12" s="1"/>
  <c r="Q1235" i="12" s="1"/>
  <c r="Q1236" i="12" s="1"/>
  <c r="Q1237" i="12" s="1"/>
  <c r="Q1238" i="12" s="1"/>
  <c r="Q1239" i="12" s="1"/>
  <c r="Q1240" i="12" s="1"/>
  <c r="Q1241" i="12" s="1"/>
  <c r="Q1242" i="12" s="1"/>
  <c r="Q1243" i="12" s="1"/>
  <c r="Q1244" i="12" s="1"/>
  <c r="Q1245" i="12" s="1"/>
  <c r="Q1246" i="12" s="1"/>
  <c r="Q1247" i="12" s="1"/>
  <c r="Q1248" i="12" s="1"/>
  <c r="Q1249" i="12" s="1"/>
  <c r="Q1250" i="12" s="1"/>
  <c r="Q1251" i="12" s="1"/>
  <c r="Q1252" i="12" s="1"/>
  <c r="Q1253" i="12" s="1"/>
  <c r="Q1254" i="12" s="1"/>
  <c r="Q1255" i="12" s="1"/>
  <c r="Q1256" i="12" s="1"/>
  <c r="Q1257" i="12" s="1"/>
  <c r="Q1258" i="12" s="1"/>
  <c r="Q1259" i="12" s="1"/>
  <c r="Q1260" i="12" s="1"/>
  <c r="Q1261" i="12" s="1"/>
  <c r="Q1262" i="12" s="1"/>
  <c r="Q1263" i="12" s="1"/>
  <c r="Q1264" i="12" s="1"/>
  <c r="Q1265" i="12" s="1"/>
  <c r="Q1266" i="12" s="1"/>
  <c r="Q1267" i="12" s="1"/>
  <c r="Q1268" i="12" s="1"/>
  <c r="Q1269" i="12" s="1"/>
  <c r="Q1270" i="12" s="1"/>
  <c r="Q1271" i="12" s="1"/>
  <c r="Q1272" i="12" s="1"/>
  <c r="Q1273" i="12" s="1"/>
  <c r="Q1274" i="12" s="1"/>
  <c r="Q1275" i="12" s="1"/>
  <c r="Q1276" i="12" s="1"/>
  <c r="Q1277" i="12" s="1"/>
  <c r="Q1278" i="12" s="1"/>
  <c r="Q1279" i="12" s="1"/>
  <c r="Q1280" i="12" s="1"/>
  <c r="Q1281" i="12" s="1"/>
  <c r="Q1282" i="12" s="1"/>
  <c r="Q1283" i="12" s="1"/>
  <c r="Q1284" i="12" s="1"/>
  <c r="Q1285" i="12" s="1"/>
  <c r="Q1286" i="12" s="1"/>
  <c r="Q1287" i="12" s="1"/>
  <c r="Q1288" i="12" s="1"/>
  <c r="Q1289" i="12" s="1"/>
  <c r="Q1290" i="12" s="1"/>
  <c r="Q1291" i="12" s="1"/>
  <c r="Q1292" i="12" s="1"/>
  <c r="Q1293" i="12" s="1"/>
  <c r="Q1294" i="12" s="1"/>
  <c r="Q1295" i="12" s="1"/>
  <c r="Q1296" i="12" s="1"/>
  <c r="Q1297" i="12" s="1"/>
  <c r="Q1298" i="12" s="1"/>
  <c r="Q1299" i="12" s="1"/>
  <c r="Q1300" i="12" s="1"/>
  <c r="Q1301" i="12" s="1"/>
  <c r="Q1302" i="12" s="1"/>
  <c r="Q1303" i="12" s="1"/>
  <c r="Q1304" i="12" s="1"/>
  <c r="Q1305" i="12" s="1"/>
  <c r="Q1306" i="12" s="1"/>
  <c r="Q1307" i="12" s="1"/>
  <c r="Q1308" i="12" s="1"/>
  <c r="Q1309" i="12" s="1"/>
  <c r="Q1310" i="12" s="1"/>
  <c r="Q1311" i="12" s="1"/>
  <c r="Q1312" i="12" s="1"/>
  <c r="Q1313" i="12" s="1"/>
  <c r="Q1314" i="12" s="1"/>
  <c r="Q1315" i="12" s="1"/>
  <c r="Q1316" i="12" s="1"/>
  <c r="Q1317" i="12" s="1"/>
  <c r="Q1318" i="12" s="1"/>
  <c r="Q1319" i="12" s="1"/>
  <c r="Q1320" i="12" s="1"/>
  <c r="Q1321" i="12" s="1"/>
  <c r="Q1322" i="12" s="1"/>
  <c r="Q1323" i="12" s="1"/>
  <c r="Q1324" i="12" s="1"/>
  <c r="Q1325" i="12" s="1"/>
  <c r="Q1326" i="12" s="1"/>
  <c r="Q1327" i="12" s="1"/>
  <c r="Q1328" i="12" s="1"/>
  <c r="Q1329" i="12" s="1"/>
  <c r="Q1330" i="12" s="1"/>
  <c r="Q1331" i="12" s="1"/>
  <c r="Q1332" i="12" s="1"/>
  <c r="Q1333" i="12" s="1"/>
  <c r="Q1334" i="12" s="1"/>
  <c r="Q1335" i="12" s="1"/>
  <c r="Q1336" i="12" s="1"/>
  <c r="Q1337" i="12" s="1"/>
  <c r="Q1338" i="12" s="1"/>
  <c r="Q1339" i="12" s="1"/>
  <c r="Q1340" i="12" s="1"/>
  <c r="Q1341" i="12" s="1"/>
  <c r="Q1342" i="12" s="1"/>
  <c r="Q1343" i="12" s="1"/>
  <c r="Q1344" i="12" s="1"/>
  <c r="Q1345" i="12" s="1"/>
  <c r="Q1346" i="12" s="1"/>
  <c r="Q1347" i="12" s="1"/>
  <c r="Q1348" i="12" s="1"/>
  <c r="Q1349" i="12" s="1"/>
  <c r="Q1350" i="12" s="1"/>
  <c r="Q1351" i="12" s="1"/>
  <c r="Q1352" i="12" s="1"/>
  <c r="Q1353" i="12" s="1"/>
  <c r="Q1354" i="12" s="1"/>
  <c r="Q1355" i="12" s="1"/>
  <c r="Q1356" i="12" s="1"/>
  <c r="Q1357" i="12" s="1"/>
  <c r="Q1358" i="12" s="1"/>
  <c r="Q1359" i="12" s="1"/>
  <c r="Q1360" i="12" s="1"/>
  <c r="Q1361" i="12" s="1"/>
  <c r="Q1362" i="12" s="1"/>
  <c r="Q1363" i="12" s="1"/>
  <c r="Q1364" i="12" s="1"/>
  <c r="Q1365" i="12" s="1"/>
  <c r="Q1366" i="12" s="1"/>
  <c r="Q1367" i="12" s="1"/>
  <c r="Q1368" i="12" s="1"/>
  <c r="Q1369" i="12" s="1"/>
  <c r="Q1370" i="12" s="1"/>
  <c r="Q1371" i="12" s="1"/>
  <c r="Q1372" i="12" s="1"/>
  <c r="Q1373" i="12" s="1"/>
  <c r="Q1374" i="12" s="1"/>
  <c r="Q1375" i="12" s="1"/>
  <c r="Q1376" i="12" s="1"/>
  <c r="Q1377" i="12" s="1"/>
  <c r="Q1378" i="12" s="1"/>
  <c r="Q1379" i="12" s="1"/>
  <c r="Q1380" i="12" s="1"/>
  <c r="Q1381" i="12" s="1"/>
  <c r="Q1382" i="12" s="1"/>
  <c r="Q1383" i="12" s="1"/>
  <c r="Q1384" i="12" s="1"/>
  <c r="Q1385" i="12" s="1"/>
  <c r="Q1386" i="12" s="1"/>
  <c r="Q1387" i="12" s="1"/>
  <c r="Q1388" i="12" s="1"/>
  <c r="Q1389" i="12" s="1"/>
  <c r="Q1390" i="12" s="1"/>
  <c r="Q1391" i="12" s="1"/>
  <c r="Q1392" i="12" s="1"/>
  <c r="Q1393" i="12" s="1"/>
  <c r="Q1394" i="12" s="1"/>
  <c r="Q1395" i="12" s="1"/>
  <c r="Q1396" i="12" s="1"/>
  <c r="Q1397" i="12" s="1"/>
  <c r="Q1398" i="12" s="1"/>
  <c r="Q1399" i="12" s="1"/>
  <c r="Q1400" i="12" s="1"/>
  <c r="Q1401" i="12" s="1"/>
  <c r="Q1402" i="12" s="1"/>
  <c r="Q1403" i="12" s="1"/>
  <c r="Q1404" i="12" s="1"/>
  <c r="Q1405" i="12" s="1"/>
  <c r="Q1406" i="12" s="1"/>
  <c r="Q1407" i="12" s="1"/>
  <c r="Q1408" i="12" s="1"/>
  <c r="Q1409" i="12" s="1"/>
  <c r="Q1410" i="12" s="1"/>
  <c r="Q1411" i="12" s="1"/>
  <c r="Q1412" i="12" s="1"/>
  <c r="Q1413" i="12" s="1"/>
  <c r="Q1414" i="12" s="1"/>
  <c r="Q1415" i="12" s="1"/>
  <c r="Q1416" i="12" s="1"/>
  <c r="Q1417" i="12" s="1"/>
  <c r="Q1418" i="12" s="1"/>
  <c r="Q1419" i="12" s="1"/>
  <c r="Q1420" i="12" s="1"/>
  <c r="Q1421" i="12" s="1"/>
  <c r="Q1422" i="12" s="1"/>
  <c r="Q1423" i="12" s="1"/>
  <c r="Q1424" i="12" s="1"/>
  <c r="Q1425" i="12" s="1"/>
  <c r="Q1426" i="12" s="1"/>
  <c r="Q1427" i="12" s="1"/>
  <c r="Q1428" i="12" s="1"/>
  <c r="Q1429" i="12" s="1"/>
  <c r="Q1430" i="12" s="1"/>
  <c r="Q1431" i="12" s="1"/>
  <c r="Q1432" i="12" s="1"/>
  <c r="Q1433" i="12" s="1"/>
  <c r="Q1434" i="12" s="1"/>
  <c r="Q1435" i="12" s="1"/>
  <c r="Q1436" i="12" s="1"/>
  <c r="Q1437" i="12" s="1"/>
  <c r="Q1438" i="12" s="1"/>
  <c r="Q1439" i="12" s="1"/>
  <c r="Q1440" i="12" s="1"/>
  <c r="Q1441" i="12" s="1"/>
  <c r="Q1442" i="12" s="1"/>
  <c r="Q1443" i="12" s="1"/>
  <c r="Q1444" i="12" s="1"/>
  <c r="Q1445" i="12" s="1"/>
  <c r="Q1446" i="12" s="1"/>
  <c r="Q1447" i="12" s="1"/>
  <c r="Q1448" i="12" s="1"/>
  <c r="Q1449" i="12" s="1"/>
  <c r="Q1450" i="12" s="1"/>
  <c r="Q1451" i="12" s="1"/>
  <c r="Q1452" i="12" s="1"/>
  <c r="Q1453" i="12" s="1"/>
  <c r="Q1454" i="12" s="1"/>
  <c r="Q1455" i="12" s="1"/>
  <c r="Q1456" i="12" s="1"/>
  <c r="Q1457" i="12" s="1"/>
  <c r="Q1458" i="12" s="1"/>
  <c r="Q1459" i="12" s="1"/>
  <c r="Q1460" i="12" s="1"/>
  <c r="Q1461" i="12" s="1"/>
  <c r="Q1462" i="12" s="1"/>
  <c r="Q1463" i="12" s="1"/>
  <c r="Q1464" i="12" s="1"/>
  <c r="B1607" i="12"/>
  <c r="W100" i="8"/>
  <c r="I30" i="13"/>
  <c r="B47" i="23"/>
  <c r="D47" i="23" s="1"/>
  <c r="E46" i="23"/>
  <c r="K142" i="8"/>
  <c r="K141" i="8"/>
  <c r="E117" i="8"/>
  <c r="E118" i="8"/>
  <c r="B209" i="8"/>
  <c r="AL23" i="8"/>
  <c r="P74" i="8"/>
  <c r="N121" i="8"/>
  <c r="P84" i="8"/>
  <c r="P115" i="8"/>
  <c r="P130" i="8"/>
  <c r="L119" i="8"/>
  <c r="AL58" i="8" s="1"/>
  <c r="B118" i="8"/>
  <c r="B119" i="8"/>
  <c r="AL48" i="8" s="1"/>
  <c r="N73" i="8"/>
  <c r="AF77" i="8"/>
  <c r="N74" i="8"/>
  <c r="G118" i="8"/>
  <c r="G117" i="8"/>
  <c r="J118" i="8"/>
  <c r="J117" i="8"/>
  <c r="N93" i="8"/>
  <c r="B196" i="8" s="1"/>
  <c r="B197" i="8" s="1"/>
  <c r="AH43" i="8"/>
  <c r="AF60" i="8"/>
  <c r="AF26" i="8"/>
  <c r="AH26" i="8" s="1"/>
  <c r="P106" i="8"/>
  <c r="P71" i="8"/>
  <c r="K143" i="8"/>
  <c r="AL74" i="8" s="1"/>
  <c r="L118" i="8"/>
  <c r="P96" i="8"/>
  <c r="V99" i="8"/>
  <c r="V100" i="8" s="1"/>
  <c r="I119" i="8"/>
  <c r="I118" i="8"/>
  <c r="I117" i="8"/>
  <c r="AL57" i="8"/>
  <c r="N98" i="8"/>
  <c r="B373" i="8" s="1"/>
  <c r="N96" i="8"/>
  <c r="N95" i="8"/>
  <c r="G141" i="8"/>
  <c r="G142" i="8"/>
  <c r="F75" i="8"/>
  <c r="AH18" i="8"/>
  <c r="AH35" i="8"/>
  <c r="N141" i="8"/>
  <c r="AH41" i="8"/>
  <c r="L75" i="8"/>
  <c r="AL24" i="8" s="1"/>
  <c r="P97" i="8"/>
  <c r="AL32" i="8"/>
  <c r="N97" i="8"/>
  <c r="P62" i="8"/>
  <c r="G143" i="8"/>
  <c r="AL70" i="8" s="1"/>
  <c r="P95" i="8"/>
  <c r="Y121" i="8"/>
  <c r="AF120" i="8"/>
  <c r="N579" i="21"/>
  <c r="N380" i="21"/>
  <c r="N344" i="21"/>
  <c r="N171" i="21"/>
  <c r="N287" i="21"/>
  <c r="N593" i="21"/>
  <c r="H618" i="21"/>
  <c r="N411" i="21"/>
  <c r="N229" i="21"/>
  <c r="N113" i="21"/>
  <c r="N55" i="21"/>
  <c r="N443" i="21"/>
  <c r="N477" i="21" s="1"/>
  <c r="N610" i="21"/>
  <c r="L618" i="21"/>
  <c r="D610" i="21"/>
  <c r="N618" i="21"/>
  <c r="F618" i="21"/>
  <c r="AL76" i="8"/>
  <c r="N143" i="8"/>
  <c r="B43" i="23"/>
  <c r="D44" i="23"/>
  <c r="E44" i="23" s="1"/>
  <c r="G3" i="13"/>
  <c r="G22" i="13"/>
  <c r="Q39" i="12"/>
  <c r="Q40" i="12" s="1"/>
  <c r="Q41" i="12" s="1"/>
  <c r="Q42" i="12" s="1"/>
  <c r="Q43" i="12" s="1"/>
  <c r="Q44" i="12" s="1"/>
  <c r="Q45" i="12" s="1"/>
  <c r="Q46" i="12" s="1"/>
  <c r="Q47" i="12" s="1"/>
  <c r="Q48" i="12" s="1"/>
  <c r="Q49" i="12" s="1"/>
  <c r="Q50" i="12" s="1"/>
  <c r="Q51" i="12" s="1"/>
  <c r="Q52" i="12" s="1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63" i="12" s="1"/>
  <c r="Q64" i="12" s="1"/>
  <c r="Q65" i="12" s="1"/>
  <c r="Q66" i="12" s="1"/>
  <c r="Q67" i="12" s="1"/>
  <c r="Q68" i="12" s="1"/>
  <c r="Q69" i="12" s="1"/>
  <c r="Q70" i="12" s="1"/>
  <c r="Q71" i="12" s="1"/>
  <c r="Q72" i="12" s="1"/>
  <c r="Q73" i="12" s="1"/>
  <c r="Q74" i="12" s="1"/>
  <c r="Q75" i="12" s="1"/>
  <c r="Q76" i="12" s="1"/>
  <c r="Q77" i="12" s="1"/>
  <c r="Q78" i="12" s="1"/>
  <c r="Q79" i="12" s="1"/>
  <c r="Q80" i="12" s="1"/>
  <c r="Q81" i="12" s="1"/>
  <c r="Q82" i="12" s="1"/>
  <c r="Q83" i="12" s="1"/>
  <c r="Q84" i="12" s="1"/>
  <c r="Q85" i="12" s="1"/>
  <c r="Q86" i="12" s="1"/>
  <c r="Q87" i="12" s="1"/>
  <c r="Q88" i="12" s="1"/>
  <c r="Q89" i="12" s="1"/>
  <c r="Q90" i="12" s="1"/>
  <c r="Q91" i="12" s="1"/>
  <c r="Q92" i="12" s="1"/>
  <c r="Q93" i="12" s="1"/>
  <c r="Q94" i="12" s="1"/>
  <c r="Q95" i="12" s="1"/>
  <c r="Q96" i="12" s="1"/>
  <c r="Q97" i="12" s="1"/>
  <c r="Q98" i="12" s="1"/>
  <c r="Q99" i="12" s="1"/>
  <c r="Q100" i="12" s="1"/>
  <c r="Q101" i="12" s="1"/>
  <c r="Q102" i="12" s="1"/>
  <c r="Q103" i="12" s="1"/>
  <c r="Q104" i="12" s="1"/>
  <c r="Q105" i="12" s="1"/>
  <c r="Q106" i="12" s="1"/>
  <c r="Q107" i="12" s="1"/>
  <c r="Q108" i="12" s="1"/>
  <c r="Q109" i="12" s="1"/>
  <c r="Q110" i="12" s="1"/>
  <c r="Q111" i="12" s="1"/>
  <c r="Q112" i="12" s="1"/>
  <c r="Q113" i="12" s="1"/>
  <c r="Q114" i="12" s="1"/>
  <c r="Q115" i="12" s="1"/>
  <c r="Q116" i="12" s="1"/>
  <c r="Q117" i="12" s="1"/>
  <c r="Q118" i="12" s="1"/>
  <c r="Q119" i="12" s="1"/>
  <c r="Q120" i="12" s="1"/>
  <c r="Q121" i="12" s="1"/>
  <c r="Q122" i="12" s="1"/>
  <c r="Q123" i="12" s="1"/>
  <c r="Q124" i="12" s="1"/>
  <c r="Q125" i="12" s="1"/>
  <c r="Q126" i="12" s="1"/>
  <c r="Q127" i="12" s="1"/>
  <c r="Q128" i="12" s="1"/>
  <c r="Q129" i="12" s="1"/>
  <c r="Q130" i="12" s="1"/>
  <c r="Q131" i="12" s="1"/>
  <c r="Q132" i="12" s="1"/>
  <c r="Q133" i="12" s="1"/>
  <c r="Q134" i="12" s="1"/>
  <c r="Q135" i="12" s="1"/>
  <c r="Q136" i="12" s="1"/>
  <c r="Q137" i="12" s="1"/>
  <c r="Q138" i="12" s="1"/>
  <c r="Q139" i="12" s="1"/>
  <c r="Q140" i="12" s="1"/>
  <c r="Q141" i="12" s="1"/>
  <c r="Q142" i="12" s="1"/>
  <c r="Q143" i="12" s="1"/>
  <c r="Q144" i="12" s="1"/>
  <c r="Q145" i="12" s="1"/>
  <c r="Q146" i="12" s="1"/>
  <c r="Q147" i="12" s="1"/>
  <c r="Q148" i="12" s="1"/>
  <c r="Q149" i="12" s="1"/>
  <c r="Q150" i="12" s="1"/>
  <c r="Q151" i="12" s="1"/>
  <c r="Q152" i="12" s="1"/>
  <c r="Q153" i="12" s="1"/>
  <c r="Q154" i="12" s="1"/>
  <c r="Q155" i="12" s="1"/>
  <c r="Q156" i="12" s="1"/>
  <c r="Q157" i="12" s="1"/>
  <c r="Q158" i="12" s="1"/>
  <c r="Q159" i="12" s="1"/>
  <c r="Q160" i="12" s="1"/>
  <c r="Q161" i="12" s="1"/>
  <c r="Q162" i="12" s="1"/>
  <c r="Q163" i="12" s="1"/>
  <c r="Q164" i="12" s="1"/>
  <c r="Q165" i="12" s="1"/>
  <c r="Q166" i="12" s="1"/>
  <c r="Q167" i="12" s="1"/>
  <c r="Q168" i="12" s="1"/>
  <c r="Q169" i="12" s="1"/>
  <c r="Q170" i="12" s="1"/>
  <c r="Q171" i="12" s="1"/>
  <c r="Q172" i="12" s="1"/>
  <c r="Q173" i="12" s="1"/>
  <c r="Q174" i="12" s="1"/>
  <c r="Q175" i="12" s="1"/>
  <c r="Q176" i="12" s="1"/>
  <c r="Q177" i="12" s="1"/>
  <c r="Q178" i="12" s="1"/>
  <c r="Q179" i="12" s="1"/>
  <c r="Q180" i="12" s="1"/>
  <c r="Q181" i="12" s="1"/>
  <c r="Q182" i="12" s="1"/>
  <c r="Q183" i="12" s="1"/>
  <c r="Q184" i="12" s="1"/>
  <c r="Q185" i="12" s="1"/>
  <c r="Q186" i="12" s="1"/>
  <c r="Q187" i="12" s="1"/>
  <c r="Q188" i="12" s="1"/>
  <c r="Q189" i="12" s="1"/>
  <c r="Q190" i="12" s="1"/>
  <c r="Q191" i="12" s="1"/>
  <c r="Q192" i="12" s="1"/>
  <c r="Q193" i="12" s="1"/>
  <c r="Q194" i="12" s="1"/>
  <c r="Q195" i="12" s="1"/>
  <c r="Q196" i="12" s="1"/>
  <c r="Q197" i="12" s="1"/>
  <c r="Q198" i="12" s="1"/>
  <c r="Q199" i="12" s="1"/>
  <c r="Q200" i="12" s="1"/>
  <c r="Q201" i="12" s="1"/>
  <c r="Q202" i="12" s="1"/>
  <c r="Q203" i="12" s="1"/>
  <c r="Q204" i="12" s="1"/>
  <c r="E36" i="13"/>
  <c r="M38" i="13"/>
  <c r="B48" i="23" l="1"/>
  <c r="D48" i="23" s="1"/>
  <c r="E47" i="23"/>
  <c r="P143" i="8"/>
  <c r="P141" i="8"/>
  <c r="N118" i="8"/>
  <c r="P118" i="8"/>
  <c r="AL55" i="8"/>
  <c r="P119" i="8"/>
  <c r="N119" i="8"/>
  <c r="N117" i="8"/>
  <c r="P117" i="8"/>
  <c r="AL18" i="8"/>
  <c r="P75" i="8"/>
  <c r="N75" i="8"/>
  <c r="B393" i="8"/>
  <c r="AL43" i="8"/>
  <c r="N142" i="8"/>
  <c r="P142" i="8"/>
  <c r="D374" i="8"/>
  <c r="C373" i="8"/>
  <c r="D373" i="8"/>
  <c r="AF121" i="8"/>
  <c r="Y122" i="8"/>
  <c r="D618" i="21"/>
  <c r="Q1465" i="12"/>
  <c r="Q1466" i="12" s="1"/>
  <c r="Q1467" i="12" s="1"/>
  <c r="Q1468" i="12" s="1"/>
  <c r="Q1469" i="12" s="1"/>
  <c r="Q1470" i="12" s="1"/>
  <c r="Q1471" i="12" s="1"/>
  <c r="Q1472" i="12" s="1"/>
  <c r="Q1473" i="12" s="1"/>
  <c r="Q1474" i="12" s="1"/>
  <c r="Q1476" i="12" s="1"/>
  <c r="Q1477" i="12" s="1"/>
  <c r="Q1478" i="12" s="1"/>
  <c r="Q1479" i="12" s="1"/>
  <c r="Q1480" i="12" s="1"/>
  <c r="Q1481" i="12" s="1"/>
  <c r="Q1482" i="12" s="1"/>
  <c r="Q1483" i="12" s="1"/>
  <c r="Q1484" i="12" s="1"/>
  <c r="Q1485" i="12" s="1"/>
  <c r="Q1486" i="12" s="1"/>
  <c r="Q1487" i="12" s="1"/>
  <c r="Q1488" i="12" s="1"/>
  <c r="Q1489" i="12" s="1"/>
  <c r="Q1490" i="12" s="1"/>
  <c r="Q1491" i="12" s="1"/>
  <c r="Q1492" i="12" s="1"/>
  <c r="Q1493" i="12" s="1"/>
  <c r="Q1494" i="12" s="1"/>
  <c r="Q1495" i="12" s="1"/>
  <c r="Q1496" i="12" s="1"/>
  <c r="Q1497" i="12" s="1"/>
  <c r="Q1498" i="12" s="1"/>
  <c r="Q1499" i="12" s="1"/>
  <c r="Q1500" i="12" s="1"/>
  <c r="Q1501" i="12" s="1"/>
  <c r="Q1502" i="12" s="1"/>
  <c r="Q1503" i="12" s="1"/>
  <c r="Q1504" i="12" s="1"/>
  <c r="Q1505" i="12" s="1"/>
  <c r="Q1506" i="12" s="1"/>
  <c r="Q1507" i="12" s="1"/>
  <c r="Q1508" i="12" s="1"/>
  <c r="Q1509" i="12" s="1"/>
  <c r="Q1510" i="12" s="1"/>
  <c r="Q1511" i="12" s="1"/>
  <c r="Q1512" i="12" s="1"/>
  <c r="Q1513" i="12" s="1"/>
  <c r="Q1514" i="12" s="1"/>
  <c r="Q1515" i="12" s="1"/>
  <c r="Q1516" i="12" s="1"/>
  <c r="Q1517" i="12" s="1"/>
  <c r="Q1518" i="12" s="1"/>
  <c r="Q1519" i="12" s="1"/>
  <c r="Q1520" i="12" s="1"/>
  <c r="Q1521" i="12" s="1"/>
  <c r="Q1522" i="12" s="1"/>
  <c r="Q1523" i="12" s="1"/>
  <c r="Q1524" i="12" s="1"/>
  <c r="Q1525" i="12" s="1"/>
  <c r="Q1526" i="12" s="1"/>
  <c r="Q1527" i="12" s="1"/>
  <c r="Q1528" i="12" s="1"/>
  <c r="Q1529" i="12" s="1"/>
  <c r="Q1530" i="12" s="1"/>
  <c r="Q1531" i="12" s="1"/>
  <c r="Q1532" i="12" s="1"/>
  <c r="Q1533" i="12" s="1"/>
  <c r="Q1534" i="12" s="1"/>
  <c r="B395" i="8"/>
  <c r="C395" i="8" s="1"/>
  <c r="AL77" i="8"/>
  <c r="D43" i="23"/>
  <c r="E43" i="23" s="1"/>
  <c r="B42" i="23"/>
  <c r="Q205" i="12"/>
  <c r="Q206" i="12" s="1"/>
  <c r="Q207" i="12" s="1"/>
  <c r="Q208" i="12" s="1"/>
  <c r="Q209" i="12" s="1"/>
  <c r="L37" i="13"/>
  <c r="L42" i="13"/>
  <c r="L47" i="13"/>
  <c r="Q1535" i="12" l="1"/>
  <c r="Q1536" i="12" s="1"/>
  <c r="Q1537" i="12" s="1"/>
  <c r="Q1538" i="12" s="1"/>
  <c r="Q1539" i="12" s="1"/>
  <c r="Q1540" i="12" s="1"/>
  <c r="Q1541" i="12" s="1"/>
  <c r="Q1542" i="12" s="1"/>
  <c r="Q1543" i="12" s="1"/>
  <c r="Q1544" i="12" s="1"/>
  <c r="Q1545" i="12" s="1"/>
  <c r="Q1546" i="12" s="1"/>
  <c r="Q1547" i="12" s="1"/>
  <c r="Q1548" i="12" s="1"/>
  <c r="Q1549" i="12" s="1"/>
  <c r="Q1550" i="12" s="1"/>
  <c r="Q1551" i="12" s="1"/>
  <c r="Q1552" i="12" s="1"/>
  <c r="Q1553" i="12" s="1"/>
  <c r="Q1554" i="12" s="1"/>
  <c r="Q1555" i="12" s="1"/>
  <c r="Q1556" i="12" s="1"/>
  <c r="Q1557" i="12" s="1"/>
  <c r="Q1558" i="12" s="1"/>
  <c r="Q1559" i="12" s="1"/>
  <c r="Q1560" i="12" s="1"/>
  <c r="Q1561" i="12" s="1"/>
  <c r="Q1562" i="12" s="1"/>
  <c r="Q1563" i="12" s="1"/>
  <c r="Q1564" i="12" s="1"/>
  <c r="Q1565" i="12" s="1"/>
  <c r="Q1566" i="12" s="1"/>
  <c r="Q1567" i="12" s="1"/>
  <c r="Q1568" i="12" s="1"/>
  <c r="Q1569" i="12" s="1"/>
  <c r="Q1570" i="12" s="1"/>
  <c r="Q1571" i="12" s="1"/>
  <c r="Q1572" i="12" s="1"/>
  <c r="Q1573" i="12" s="1"/>
  <c r="Q1574" i="12" s="1"/>
  <c r="Q1575" i="12" s="1"/>
  <c r="Q1576" i="12" s="1"/>
  <c r="Q1577" i="12" s="1"/>
  <c r="Q1578" i="12" s="1"/>
  <c r="Q1579" i="12" s="1"/>
  <c r="Q1580" i="12" s="1"/>
  <c r="Q1581" i="12" s="1"/>
  <c r="Q1582" i="12" s="1"/>
  <c r="Q1583" i="12" s="1"/>
  <c r="Q1584" i="12" s="1"/>
  <c r="Q1585" i="12" s="1"/>
  <c r="Q1586" i="12" s="1"/>
  <c r="Q1587" i="12" s="1"/>
  <c r="Q1588" i="12" s="1"/>
  <c r="Q1589" i="12" s="1"/>
  <c r="Q1590" i="12" s="1"/>
  <c r="Q1591" i="12" s="1"/>
  <c r="Q1592" i="12" s="1"/>
  <c r="Q1593" i="12" s="1"/>
  <c r="Q1594" i="12" s="1"/>
  <c r="E48" i="23"/>
  <c r="B49" i="23"/>
  <c r="D49" i="23" s="1"/>
  <c r="AL60" i="8"/>
  <c r="B394" i="8"/>
  <c r="C394" i="8" s="1"/>
  <c r="C393" i="8"/>
  <c r="B392" i="8"/>
  <c r="C392" i="8" s="1"/>
  <c r="AL26" i="8"/>
  <c r="AF122" i="8"/>
  <c r="Y123" i="8"/>
  <c r="D42" i="23"/>
  <c r="E42" i="23" s="1"/>
  <c r="B41" i="23"/>
  <c r="D36" i="13"/>
  <c r="F36" i="13" s="1"/>
  <c r="G36" i="13" s="1"/>
  <c r="L38" i="13"/>
  <c r="L49" i="13" s="1"/>
  <c r="Q1601" i="12" l="1"/>
  <c r="Q1602" i="12" s="1"/>
  <c r="Q1603" i="12" s="1"/>
  <c r="Q1595" i="12"/>
  <c r="Q1596" i="12" s="1"/>
  <c r="Q1597" i="12" s="1"/>
  <c r="Q1598" i="12" s="1"/>
  <c r="Q1599" i="12" s="1"/>
  <c r="Q1600" i="12" s="1"/>
  <c r="B50" i="23"/>
  <c r="D50" i="23" s="1"/>
  <c r="E49" i="23"/>
  <c r="D395" i="8"/>
  <c r="D394" i="8"/>
  <c r="D393" i="8"/>
  <c r="AF123" i="8"/>
  <c r="Y124" i="8"/>
  <c r="B40" i="23"/>
  <c r="D41" i="23"/>
  <c r="E41" i="23" s="1"/>
  <c r="L43" i="13"/>
  <c r="B51" i="23" l="1"/>
  <c r="D51" i="23" s="1"/>
  <c r="E50" i="23"/>
  <c r="Y125" i="8"/>
  <c r="AF124" i="8"/>
  <c r="D40" i="23"/>
  <c r="E40" i="23" s="1"/>
  <c r="B39" i="23"/>
  <c r="B52" i="23" l="1"/>
  <c r="D52" i="23" s="1"/>
  <c r="E51" i="23"/>
  <c r="AF125" i="8"/>
  <c r="Y126" i="8"/>
  <c r="B38" i="23"/>
  <c r="D39" i="23"/>
  <c r="E39" i="23" s="1"/>
  <c r="E52" i="23" l="1"/>
  <c r="B53" i="23"/>
  <c r="D53" i="23" s="1"/>
  <c r="AF126" i="8"/>
  <c r="Y127" i="8"/>
  <c r="D38" i="23"/>
  <c r="E38" i="23" s="1"/>
  <c r="B37" i="23"/>
  <c r="B54" i="23" l="1"/>
  <c r="D54" i="23" s="1"/>
  <c r="E53" i="23"/>
  <c r="AF127" i="8"/>
  <c r="Y128" i="8"/>
  <c r="B36" i="23"/>
  <c r="D37" i="23"/>
  <c r="E37" i="23" s="1"/>
  <c r="E54" i="23" l="1"/>
  <c r="B55" i="23"/>
  <c r="D55" i="23" s="1"/>
  <c r="Y129" i="8"/>
  <c r="AF128" i="8"/>
  <c r="B35" i="23"/>
  <c r="D36" i="23"/>
  <c r="E36" i="23" s="1"/>
  <c r="B56" i="23" l="1"/>
  <c r="D56" i="23" s="1"/>
  <c r="E55" i="23"/>
  <c r="AF129" i="8"/>
  <c r="Y130" i="8"/>
  <c r="D35" i="23"/>
  <c r="E35" i="23" s="1"/>
  <c r="B34" i="23"/>
  <c r="H46" i="23"/>
  <c r="B57" i="23" l="1"/>
  <c r="D57" i="23" s="1"/>
  <c r="E56" i="23"/>
  <c r="AF130" i="8"/>
  <c r="Y131" i="8"/>
  <c r="D34" i="23"/>
  <c r="B33" i="23"/>
  <c r="E57" i="23" l="1"/>
  <c r="B58" i="23"/>
  <c r="D58" i="23" s="1"/>
  <c r="B59" i="23" s="1"/>
  <c r="D59" i="23" s="1"/>
  <c r="AF131" i="8"/>
  <c r="Y132" i="8"/>
  <c r="D33" i="23"/>
  <c r="E33" i="23" s="1"/>
  <c r="B32" i="23"/>
  <c r="E34" i="23"/>
  <c r="E58" i="23" l="1"/>
  <c r="H58" i="23"/>
  <c r="Y133" i="8"/>
  <c r="AF132" i="8"/>
  <c r="D32" i="23"/>
  <c r="E32" i="23" s="1"/>
  <c r="B31" i="23"/>
  <c r="AF133" i="8" l="1"/>
  <c r="Y134" i="8"/>
  <c r="B30" i="23"/>
  <c r="D31" i="23"/>
  <c r="E31" i="23" s="1"/>
  <c r="AF134" i="8" l="1"/>
  <c r="Y135" i="8"/>
  <c r="B29" i="23"/>
  <c r="D30" i="23"/>
  <c r="E30" i="23" s="1"/>
  <c r="AF135" i="8" l="1"/>
  <c r="Y136" i="8"/>
  <c r="D29" i="23"/>
  <c r="E29" i="23" s="1"/>
  <c r="B28" i="23"/>
  <c r="Y137" i="8" l="1"/>
  <c r="AF136" i="8"/>
  <c r="B27" i="23"/>
  <c r="D28" i="23"/>
  <c r="E28" i="23" s="1"/>
  <c r="AF137" i="8" l="1"/>
  <c r="Y138" i="8"/>
  <c r="D27" i="23"/>
  <c r="E27" i="23" s="1"/>
  <c r="B26" i="23"/>
  <c r="AF138" i="8" l="1"/>
  <c r="Y139" i="8"/>
  <c r="D26" i="23"/>
  <c r="E26" i="23" s="1"/>
  <c r="B25" i="23"/>
  <c r="AF139" i="8" l="1"/>
  <c r="Y140" i="8"/>
  <c r="B24" i="23"/>
  <c r="D25" i="23"/>
  <c r="E25" i="23" s="1"/>
  <c r="AF140" i="8" l="1"/>
  <c r="Y141" i="8"/>
  <c r="B23" i="23"/>
  <c r="D24" i="23"/>
  <c r="E24" i="23" s="1"/>
  <c r="AF141" i="8" l="1"/>
  <c r="Y142" i="8"/>
  <c r="D23" i="23"/>
  <c r="E23" i="23" s="1"/>
  <c r="B22" i="23"/>
  <c r="H34" i="23"/>
  <c r="AF142" i="8" l="1"/>
  <c r="Y143" i="8"/>
  <c r="B21" i="23"/>
  <c r="D22" i="23"/>
  <c r="AF143" i="8" l="1"/>
  <c r="Y144" i="8"/>
  <c r="E22" i="23"/>
  <c r="B20" i="23"/>
  <c r="D21" i="23"/>
  <c r="E21" i="23" s="1"/>
  <c r="Y145" i="8" l="1"/>
  <c r="AF144" i="8"/>
  <c r="D20" i="23"/>
  <c r="E20" i="23" s="1"/>
  <c r="B19" i="23"/>
  <c r="Y146" i="8" l="1"/>
  <c r="AF145" i="8"/>
  <c r="B18" i="23"/>
  <c r="D19" i="23"/>
  <c r="E19" i="23" s="1"/>
  <c r="AF146" i="8" l="1"/>
  <c r="Y147" i="8"/>
  <c r="B17" i="23"/>
  <c r="D18" i="23"/>
  <c r="E18" i="23" s="1"/>
  <c r="Y148" i="8" l="1"/>
  <c r="AF147" i="8"/>
  <c r="D17" i="23"/>
  <c r="E17" i="23" s="1"/>
  <c r="B16" i="23"/>
  <c r="AF148" i="8" l="1"/>
  <c r="Y149" i="8"/>
  <c r="AF149" i="8" s="1"/>
  <c r="D16" i="23"/>
  <c r="E16" i="23" s="1"/>
  <c r="B15" i="23"/>
  <c r="B14" i="23" l="1"/>
  <c r="D15" i="23"/>
  <c r="E15" i="23" s="1"/>
  <c r="D14" i="23" l="1"/>
  <c r="E14" i="23" s="1"/>
  <c r="B13" i="23"/>
  <c r="D13" i="23" l="1"/>
  <c r="E13" i="23" s="1"/>
  <c r="B12" i="23"/>
  <c r="D12" i="23" l="1"/>
  <c r="E12" i="23" s="1"/>
  <c r="B11" i="23"/>
  <c r="D11" i="23" l="1"/>
  <c r="E11" i="23" s="1"/>
  <c r="B10" i="23"/>
  <c r="H22" i="23"/>
  <c r="B9" i="23" l="1"/>
  <c r="D10" i="23"/>
  <c r="E10" i="23" l="1"/>
  <c r="B8" i="23"/>
  <c r="D9" i="23"/>
  <c r="E9" i="23" s="1"/>
  <c r="B7" i="23" l="1"/>
  <c r="D8" i="23"/>
  <c r="E8" i="23" s="1"/>
  <c r="D7" i="23" l="1"/>
  <c r="E7" i="23" s="1"/>
  <c r="B6" i="23"/>
  <c r="B5" i="23" l="1"/>
  <c r="D6" i="23"/>
  <c r="E6" i="23" s="1"/>
  <c r="B4" i="23" l="1"/>
  <c r="D5" i="23"/>
  <c r="E5" i="23" s="1"/>
  <c r="D4" i="23" l="1"/>
  <c r="E4" i="23" s="1"/>
  <c r="H10" i="23"/>
</calcChain>
</file>

<file path=xl/sharedStrings.xml><?xml version="1.0" encoding="utf-8"?>
<sst xmlns="http://schemas.openxmlformats.org/spreadsheetml/2006/main" count="4209" uniqueCount="611">
  <si>
    <t>DATA</t>
  </si>
  <si>
    <t>ATIVO</t>
  </si>
  <si>
    <t>BCFF11B</t>
  </si>
  <si>
    <t>COTAS</t>
  </si>
  <si>
    <t>TOTAL</t>
  </si>
  <si>
    <t>BBAS3</t>
  </si>
  <si>
    <t>SULA11</t>
  </si>
  <si>
    <t>VLR TOTAL</t>
  </si>
  <si>
    <t>TX CBLC</t>
  </si>
  <si>
    <t>TX BOVESPA</t>
  </si>
  <si>
    <t>CORRETAGEM</t>
  </si>
  <si>
    <t>INVESTIDO</t>
  </si>
  <si>
    <t>ELET3</t>
  </si>
  <si>
    <t>ODPV3</t>
  </si>
  <si>
    <t>DIVIDENDOS</t>
  </si>
  <si>
    <t>OIBR3</t>
  </si>
  <si>
    <t>BVMF3</t>
  </si>
  <si>
    <t>CMIG3</t>
  </si>
  <si>
    <t>PREÇO MÉDIO</t>
  </si>
  <si>
    <t>RENTABILIDADE</t>
  </si>
  <si>
    <t>JUNHO</t>
  </si>
  <si>
    <t>JULHO</t>
  </si>
  <si>
    <t>AGOSTO</t>
  </si>
  <si>
    <t>SETEMBRO</t>
  </si>
  <si>
    <t>OUTUBRO</t>
  </si>
  <si>
    <t>NOVEMBRO</t>
  </si>
  <si>
    <t>DEZEMBRO</t>
  </si>
  <si>
    <t>COTAÇÃO</t>
  </si>
  <si>
    <t>ELPL4</t>
  </si>
  <si>
    <t>PETR3</t>
  </si>
  <si>
    <t>CMIG4</t>
  </si>
  <si>
    <t>SUZB5</t>
  </si>
  <si>
    <t>CSNA3</t>
  </si>
  <si>
    <t>RENDA FI</t>
  </si>
  <si>
    <t>JCP</t>
  </si>
  <si>
    <t>ETER3</t>
  </si>
  <si>
    <t>%</t>
  </si>
  <si>
    <t>VL TOTAL</t>
  </si>
  <si>
    <t>ATIVOS ATUAIS</t>
  </si>
  <si>
    <t>STATUS</t>
  </si>
  <si>
    <t>FALTA</t>
  </si>
  <si>
    <t>VALE5</t>
  </si>
  <si>
    <t>JANEIRO</t>
  </si>
  <si>
    <t>FEVEREIRO</t>
  </si>
  <si>
    <t>MARÇO</t>
  </si>
  <si>
    <t>ABRIL</t>
  </si>
  <si>
    <t>MAIO</t>
  </si>
  <si>
    <t>TOTAIS</t>
  </si>
  <si>
    <t>DINHEIRO</t>
  </si>
  <si>
    <t>SALDO DA CONTA</t>
  </si>
  <si>
    <t>VLR COTA</t>
  </si>
  <si>
    <t>CUSTODIA</t>
  </si>
  <si>
    <t>EXTRATO FINANCEIRO XP</t>
  </si>
  <si>
    <t>TED</t>
  </si>
  <si>
    <t>EXTRATO FINANCEIRO MODAL</t>
  </si>
  <si>
    <t>COMPRAS</t>
  </si>
  <si>
    <t>VENDAS</t>
  </si>
  <si>
    <t>PREÇO MÉDIO CORRETAGEM</t>
  </si>
  <si>
    <t>RESUMO GERAL</t>
  </si>
  <si>
    <t>RETIRADAS</t>
  </si>
  <si>
    <t>POSIÇÃO</t>
  </si>
  <si>
    <t>CORRETORA</t>
  </si>
  <si>
    <t>MODAL</t>
  </si>
  <si>
    <t>XP</t>
  </si>
  <si>
    <t>POSIÇÃO ATUAL</t>
  </si>
  <si>
    <t>POSIÇÃO GERAL ATUAL</t>
  </si>
  <si>
    <t>DEPÓSITOS</t>
  </si>
  <si>
    <t>SALDO EM CONTA NA CORRETORA</t>
  </si>
  <si>
    <t>RENTABILIDADE CARTEIRA</t>
  </si>
  <si>
    <t>Investido</t>
  </si>
  <si>
    <t>Retorno</t>
  </si>
  <si>
    <t>LUCRO/PREJUIZO</t>
  </si>
  <si>
    <t>SALDO (DEPOSITO-RETIRADA)</t>
  </si>
  <si>
    <t>IR</t>
  </si>
  <si>
    <t>RENDIMENTOS</t>
  </si>
  <si>
    <t>Desdobramento da ETER3 de 1:2</t>
  </si>
  <si>
    <t>DIVIDENDOS + JCP</t>
  </si>
  <si>
    <t>GETI3</t>
  </si>
  <si>
    <t>Obs: houve agrupamento de ações na proporção de 10:1</t>
  </si>
  <si>
    <t>USIM5</t>
  </si>
  <si>
    <t>comprado com base em analise tecnica. Após sete quedas surgiu um candle de reversão em um suporte</t>
  </si>
  <si>
    <t>P/L</t>
  </si>
  <si>
    <t>PETR4</t>
  </si>
  <si>
    <t>PETRD10</t>
  </si>
  <si>
    <t>Ajuste de saldo</t>
  </si>
  <si>
    <t>ITSA4</t>
  </si>
  <si>
    <t>OBJETIVO EM 30/12/2016</t>
  </si>
  <si>
    <t>TAE11</t>
  </si>
  <si>
    <t>KLBN4</t>
  </si>
  <si>
    <t>EMOL</t>
  </si>
  <si>
    <t>TX LIQUID</t>
  </si>
  <si>
    <t>PETRI29</t>
  </si>
  <si>
    <t>NTNB</t>
  </si>
  <si>
    <t>RENDA</t>
  </si>
  <si>
    <t>** ajuste de saldo</t>
  </si>
  <si>
    <t>OBJETIVOS PARA 2016</t>
  </si>
  <si>
    <t>HGTX3</t>
  </si>
  <si>
    <t>MÊS</t>
  </si>
  <si>
    <t>RDB</t>
  </si>
  <si>
    <t>AÇÕES</t>
  </si>
  <si>
    <t>TESOURO</t>
  </si>
  <si>
    <t>RESUMO MENSAL DOS INVESTIMENTOS EM 2017</t>
  </si>
  <si>
    <t>RESUMO MENSAL DOS INVESTIMENTOS EM 2016</t>
  </si>
  <si>
    <t>Ouro</t>
  </si>
  <si>
    <t>OURO</t>
  </si>
  <si>
    <t>OURO (gramas)</t>
  </si>
  <si>
    <t>AJUSTE</t>
  </si>
  <si>
    <t>Banese</t>
  </si>
  <si>
    <t>INSS</t>
  </si>
  <si>
    <t>FGTS</t>
  </si>
  <si>
    <t>Escola</t>
  </si>
  <si>
    <t>IPCA + 5,96%</t>
  </si>
  <si>
    <t>IPCA + 7,66%</t>
  </si>
  <si>
    <t>IPCA + 5,90%</t>
  </si>
  <si>
    <t>IPCA + 7,32%</t>
  </si>
  <si>
    <t>IPCA + 5,86%</t>
  </si>
  <si>
    <t>IPCA + 7,05%</t>
  </si>
  <si>
    <t>IPCA + 5,76%</t>
  </si>
  <si>
    <t>IPCA + 6,06%</t>
  </si>
  <si>
    <t>IPCA + 5,92%</t>
  </si>
  <si>
    <t>IPCA + 7,95%</t>
  </si>
  <si>
    <t>IPCA + 6,33%</t>
  </si>
  <si>
    <t>IPCA + 13,29%</t>
  </si>
  <si>
    <t>IPCA + 6,22%</t>
  </si>
  <si>
    <t>IPCA + 12,24%</t>
  </si>
  <si>
    <t>IPCA + 6,03%</t>
  </si>
  <si>
    <t>IPCA + 9,84%</t>
  </si>
  <si>
    <t>IPCA + 6,01%</t>
  </si>
  <si>
    <t>IPCA + 9,72%</t>
  </si>
  <si>
    <t>IPCA + 5,64%</t>
  </si>
  <si>
    <t>IPCA + 4,17%</t>
  </si>
  <si>
    <t>IPCA + 5,63%</t>
  </si>
  <si>
    <t>IPCA + 3,86%</t>
  </si>
  <si>
    <t>IPCA + 5,32%</t>
  </si>
  <si>
    <t>IPCA - 2,18%</t>
  </si>
  <si>
    <t>IPCA + 5,30%</t>
  </si>
  <si>
    <t>IPCA - 4,16%</t>
  </si>
  <si>
    <t>IPCA + 5,23%</t>
  </si>
  <si>
    <t>IPCA - 7,31%</t>
  </si>
  <si>
    <t>IPCA + 5,22%</t>
  </si>
  <si>
    <t>IPCA - 8,77%</t>
  </si>
  <si>
    <t>IPCA + 5,36%</t>
  </si>
  <si>
    <t>IPCA - 8,47%</t>
  </si>
  <si>
    <t>IPCA + 5,59%</t>
  </si>
  <si>
    <t>IPCA - 2,90%</t>
  </si>
  <si>
    <t>IPCA + 5,50%</t>
  </si>
  <si>
    <t>IPCA - 30,02%</t>
  </si>
  <si>
    <t>TITULOS</t>
  </si>
  <si>
    <t>PREÇO TITULO</t>
  </si>
  <si>
    <t>RENTAB CONTR</t>
  </si>
  <si>
    <t>ACUMULAD ANUAL</t>
  </si>
  <si>
    <t>ACUMUL %</t>
  </si>
  <si>
    <t>VLR BRUTO</t>
  </si>
  <si>
    <t>TEMPO</t>
  </si>
  <si>
    <t>ALIQUOTA I.R.</t>
  </si>
  <si>
    <t>IMP. RENDA</t>
  </si>
  <si>
    <t>IOF</t>
  </si>
  <si>
    <t>TX INSTITUICAO</t>
  </si>
  <si>
    <t>VLR LIQUIDO</t>
  </si>
  <si>
    <t>TESOURO DIRETO</t>
  </si>
  <si>
    <t>JUROS</t>
  </si>
  <si>
    <t>LUCRO LIQUIDO</t>
  </si>
  <si>
    <t>FI - FUND IMOB</t>
  </si>
  <si>
    <t>RENDA PASSIVA</t>
  </si>
  <si>
    <t>ANO 2017</t>
  </si>
  <si>
    <t>FUNDO IMOB</t>
  </si>
  <si>
    <t>ALUGUEIS</t>
  </si>
  <si>
    <t>RDB BANESE</t>
  </si>
  <si>
    <t>BÔNUS EM AÇÕES</t>
  </si>
  <si>
    <t>VISC11</t>
  </si>
  <si>
    <t>TAEE11</t>
  </si>
  <si>
    <t>ABCB4</t>
  </si>
  <si>
    <t>ATUAL</t>
  </si>
  <si>
    <t>BCFF11</t>
  </si>
  <si>
    <t>Criptomoedas U$</t>
  </si>
  <si>
    <t>Hasflare U$</t>
  </si>
  <si>
    <t>RESUMO MENSAL DOS INVESTIMENTOS EM 2018</t>
  </si>
  <si>
    <t>SALDO DOS INVESTIMENTOS</t>
  </si>
  <si>
    <t>ANO 2018</t>
  </si>
  <si>
    <t>RGBS11</t>
  </si>
  <si>
    <t>EDGA11</t>
  </si>
  <si>
    <t>SDIL11</t>
  </si>
  <si>
    <t>ECOR3</t>
  </si>
  <si>
    <t>RBGS11</t>
  </si>
  <si>
    <t>FIGS11</t>
  </si>
  <si>
    <t>SERGUS</t>
  </si>
  <si>
    <t>SPTW11</t>
  </si>
  <si>
    <t>CAPACIDADE DE POUPANÇA</t>
  </si>
  <si>
    <t>FIIs</t>
  </si>
  <si>
    <t>Percentual</t>
  </si>
  <si>
    <t>ACOES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</si>
  <si>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</si>
  <si>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</si>
  <si>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</si>
  <si>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</si>
  <si>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</si>
  <si>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</si>
  <si>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</si>
  <si>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</si>
  <si>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</si>
  <si>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</si>
  <si>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</si>
  <si>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</si>
  <si>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Valor atual</t>
  </si>
  <si>
    <t>Taxa</t>
  </si>
  <si>
    <t>Aporte</t>
  </si>
  <si>
    <t>1 ano</t>
  </si>
  <si>
    <t>2 anos</t>
  </si>
  <si>
    <t>3 anos</t>
  </si>
  <si>
    <t>4 anos</t>
  </si>
  <si>
    <t>5 anos</t>
  </si>
  <si>
    <t>6 anos</t>
  </si>
  <si>
    <t>7 anos</t>
  </si>
  <si>
    <t>8 anos</t>
  </si>
  <si>
    <t>9 anos</t>
  </si>
  <si>
    <t>10 anos</t>
  </si>
  <si>
    <t>SAPR4</t>
  </si>
  <si>
    <t>XPLG11</t>
  </si>
  <si>
    <t>TIET11</t>
  </si>
  <si>
    <t>BMEB4</t>
  </si>
  <si>
    <t>RBRR11</t>
  </si>
  <si>
    <t>MXRF11</t>
  </si>
  <si>
    <t>BPFF11</t>
  </si>
  <si>
    <t>NTN-B</t>
  </si>
  <si>
    <t>10/08,2018</t>
  </si>
  <si>
    <t>MÉDIA</t>
  </si>
  <si>
    <t>NTNF</t>
  </si>
  <si>
    <t>MEDIA</t>
  </si>
  <si>
    <t>RENDA ATIVA</t>
  </si>
  <si>
    <t>RENDA  2017</t>
  </si>
  <si>
    <t>Ativa</t>
  </si>
  <si>
    <t>Passiva</t>
  </si>
  <si>
    <t>RENDA 2018</t>
  </si>
  <si>
    <t>ABCP11</t>
  </si>
  <si>
    <t>GGRC11</t>
  </si>
  <si>
    <t>Banese+Renda</t>
  </si>
  <si>
    <t>Escola+Renda</t>
  </si>
  <si>
    <t>Banese+Escola+R</t>
  </si>
  <si>
    <t>PROVENTOS - 2013</t>
  </si>
  <si>
    <t>PROVENTOS - 2018</t>
  </si>
  <si>
    <t>NTN-F</t>
  </si>
  <si>
    <t>TOTAL GERAL</t>
  </si>
  <si>
    <t>PROVENTOS - 2017</t>
  </si>
  <si>
    <t>PROVENTOS - 2016</t>
  </si>
  <si>
    <t>PROVENTOS - 2015</t>
  </si>
  <si>
    <t>PROVENTOS - 2014</t>
  </si>
  <si>
    <t>RESUMO GERAL DOS PROVENTOS</t>
  </si>
  <si>
    <t>QTD</t>
  </si>
  <si>
    <t>**Ajuste**</t>
  </si>
  <si>
    <t>PMAM3</t>
  </si>
  <si>
    <t>Rend investimen</t>
  </si>
  <si>
    <t>** SUBSCRICAO</t>
  </si>
  <si>
    <t>WIZS3</t>
  </si>
  <si>
    <t>** ajustes **</t>
  </si>
  <si>
    <t>Indice Phoda</t>
  </si>
  <si>
    <t>PROVENTOS - 2019</t>
  </si>
  <si>
    <t>*** Falar com a Modal, pois houve uma venda sem eu ter enviado a ordem</t>
  </si>
  <si>
    <t>IRRF S/OPER. TESOURO DIRETO</t>
  </si>
  <si>
    <t>JUROS TESOURO DIRETO</t>
  </si>
  <si>
    <t>TAXA SEMESTRAL DO TESOURO DIRETO - CBLC</t>
  </si>
  <si>
    <t>Liquido</t>
  </si>
  <si>
    <t>** IR = 30,16</t>
  </si>
  <si>
    <t>** custodia = 19,37</t>
  </si>
  <si>
    <t>** Liquido = 256,10</t>
  </si>
  <si>
    <t>RESUMO MENSAL DOS INVESTIMENTOS EM 2019</t>
  </si>
  <si>
    <t>ANO 2019</t>
  </si>
  <si>
    <t>SDIL13</t>
  </si>
  <si>
    <t>HGRU11</t>
  </si>
  <si>
    <t>FUNDO ALASKA</t>
  </si>
  <si>
    <t>ALASKA</t>
  </si>
  <si>
    <t>XPML11</t>
  </si>
  <si>
    <t>RENDA 2019</t>
  </si>
  <si>
    <t>Operacao de credito</t>
  </si>
  <si>
    <t>Liquidacao da operacao de credito</t>
  </si>
  <si>
    <t>***</t>
  </si>
  <si>
    <t>Debito de cancelamento de operações</t>
  </si>
  <si>
    <t>HTMX11</t>
  </si>
  <si>
    <t>*** Credito dos dividendos DE 28/11/2018</t>
  </si>
  <si>
    <t>ATIVOS</t>
  </si>
  <si>
    <t>PREÇO</t>
  </si>
  <si>
    <t>** IR = 81,51</t>
  </si>
  <si>
    <t>** Liquido = 409,15</t>
  </si>
  <si>
    <t>Como acessar a conta da Modal de Silna:</t>
  </si>
  <si>
    <t>01 - Acesse o site https://www.modalmais.com.br/</t>
  </si>
  <si>
    <t>02 - Entre com o login/senha:     silnabatinga/Onibus10w</t>
  </si>
  <si>
    <t>03 - Para comprar/vender ações, vá em "Bolsa" / "Acessar Modal Investidor"</t>
  </si>
  <si>
    <t>04 - Para transferir para o banco vá em "Serviços" / Transferencia "para o meu banco"</t>
  </si>
  <si>
    <t>Forex</t>
  </si>
  <si>
    <t>Forex U$</t>
  </si>
  <si>
    <t>OBJETIVO EM 30/12/2019</t>
  </si>
  <si>
    <t>OBJETIVOS PARA 2020</t>
  </si>
  <si>
    <t>POSICAO EM 31/12/2018</t>
  </si>
  <si>
    <t>CNPJ</t>
  </si>
  <si>
    <t>PR MEDIO</t>
  </si>
  <si>
    <t>033.000.167/0001-01</t>
  </si>
  <si>
    <t>EMPRESA</t>
  </si>
  <si>
    <t>PETROBRAS</t>
  </si>
  <si>
    <t>BANCO DO BRASIL</t>
  </si>
  <si>
    <t>000.000.000/0001-91</t>
  </si>
  <si>
    <t>017.155.730/0001-64</t>
  </si>
  <si>
    <t>061.532.644/0001-15</t>
  </si>
  <si>
    <t>007.859.971/0001-30</t>
  </si>
  <si>
    <t>089.637.490/0001-45</t>
  </si>
  <si>
    <t>061.092.037/0001-81</t>
  </si>
  <si>
    <t>CEMIG</t>
  </si>
  <si>
    <t>ITAUSA</t>
  </si>
  <si>
    <t>TAESA</t>
  </si>
  <si>
    <t>KLABIN</t>
  </si>
  <si>
    <t>ETERNIT</t>
  </si>
  <si>
    <t>078.876.950/0001-71</t>
  </si>
  <si>
    <t>028.195.667/0001-06</t>
  </si>
  <si>
    <t>HERING</t>
  </si>
  <si>
    <t>BANCO ABC BRASIL</t>
  </si>
  <si>
    <t>004.149.454/0001-80</t>
  </si>
  <si>
    <t>076.484.013/0001-45</t>
  </si>
  <si>
    <t>017.184.037/0001-10</t>
  </si>
  <si>
    <t>004.128.563/0001-10</t>
  </si>
  <si>
    <t>060.398.369/0001-79</t>
  </si>
  <si>
    <t>042.278.473/0001-03</t>
  </si>
  <si>
    <t>ECORODOVIAS</t>
  </si>
  <si>
    <t>SANEPAR</t>
  </si>
  <si>
    <t>BANCO MERCANTIL</t>
  </si>
  <si>
    <t>AES TIETEE</t>
  </si>
  <si>
    <t>PARANAPANEMA</t>
  </si>
  <si>
    <t>WIZ S.A.</t>
  </si>
  <si>
    <t>FUNDOS IMOBILIARIOS</t>
  </si>
  <si>
    <t>011.026.627/0001-38</t>
  </si>
  <si>
    <t>017.554.274/0001-25</t>
  </si>
  <si>
    <t>013.652.006/0001-95</t>
  </si>
  <si>
    <t>015.333.306/0001-37</t>
  </si>
  <si>
    <t>016.671.412/0001-93</t>
  </si>
  <si>
    <t>017.590.518/0001-25</t>
  </si>
  <si>
    <t>015.538.445/0001-05</t>
  </si>
  <si>
    <t>026.502.794/0001-85</t>
  </si>
  <si>
    <t>029.467.977/0001-03</t>
  </si>
  <si>
    <t>097.521.225/0001-25</t>
  </si>
  <si>
    <t>017.324.357/0001-28</t>
  </si>
  <si>
    <t>026.614.291/0001-00</t>
  </si>
  <si>
    <t>FII VINCI SC</t>
  </si>
  <si>
    <t>FII BC FFII</t>
  </si>
  <si>
    <t>FII RB GSB I</t>
  </si>
  <si>
    <t>FII GALERIA</t>
  </si>
  <si>
    <t>FII SDI LOG</t>
  </si>
  <si>
    <t>FII GEN SHOP</t>
  </si>
  <si>
    <t>FII SP DOWNT</t>
  </si>
  <si>
    <t>FII XP LOG</t>
  </si>
  <si>
    <t>FII RBRHGRAD</t>
  </si>
  <si>
    <t>FII MAXI REN</t>
  </si>
  <si>
    <t>FII ABSOLUTO</t>
  </si>
  <si>
    <t>FII GGRCOVEP</t>
  </si>
  <si>
    <t>PROVENTOS</t>
  </si>
  <si>
    <t>Subscricao</t>
  </si>
  <si>
    <t>WISZ3</t>
  </si>
  <si>
    <t>SDIL12</t>
  </si>
  <si>
    <t>RBRR13</t>
  </si>
  <si>
    <t>VGIR11</t>
  </si>
  <si>
    <t>DYC</t>
  </si>
  <si>
    <t>Tryd Trader</t>
  </si>
  <si>
    <t>APORTES</t>
  </si>
  <si>
    <t>JUROS TOTAL</t>
  </si>
  <si>
    <t>JUROS MENSAL</t>
  </si>
  <si>
    <t>ACUMULADO</t>
  </si>
  <si>
    <t>PERCENT</t>
  </si>
  <si>
    <t>Tx custodia</t>
  </si>
  <si>
    <t>UBSR11</t>
  </si>
  <si>
    <t>** Estorno da Tx custodia</t>
  </si>
  <si>
    <t>MXR11</t>
  </si>
  <si>
    <t>VGIR12</t>
  </si>
  <si>
    <t>IOF+JUROS</t>
  </si>
  <si>
    <t>*** Ajustes</t>
  </si>
  <si>
    <t>VGIR13</t>
  </si>
  <si>
    <t>XPLG13</t>
  </si>
  <si>
    <t>BCFF12</t>
  </si>
  <si>
    <t>XPML13</t>
  </si>
  <si>
    <t>RBFF11</t>
  </si>
  <si>
    <t>DESPESAS</t>
  </si>
  <si>
    <t>XPLG14</t>
  </si>
  <si>
    <t>MALL11</t>
  </si>
  <si>
    <t>XPML16</t>
  </si>
  <si>
    <t>BCFF13</t>
  </si>
  <si>
    <t>RENDA ANUAL DE PROVENTOS</t>
  </si>
  <si>
    <t>Media</t>
  </si>
  <si>
    <t>Crescimento</t>
  </si>
  <si>
    <t>OUFF11</t>
  </si>
  <si>
    <t>MXRF12</t>
  </si>
  <si>
    <t>XPML14</t>
  </si>
  <si>
    <t>UBSR16</t>
  </si>
  <si>
    <t>VISC13</t>
  </si>
  <si>
    <t>BD</t>
  </si>
  <si>
    <t>CD</t>
  </si>
  <si>
    <t>Saldo do Sergus em Dez/2019</t>
  </si>
  <si>
    <t>Renda Passiva</t>
  </si>
  <si>
    <t>LUCRO</t>
  </si>
  <si>
    <t>SALDO</t>
  </si>
  <si>
    <t>SALDO ANT</t>
  </si>
  <si>
    <t>SALDO ATUAL</t>
  </si>
  <si>
    <t>DEPOSITOS</t>
  </si>
  <si>
    <t>VALOR</t>
  </si>
  <si>
    <t>Em 2016</t>
  </si>
  <si>
    <t>Em 2017</t>
  </si>
  <si>
    <t>Em 2018</t>
  </si>
  <si>
    <t>Em 2019</t>
  </si>
  <si>
    <t>ANO 2020</t>
  </si>
  <si>
    <t>RESUMO MENSAL DOS INVESTIMENTOS EM 2020</t>
  </si>
  <si>
    <t>PROVENTOS - 2020</t>
  </si>
  <si>
    <t>BRSR6</t>
  </si>
  <si>
    <t xml:space="preserve">Saldo da Modal é </t>
  </si>
  <si>
    <t>MXRF13</t>
  </si>
  <si>
    <t>VINO11</t>
  </si>
  <si>
    <t>** Venda dos direitos</t>
  </si>
  <si>
    <t>BRBCFFR28M14</t>
  </si>
  <si>
    <t>** subscricao</t>
  </si>
  <si>
    <t>Juros</t>
  </si>
  <si>
    <t>Imposto</t>
  </si>
  <si>
    <t>BRMXRFR07M17</t>
  </si>
  <si>
    <t>NTN-F 2031</t>
  </si>
  <si>
    <t>IMPOSTO</t>
  </si>
  <si>
    <t>Bitcoin</t>
  </si>
  <si>
    <t>DEP BITCOIN</t>
  </si>
  <si>
    <t>SAQ BITCOIN</t>
  </si>
  <si>
    <t>Boleto</t>
  </si>
  <si>
    <t>Credicard</t>
  </si>
  <si>
    <t>Transferencia</t>
  </si>
  <si>
    <t>Neteller</t>
  </si>
  <si>
    <t>Banco</t>
  </si>
  <si>
    <t>SALDO FLUTANTE</t>
  </si>
  <si>
    <t>1BTC = 8600</t>
  </si>
  <si>
    <t>1BTC = 8666</t>
  </si>
  <si>
    <t>DESPESAS FIXAS</t>
  </si>
  <si>
    <t>CONTA</t>
  </si>
  <si>
    <t>DESCRICAO</t>
  </si>
  <si>
    <t>INTERNET</t>
  </si>
  <si>
    <t>CONDOMINIO</t>
  </si>
  <si>
    <t>Taxa do Condominio Morada do Rio</t>
  </si>
  <si>
    <t>NUBANK</t>
  </si>
  <si>
    <t>Fatura do Cartao Nubank</t>
  </si>
  <si>
    <t>BANESE CARD</t>
  </si>
  <si>
    <t>Fatura do Cartao Banesecard</t>
  </si>
  <si>
    <t>SILNA</t>
  </si>
  <si>
    <t>Fatura do Cartao Mastercard</t>
  </si>
  <si>
    <t>TELEFONE</t>
  </si>
  <si>
    <t>Conta de telefone OI Total</t>
  </si>
  <si>
    <t>Masternet</t>
  </si>
  <si>
    <t>EDUCACAO</t>
  </si>
  <si>
    <t>PUC Minas EAD</t>
  </si>
  <si>
    <t>LUZ</t>
  </si>
  <si>
    <t>Conta da Energisa - Casa</t>
  </si>
  <si>
    <t>AGUA</t>
  </si>
  <si>
    <t>Conta da Deso - Condominio</t>
  </si>
  <si>
    <t>DIA VENCTO</t>
  </si>
  <si>
    <t>SAQ BANCO</t>
  </si>
  <si>
    <t>RENDA 2020</t>
  </si>
  <si>
    <t>RENDA ANUAL TOTAL</t>
  </si>
  <si>
    <t>Conta da Energisa - Condominio</t>
  </si>
  <si>
    <t>MÊS/ANO</t>
  </si>
  <si>
    <t>LUCRO PERCENT</t>
  </si>
  <si>
    <t>OUFF12</t>
  </si>
  <si>
    <t>Psicologa</t>
  </si>
  <si>
    <t>PASSFOLIO</t>
  </si>
  <si>
    <t>ILNA</t>
  </si>
  <si>
    <t>Fatura do Cartao</t>
  </si>
  <si>
    <t>DARF</t>
  </si>
  <si>
    <t>Imposto de Renda</t>
  </si>
  <si>
    <t>CODIGO</t>
  </si>
  <si>
    <t>WSR</t>
  </si>
  <si>
    <t>APLE</t>
  </si>
  <si>
    <t>NNN</t>
  </si>
  <si>
    <t>GEO</t>
  </si>
  <si>
    <t>AGNC</t>
  </si>
  <si>
    <t>COMPANHIA</t>
  </si>
  <si>
    <t>Whitestone REIT</t>
  </si>
  <si>
    <t>Apple Hospitality REIT</t>
  </si>
  <si>
    <t>National Retail Properties</t>
  </si>
  <si>
    <t>The GEO Group</t>
  </si>
  <si>
    <t>AGNC Investiment</t>
  </si>
  <si>
    <t>Centros comerciais e residenciais e escritorios</t>
  </si>
  <si>
    <t>DY (%)</t>
  </si>
  <si>
    <t>Rendimentos</t>
  </si>
  <si>
    <t>Periodicidade</t>
  </si>
  <si>
    <t>Mensal</t>
  </si>
  <si>
    <t>Hoteis e Moteis</t>
  </si>
  <si>
    <t>Lojas comerciais</t>
  </si>
  <si>
    <t>Trimestral</t>
  </si>
  <si>
    <t>Fev-Abr-Jul-Out</t>
  </si>
  <si>
    <t>Servicos de reabilitacao (saude)</t>
  </si>
  <si>
    <t>Financiamento imobiliario</t>
  </si>
  <si>
    <t>GOOD</t>
  </si>
  <si>
    <t>Gladstone Commercial</t>
  </si>
  <si>
    <t>Propriedades diversificadas (lojas, galpoes)</t>
  </si>
  <si>
    <t>Tot Rend</t>
  </si>
  <si>
    <t>OBJETIVO</t>
  </si>
  <si>
    <t>LIQUIDO</t>
  </si>
  <si>
    <t>XT</t>
  </si>
  <si>
    <t>NOBL</t>
  </si>
  <si>
    <t>NTN-B-2026</t>
  </si>
  <si>
    <t>RECR11</t>
  </si>
  <si>
    <t>BPFF12</t>
  </si>
  <si>
    <t>TOTAL MENSAL</t>
  </si>
  <si>
    <t>O</t>
  </si>
  <si>
    <t>O Realty Income Corp</t>
  </si>
  <si>
    <t>Varejo</t>
  </si>
  <si>
    <t>NTF-2031</t>
  </si>
  <si>
    <t>VNQ</t>
  </si>
  <si>
    <t>Fev-Mai-Ago-Nov</t>
  </si>
  <si>
    <t>**Subscricao</t>
  </si>
  <si>
    <t>JUROS DE MORA</t>
  </si>
  <si>
    <t>Objetivo</t>
  </si>
  <si>
    <t>BPFF13</t>
  </si>
  <si>
    <t>RECR13</t>
  </si>
  <si>
    <t>PORD11</t>
  </si>
  <si>
    <t>PDOR11</t>
  </si>
  <si>
    <t>MESES</t>
  </si>
  <si>
    <t>LUCRO ANUAL</t>
  </si>
  <si>
    <t>dez</t>
  </si>
  <si>
    <t>MERCADO DE FOREX - 2020 (valores em dólares)</t>
  </si>
  <si>
    <t>MERCADO DE FOREX - 2019 (valores em dólares)</t>
  </si>
  <si>
    <t>Nubank</t>
  </si>
  <si>
    <t>SRET</t>
  </si>
  <si>
    <t>Global X SuperDividend</t>
  </si>
  <si>
    <t>ETF de REITs</t>
  </si>
  <si>
    <t>BBSE3</t>
  </si>
  <si>
    <t>PROVENTOS - 2021</t>
  </si>
  <si>
    <t>**correcao do saldo</t>
  </si>
  <si>
    <t>RESUMO MENSAL DOS INVESTIMENTOS EM 2021</t>
  </si>
  <si>
    <t>ANO 2021</t>
  </si>
  <si>
    <t>Rentab</t>
  </si>
  <si>
    <t>Em 2020</t>
  </si>
  <si>
    <t>GIRO</t>
  </si>
  <si>
    <t>BRABCBR17PR5</t>
  </si>
  <si>
    <t>ABCB10</t>
  </si>
  <si>
    <t>NTNF-2031</t>
  </si>
  <si>
    <t>CVCB3</t>
  </si>
  <si>
    <t>33.000.167/0001-01</t>
  </si>
  <si>
    <t>00.000.000/0001-91</t>
  </si>
  <si>
    <t>BRASIL</t>
  </si>
  <si>
    <t>17.155.730/0001-64</t>
  </si>
  <si>
    <t>61.532.644/0001-15</t>
  </si>
  <si>
    <t>07.859.971/0001-30</t>
  </si>
  <si>
    <t>89.637.490/0001-45</t>
  </si>
  <si>
    <t>KLABIN S/A</t>
  </si>
  <si>
    <t>61.092.037/0001-81</t>
  </si>
  <si>
    <t>28.195.667/0001-06</t>
  </si>
  <si>
    <t>ABC BRASIL</t>
  </si>
  <si>
    <t>76.484.013/0001-45</t>
  </si>
  <si>
    <t>17.184.037/0001-10</t>
  </si>
  <si>
    <t>MERC BRASIL</t>
  </si>
  <si>
    <t>04.128.563/0001-10</t>
  </si>
  <si>
    <t>AES TIETE E</t>
  </si>
  <si>
    <t>60.398.369/0004-79</t>
  </si>
  <si>
    <t>42.278.473/0001-03</t>
  </si>
  <si>
    <t>76.535.764/0001-43</t>
  </si>
  <si>
    <t>OI</t>
  </si>
  <si>
    <t>92.702.067/0001-96</t>
  </si>
  <si>
    <t>BANRISUL</t>
  </si>
  <si>
    <t>17.344.597/0001-94</t>
  </si>
  <si>
    <t>NOME</t>
  </si>
  <si>
    <t>AES TIETE</t>
  </si>
  <si>
    <t>WIZ</t>
  </si>
  <si>
    <t>BB SEGURIDADE</t>
  </si>
  <si>
    <t>11.026.627/0001-38</t>
  </si>
  <si>
    <t>17.554.274/0001-25</t>
  </si>
  <si>
    <t>13.652.006/0001-95</t>
  </si>
  <si>
    <t>15.333.306/0001-37</t>
  </si>
  <si>
    <t>16.671.412/0001-93</t>
  </si>
  <si>
    <t>17.590.518/0001-25</t>
  </si>
  <si>
    <t>15.538.445/0001-05</t>
  </si>
  <si>
    <t>26.502.794/0001-85</t>
  </si>
  <si>
    <t>29.467.977/0001-03</t>
  </si>
  <si>
    <t>97.521.225/0001-25</t>
  </si>
  <si>
    <t>17.324.357/0001-28</t>
  </si>
  <si>
    <t>26.614.291/0001-00</t>
  </si>
  <si>
    <t>29.641.226/0001-53</t>
  </si>
  <si>
    <t>FII CSHG URB</t>
  </si>
  <si>
    <t>28.757.546/0001-00</t>
  </si>
  <si>
    <t>FII XP MALLS</t>
  </si>
  <si>
    <t>08.706.065/0001-69</t>
  </si>
  <si>
    <t>FII HOTEL MX</t>
  </si>
  <si>
    <t>29.852.732/0001-91</t>
  </si>
  <si>
    <t>FII VALREIII</t>
  </si>
  <si>
    <t>28.152.272/0001-26</t>
  </si>
  <si>
    <t>FII UBS (BR)</t>
  </si>
  <si>
    <t>17.329.029/0001-14</t>
  </si>
  <si>
    <t>FII FATORFIX</t>
  </si>
  <si>
    <t>26.499.833/0001-32</t>
  </si>
  <si>
    <t>FII MALLS BP</t>
  </si>
  <si>
    <t>30.791.386/0001-68</t>
  </si>
  <si>
    <t>FII OURI FOF</t>
  </si>
  <si>
    <t>12.516.185/0001-70</t>
  </si>
  <si>
    <t>FII VINC COR</t>
  </si>
  <si>
    <t>17.156.502/0001-09</t>
  </si>
  <si>
    <t>FII POLO CRI</t>
  </si>
  <si>
    <t>SEQ</t>
  </si>
  <si>
    <t>AÇOES</t>
  </si>
  <si>
    <t>FUNDOS IMOBILIÁRIOS</t>
  </si>
  <si>
    <t>QUANTIDADE</t>
  </si>
  <si>
    <t>PERT4</t>
  </si>
  <si>
    <t>DIVIDENDOS DAS AÇÕES</t>
  </si>
  <si>
    <t>JUROS SOBRE CAPITAL PROPRIO - JCP</t>
  </si>
  <si>
    <t>PROVENTOS DOS FUNDOS IMOBILIÁRIOS</t>
  </si>
  <si>
    <t>SPTW10</t>
  </si>
  <si>
    <t>HGTX11</t>
  </si>
  <si>
    <t>POSIÇÃO EM 31/12/2020</t>
  </si>
  <si>
    <t>RENDIMENTOS NO ANO DE 2020</t>
  </si>
  <si>
    <t>POSIÇÃO EM 31/12/2019</t>
  </si>
  <si>
    <t>78.876.950/0001-71</t>
  </si>
  <si>
    <t>02.671.743/0001-19</t>
  </si>
  <si>
    <t>CM CAPITAL MARKETS DTVM LTDA</t>
  </si>
  <si>
    <t>Trade CVC</t>
  </si>
  <si>
    <t>Trade CVC (lucro de 433,00)</t>
  </si>
  <si>
    <t>ISS SP</t>
  </si>
  <si>
    <t>Forex/Trade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</si>
</sst>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#,##0.00;[Red]\-&quot;R$&quot;#,##0.00"/>
    <numFmt numFmtId="43" formatCode="_-* #,##0.00_-;\-* #,##0.00_-;_-* &quot;-&quot;??_-;_-@_-"/>
    <numFmt numFmtId="164" formatCode="dd/mm"/>
    <numFmt numFmtId="165" formatCode="_-* #,##0_-;\-* #,##0_-;_-* &quot;-&quot;??_-;_-@_-"/>
    <numFmt numFmtId="166" formatCode="#,##0.00_ ;\-#,##0.00\ "/>
    <numFmt numFmtId="167" formatCode="#,##0_ ;\-#,##0\ "/>
    <numFmt numFmtId="168" formatCode="000"/>
    <numFmt numFmtId="169" formatCode="0.0%"/>
    <numFmt numFmtId="170" formatCode="0.000%"/>
    <numFmt numFmtId="171" formatCode="000.0"/>
    <numFmt numFmtId="172" formatCode="00"/>
    <numFmt numFmtId="173" formatCode="[$-416]mmm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83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right"/>
    </xf>
    <xf numFmtId="43" fontId="0" fillId="0" borderId="0" xfId="0" applyNumberFormat="1"/>
    <xf numFmtId="16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9" fontId="0" fillId="0" borderId="0" xfId="2" applyFont="1"/>
    <xf numFmtId="165" fontId="0" fillId="0" borderId="0" xfId="1" applyNumberFormat="1" applyFont="1" applyAlignment="1">
      <alignment horizontal="center"/>
    </xf>
    <xf numFmtId="10" fontId="0" fillId="0" borderId="0" xfId="2" applyNumberFormat="1" applyFon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4" fontId="0" fillId="0" borderId="0" xfId="1" applyNumberFormat="1" applyFont="1" applyAlignment="1">
      <alignment horizontal="right"/>
    </xf>
    <xf numFmtId="166" fontId="0" fillId="0" borderId="0" xfId="0" applyNumberFormat="1"/>
    <xf numFmtId="167" fontId="0" fillId="0" borderId="0" xfId="1" applyNumberFormat="1" applyFont="1" applyAlignment="1">
      <alignment horizontal="right"/>
    </xf>
    <xf numFmtId="4" fontId="0" fillId="0" borderId="0" xfId="0" applyNumberFormat="1"/>
    <xf numFmtId="43" fontId="0" fillId="3" borderId="0" xfId="1" applyFont="1" applyFill="1" applyAlignment="1">
      <alignment horizontal="left"/>
    </xf>
    <xf numFmtId="0" fontId="0" fillId="3" borderId="0" xfId="0" applyFill="1"/>
    <xf numFmtId="164" fontId="3" fillId="2" borderId="0" xfId="0" applyNumberFormat="1" applyFont="1" applyFill="1" applyAlignment="1">
      <alignment horizontal="center"/>
    </xf>
    <xf numFmtId="43" fontId="3" fillId="2" borderId="0" xfId="1" applyFont="1" applyFill="1" applyAlignment="1">
      <alignment horizontal="center"/>
    </xf>
    <xf numFmtId="165" fontId="3" fillId="2" borderId="0" xfId="0" applyNumberFormat="1" applyFont="1" applyFill="1"/>
    <xf numFmtId="1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4" fontId="3" fillId="2" borderId="0" xfId="1" applyNumberFormat="1" applyFont="1" applyFill="1" applyAlignment="1">
      <alignment horizontal="right"/>
    </xf>
    <xf numFmtId="43" fontId="0" fillId="3" borderId="0" xfId="1" applyFont="1" applyFill="1" applyAlignment="1">
      <alignment horizontal="center"/>
    </xf>
    <xf numFmtId="0" fontId="4" fillId="3" borderId="0" xfId="0" applyFont="1" applyFill="1" applyAlignment="1">
      <alignment horizontal="left"/>
    </xf>
    <xf numFmtId="4" fontId="3" fillId="2" borderId="0" xfId="0" applyNumberFormat="1" applyFont="1" applyFill="1"/>
    <xf numFmtId="4" fontId="3" fillId="0" borderId="0" xfId="1" applyNumberFormat="1" applyFont="1" applyAlignment="1">
      <alignment horizontal="right"/>
    </xf>
    <xf numFmtId="4" fontId="1" fillId="0" borderId="0" xfId="1" applyNumberFormat="1" applyAlignment="1">
      <alignment horizontal="right"/>
    </xf>
    <xf numFmtId="168" fontId="0" fillId="3" borderId="0" xfId="0" applyNumberFormat="1" applyFill="1"/>
    <xf numFmtId="168" fontId="3" fillId="2" borderId="0" xfId="0" applyNumberFormat="1" applyFont="1" applyFill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168" fontId="0" fillId="0" borderId="0" xfId="2" applyNumberFormat="1" applyFont="1"/>
    <xf numFmtId="4" fontId="0" fillId="3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0" fillId="0" borderId="0" xfId="1" applyNumberFormat="1" applyFont="1"/>
    <xf numFmtId="4" fontId="0" fillId="0" borderId="0" xfId="1" applyNumberFormat="1" applyFont="1" applyAlignment="1">
      <alignment horizontal="center"/>
    </xf>
    <xf numFmtId="4" fontId="0" fillId="0" borderId="0" xfId="2" applyNumberFormat="1" applyFont="1"/>
    <xf numFmtId="4" fontId="3" fillId="2" borderId="0" xfId="1" applyNumberFormat="1" applyFont="1" applyFill="1"/>
    <xf numFmtId="4" fontId="0" fillId="3" borderId="0" xfId="1" applyNumberFormat="1" applyFont="1" applyFill="1" applyAlignment="1">
      <alignment horizontal="center"/>
    </xf>
    <xf numFmtId="0" fontId="3" fillId="5" borderId="0" xfId="0" applyFont="1" applyFill="1"/>
    <xf numFmtId="4" fontId="3" fillId="5" borderId="0" xfId="0" applyNumberFormat="1" applyFont="1" applyFill="1"/>
    <xf numFmtId="0" fontId="0" fillId="5" borderId="0" xfId="0" applyFill="1"/>
    <xf numFmtId="0" fontId="3" fillId="5" borderId="0" xfId="0" applyFont="1" applyFill="1" applyAlignment="1">
      <alignment horizontal="right"/>
    </xf>
    <xf numFmtId="0" fontId="3" fillId="0" borderId="0" xfId="0" applyFont="1" applyAlignment="1">
      <alignment horizontal="left"/>
    </xf>
    <xf numFmtId="0" fontId="5" fillId="4" borderId="0" xfId="0" applyFont="1" applyFill="1"/>
    <xf numFmtId="14" fontId="0" fillId="0" borderId="0" xfId="0" applyNumberFormat="1"/>
    <xf numFmtId="4" fontId="3" fillId="2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left"/>
    </xf>
    <xf numFmtId="166" fontId="0" fillId="0" borderId="0" xfId="1" applyNumberFormat="1" applyFont="1" applyAlignment="1">
      <alignment horizontal="right"/>
    </xf>
    <xf numFmtId="164" fontId="3" fillId="2" borderId="0" xfId="0" applyNumberFormat="1" applyFont="1" applyFill="1" applyAlignment="1">
      <alignment horizontal="center" vertical="center"/>
    </xf>
    <xf numFmtId="43" fontId="3" fillId="2" borderId="0" xfId="1" applyFont="1" applyFill="1" applyAlignment="1">
      <alignment horizontal="center" vertical="center"/>
    </xf>
    <xf numFmtId="4" fontId="3" fillId="2" borderId="0" xfId="1" applyNumberFormat="1" applyFont="1" applyFill="1" applyAlignment="1">
      <alignment horizontal="center" vertical="center" wrapText="1"/>
    </xf>
    <xf numFmtId="4" fontId="3" fillId="2" borderId="0" xfId="1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4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43" fontId="3" fillId="6" borderId="0" xfId="0" applyNumberFormat="1" applyFont="1" applyFill="1" applyAlignment="1">
      <alignment horizontal="center" vertical="center"/>
    </xf>
    <xf numFmtId="2" fontId="0" fillId="0" borderId="0" xfId="2" applyNumberFormat="1" applyFont="1"/>
    <xf numFmtId="0" fontId="3" fillId="2" borderId="0" xfId="0" applyFont="1" applyFill="1" applyAlignment="1">
      <alignment horizontal="left"/>
    </xf>
    <xf numFmtId="0" fontId="0" fillId="0" borderId="0" xfId="2" applyNumberFormat="1" applyFont="1"/>
    <xf numFmtId="43" fontId="1" fillId="0" borderId="0" xfId="1" applyAlignment="1">
      <alignment horizontal="center"/>
    </xf>
    <xf numFmtId="0" fontId="0" fillId="7" borderId="0" xfId="0" applyFill="1"/>
    <xf numFmtId="4" fontId="0" fillId="7" borderId="0" xfId="0" applyNumberFormat="1" applyFill="1"/>
    <xf numFmtId="2" fontId="0" fillId="0" borderId="0" xfId="1" applyNumberFormat="1" applyFont="1" applyAlignment="1">
      <alignment horizontal="right"/>
    </xf>
    <xf numFmtId="167" fontId="3" fillId="2" borderId="0" xfId="0" applyNumberFormat="1" applyFont="1" applyFill="1"/>
    <xf numFmtId="169" fontId="0" fillId="0" borderId="0" xfId="2" applyNumberFormat="1" applyFont="1"/>
    <xf numFmtId="0" fontId="3" fillId="0" borderId="0" xfId="0" applyFont="1"/>
    <xf numFmtId="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0" fontId="3" fillId="0" borderId="0" xfId="2" applyNumberFormat="1" applyFont="1"/>
    <xf numFmtId="170" fontId="0" fillId="0" borderId="0" xfId="2" applyNumberFormat="1" applyFont="1"/>
    <xf numFmtId="4" fontId="0" fillId="0" borderId="0" xfId="2" applyNumberFormat="1" applyFont="1" applyAlignment="1">
      <alignment horizontal="center"/>
    </xf>
    <xf numFmtId="0" fontId="0" fillId="0" borderId="0" xfId="0" quotePrefix="1" applyAlignment="1">
      <alignment horizontal="center"/>
    </xf>
    <xf numFmtId="8" fontId="0" fillId="0" borderId="0" xfId="0" applyNumberFormat="1"/>
    <xf numFmtId="0" fontId="3" fillId="8" borderId="0" xfId="0" applyFont="1" applyFill="1"/>
    <xf numFmtId="0" fontId="3" fillId="8" borderId="0" xfId="0" applyFont="1" applyFill="1" applyAlignment="1">
      <alignment horizontal="right"/>
    </xf>
    <xf numFmtId="169" fontId="0" fillId="0" borderId="0" xfId="0" applyNumberFormat="1"/>
    <xf numFmtId="169" fontId="3" fillId="0" borderId="0" xfId="2" applyNumberFormat="1" applyFont="1"/>
    <xf numFmtId="0" fontId="0" fillId="0" borderId="0" xfId="1" applyNumberFormat="1" applyFont="1" applyAlignment="1">
      <alignment horizontal="right"/>
    </xf>
    <xf numFmtId="10" fontId="0" fillId="0" borderId="0" xfId="2" applyNumberFormat="1" applyFont="1" applyAlignment="1">
      <alignment horizontal="center"/>
    </xf>
    <xf numFmtId="4" fontId="3" fillId="0" borderId="0" xfId="0" applyNumberFormat="1" applyFont="1" applyAlignment="1">
      <alignment horizontal="right"/>
    </xf>
    <xf numFmtId="17" fontId="0" fillId="0" borderId="0" xfId="0" applyNumberFormat="1"/>
    <xf numFmtId="0" fontId="3" fillId="9" borderId="0" xfId="0" applyFont="1" applyFill="1"/>
    <xf numFmtId="0" fontId="0" fillId="9" borderId="0" xfId="0" applyFill="1"/>
    <xf numFmtId="0" fontId="0" fillId="4" borderId="0" xfId="0" applyFill="1"/>
    <xf numFmtId="0" fontId="3" fillId="4" borderId="0" xfId="0" applyFont="1" applyFill="1"/>
    <xf numFmtId="0" fontId="3" fillId="10" borderId="0" xfId="0" applyFont="1" applyFill="1"/>
    <xf numFmtId="0" fontId="3" fillId="10" borderId="0" xfId="0" applyFont="1" applyFill="1" applyAlignment="1">
      <alignment horizontal="right"/>
    </xf>
    <xf numFmtId="43" fontId="3" fillId="0" borderId="0" xfId="1" applyFont="1" applyAlignment="1">
      <alignment horizontal="center"/>
    </xf>
    <xf numFmtId="0" fontId="3" fillId="2" borderId="0" xfId="0" applyFont="1" applyFill="1" applyAlignment="1">
      <alignment horizontal="right"/>
    </xf>
    <xf numFmtId="43" fontId="0" fillId="0" borderId="0" xfId="2" applyNumberFormat="1" applyFont="1" applyAlignment="1">
      <alignment horizontal="center"/>
    </xf>
    <xf numFmtId="10" fontId="3" fillId="0" borderId="0" xfId="2" applyNumberFormat="1" applyFont="1" applyAlignment="1">
      <alignment horizontal="right"/>
    </xf>
    <xf numFmtId="166" fontId="3" fillId="0" borderId="0" xfId="1" applyNumberFormat="1" applyFont="1" applyAlignment="1">
      <alignment horizontal="right"/>
    </xf>
    <xf numFmtId="0" fontId="3" fillId="5" borderId="0" xfId="0" applyFont="1" applyFill="1" applyAlignment="1">
      <alignment horizontal="center"/>
    </xf>
    <xf numFmtId="164" fontId="3" fillId="11" borderId="0" xfId="0" applyNumberFormat="1" applyFont="1" applyFill="1"/>
    <xf numFmtId="4" fontId="0" fillId="11" borderId="0" xfId="1" applyNumberFormat="1" applyFont="1" applyFill="1"/>
    <xf numFmtId="4" fontId="0" fillId="11" borderId="0" xfId="0" applyNumberFormat="1" applyFill="1"/>
    <xf numFmtId="4" fontId="3" fillId="5" borderId="0" xfId="1" applyNumberFormat="1" applyFont="1" applyFill="1"/>
    <xf numFmtId="0" fontId="3" fillId="11" borderId="0" xfId="0" applyFont="1" applyFill="1"/>
    <xf numFmtId="0" fontId="3" fillId="5" borderId="0" xfId="0" applyFont="1" applyFill="1" applyAlignment="1">
      <alignment horizontal="left"/>
    </xf>
    <xf numFmtId="0" fontId="3" fillId="11" borderId="0" xfId="0" applyFont="1" applyFill="1" applyAlignment="1">
      <alignment horizontal="center"/>
    </xf>
    <xf numFmtId="4" fontId="1" fillId="0" borderId="0" xfId="1" applyNumberFormat="1"/>
    <xf numFmtId="0" fontId="0" fillId="0" borderId="0" xfId="1" applyNumberFormat="1" applyFont="1"/>
    <xf numFmtId="0" fontId="0" fillId="0" borderId="0" xfId="1" applyNumberFormat="1" applyFont="1" applyAlignment="1">
      <alignment horizontal="center"/>
    </xf>
    <xf numFmtId="0" fontId="6" fillId="0" borderId="0" xfId="3" applyAlignment="1">
      <alignment horizontal="left"/>
    </xf>
    <xf numFmtId="2" fontId="0" fillId="0" borderId="0" xfId="1" applyNumberFormat="1" applyFont="1"/>
    <xf numFmtId="0" fontId="3" fillId="0" borderId="0" xfId="0" applyFont="1" applyAlignment="1">
      <alignment horizontal="center"/>
    </xf>
    <xf numFmtId="0" fontId="0" fillId="0" borderId="0" xfId="0" quotePrefix="1"/>
    <xf numFmtId="0" fontId="3" fillId="0" borderId="0" xfId="0" applyFont="1" applyAlignment="1"/>
    <xf numFmtId="4" fontId="0" fillId="0" borderId="0" xfId="0" applyNumberFormat="1" applyAlignment="1">
      <alignment horizontal="center"/>
    </xf>
    <xf numFmtId="0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 applyFont="1"/>
    <xf numFmtId="0" fontId="3" fillId="12" borderId="0" xfId="0" applyFont="1" applyFill="1"/>
    <xf numFmtId="4" fontId="3" fillId="12" borderId="0" xfId="0" applyNumberFormat="1" applyFont="1" applyFill="1"/>
    <xf numFmtId="10" fontId="3" fillId="12" borderId="0" xfId="2" applyNumberFormat="1" applyFont="1" applyFill="1"/>
    <xf numFmtId="4" fontId="1" fillId="0" borderId="0" xfId="1" applyNumberFormat="1" applyFont="1"/>
    <xf numFmtId="0" fontId="3" fillId="8" borderId="0" xfId="0" applyFont="1" applyFill="1" applyAlignment="1">
      <alignment horizontal="center"/>
    </xf>
    <xf numFmtId="4" fontId="3" fillId="0" borderId="0" xfId="1" applyNumberFormat="1" applyFont="1"/>
    <xf numFmtId="0" fontId="3" fillId="0" borderId="0" xfId="1" applyNumberFormat="1" applyFont="1"/>
    <xf numFmtId="0" fontId="3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/>
    <xf numFmtId="4" fontId="3" fillId="0" borderId="0" xfId="0" applyNumberFormat="1" applyFont="1" applyFill="1"/>
    <xf numFmtId="0" fontId="0" fillId="0" borderId="0" xfId="0" applyFill="1"/>
    <xf numFmtId="4" fontId="0" fillId="0" borderId="0" xfId="1" applyNumberFormat="1" applyFont="1" applyAlignment="1"/>
    <xf numFmtId="0" fontId="3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8" borderId="0" xfId="0" applyFont="1" applyFill="1" applyAlignment="1">
      <alignment horizontal="center"/>
    </xf>
    <xf numFmtId="171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2" xfId="0" applyBorder="1"/>
    <xf numFmtId="172" fontId="0" fillId="0" borderId="0" xfId="0" applyNumberFormat="1" applyAlignment="1">
      <alignment horizontal="center"/>
    </xf>
    <xf numFmtId="0" fontId="7" fillId="0" borderId="0" xfId="0" applyFont="1"/>
    <xf numFmtId="4" fontId="0" fillId="0" borderId="0" xfId="0" applyNumberFormat="1" applyAlignment="1">
      <alignment horizontal="righ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4" fontId="0" fillId="0" borderId="0" xfId="0" applyNumberFormat="1" applyAlignment="1"/>
    <xf numFmtId="173" fontId="0" fillId="0" borderId="0" xfId="0" applyNumberFormat="1"/>
    <xf numFmtId="0" fontId="3" fillId="13" borderId="0" xfId="0" applyFont="1" applyFill="1" applyAlignment="1">
      <alignment horizontal="center"/>
    </xf>
    <xf numFmtId="10" fontId="3" fillId="9" borderId="0" xfId="2" applyNumberFormat="1" applyFont="1" applyFill="1"/>
    <xf numFmtId="0" fontId="0" fillId="0" borderId="0" xfId="0" applyFill="1" applyBorder="1"/>
    <xf numFmtId="0" fontId="0" fillId="9" borderId="0" xfId="0" applyFill="1" applyAlignment="1">
      <alignment horizontal="center"/>
    </xf>
    <xf numFmtId="4" fontId="0" fillId="9" borderId="0" xfId="0" applyNumberFormat="1" applyFill="1"/>
    <xf numFmtId="4" fontId="3" fillId="10" borderId="0" xfId="0" applyNumberFormat="1" applyFont="1" applyFill="1"/>
    <xf numFmtId="4" fontId="3" fillId="13" borderId="0" xfId="0" applyNumberFormat="1" applyFont="1" applyFill="1" applyAlignment="1">
      <alignment horizontal="center"/>
    </xf>
    <xf numFmtId="4" fontId="3" fillId="9" borderId="0" xfId="2" applyNumberFormat="1" applyFont="1" applyFill="1"/>
    <xf numFmtId="2" fontId="0" fillId="0" borderId="0" xfId="0" applyNumberFormat="1" applyFont="1"/>
    <xf numFmtId="2" fontId="3" fillId="0" borderId="0" xfId="0" applyNumberFormat="1" applyFont="1"/>
    <xf numFmtId="4" fontId="0" fillId="5" borderId="0" xfId="0" applyNumberFormat="1" applyFill="1"/>
    <xf numFmtId="0" fontId="0" fillId="10" borderId="0" xfId="0" applyFill="1"/>
    <xf numFmtId="0" fontId="3" fillId="14" borderId="0" xfId="0" applyFont="1" applyFill="1" applyAlignment="1">
      <alignment horizontal="center"/>
    </xf>
    <xf numFmtId="0" fontId="3" fillId="14" borderId="0" xfId="0" applyFont="1" applyFill="1"/>
    <xf numFmtId="4" fontId="3" fillId="14" borderId="0" xfId="0" applyNumberFormat="1" applyFont="1" applyFill="1" applyAlignment="1">
      <alignment horizontal="right"/>
    </xf>
    <xf numFmtId="0" fontId="3" fillId="15" borderId="0" xfId="0" applyFont="1" applyFill="1" applyAlignment="1">
      <alignment horizontal="center"/>
    </xf>
    <xf numFmtId="0" fontId="3" fillId="15" borderId="0" xfId="0" applyFont="1" applyFill="1"/>
    <xf numFmtId="4" fontId="3" fillId="15" borderId="0" xfId="0" applyNumberFormat="1" applyFont="1" applyFill="1" applyAlignment="1">
      <alignment horizontal="right"/>
    </xf>
    <xf numFmtId="0" fontId="3" fillId="16" borderId="0" xfId="0" applyFont="1" applyFill="1"/>
    <xf numFmtId="0" fontId="3" fillId="15" borderId="0" xfId="0" applyFont="1" applyFill="1" applyAlignment="1">
      <alignment horizontal="right"/>
    </xf>
    <xf numFmtId="0" fontId="3" fillId="17" borderId="0" xfId="0" applyFont="1" applyFill="1"/>
    <xf numFmtId="0" fontId="3" fillId="14" borderId="0" xfId="0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4" fontId="0" fillId="0" borderId="0" xfId="0" applyNumberFormat="1" applyFill="1"/>
    <xf numFmtId="172" fontId="0" fillId="0" borderId="0" xfId="0" applyNumberFormat="1" applyFill="1" applyAlignment="1">
      <alignment horizontal="center"/>
    </xf>
    <xf numFmtId="172" fontId="3" fillId="5" borderId="0" xfId="0" applyNumberFormat="1" applyFont="1" applyFill="1" applyAlignment="1">
      <alignment horizontal="left"/>
    </xf>
    <xf numFmtId="0" fontId="3" fillId="9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4" fontId="0" fillId="7" borderId="0" xfId="0" applyNumberFormat="1" applyFill="1" applyAlignment="1">
      <alignment horizontal="right"/>
    </xf>
    <xf numFmtId="0" fontId="0" fillId="7" borderId="0" xfId="0" applyFill="1" applyAlignment="1">
      <alignment horizontal="right"/>
    </xf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Fonte de Renda - 2017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AB-4056-B2AA-9BE105A91D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AB-4056-B2AA-9BE105A91D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1AB-4056-B2AA-9BE105A91D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F2-4EAC-AE5B-DE16403F4AA9}"/>
              </c:ext>
            </c:extLst>
          </c:dPt>
          <c:dLbls>
            <c:dLbl>
              <c:idx val="0"/>
              <c:layout>
                <c:manualLayout>
                  <c:x val="4.0769179278828893E-2"/>
                  <c:y val="0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600" b="1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Banese
</a:t>
                    </a:r>
                    <a:fld id="{E6CC3833-DB3E-47E5-ABB4-4F5FD3317A33}" type="PERCENTAGE">
                      <a:rPr lang="en-US" baseline="0"/>
                      <a:pPr>
                        <a:defRPr sz="1600" b="1"/>
                      </a:pPr>
                      <a:t>[PORCENTAGEM]</a:t>
                    </a:fld>
                    <a:endParaRPr lang="en-US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157551527997843"/>
                      <c:h val="0.1335237761470375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1AB-4056-B2AA-9BE105A91D4F}"/>
                </c:ext>
              </c:extLst>
            </c:dLbl>
            <c:dLbl>
              <c:idx val="1"/>
              <c:layout>
                <c:manualLayout>
                  <c:x val="-8.1720416269508711E-2"/>
                  <c:y val="-1.164007426339199E-16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Outras
</a:t>
                    </a:r>
                    <a:fld id="{74F1B75C-30AA-48CA-B954-26247825AD7F}" type="PERCENTAGE">
                      <a:rPr lang="en-US" baseline="0"/>
                      <a:pPr/>
                      <a:t>[PORCENTAGEM]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2787712676706"/>
                      <c:h val="0.144827651019325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1AB-4056-B2AA-9BE105A91D4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'Plano de Metas'!$A$189:$A$190</c:f>
              <c:strCache>
                <c:ptCount val="2"/>
                <c:pt idx="0">
                  <c:v>Ativa</c:v>
                </c:pt>
                <c:pt idx="1">
                  <c:v>Passiva</c:v>
                </c:pt>
              </c:strCache>
            </c:strRef>
          </c:cat>
          <c:val>
            <c:numRef>
              <c:f>'Plano de Metas'!$B$189:$B$190</c:f>
              <c:numCache>
                <c:formatCode>#,##0.00</c:formatCode>
                <c:ptCount val="2"/>
                <c:pt idx="0">
                  <c:v>72125.87999999999</c:v>
                </c:pt>
                <c:pt idx="1">
                  <c:v>71663.100000000006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B-4056-B2AA-9BE105A91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Fonte de Renda - 2018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48-45DA-BEB0-8427CFC80B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E48-45DA-BEB0-8427CFC80B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48-45DA-BEB0-8427CFC80B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E4-410E-AE9D-2DEC258428F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Banese
</a:t>
                    </a:r>
                    <a:fld id="{88A28F3E-9E53-4156-ABE6-0F9C40173D07}" type="PERCENTAGE">
                      <a:rPr lang="en-US" baseline="0"/>
                      <a:pPr/>
                      <a:t>[PORCENTAGEM]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E48-45DA-BEB0-8427CFC80B11}"/>
                </c:ext>
              </c:extLst>
            </c:dLbl>
            <c:dLbl>
              <c:idx val="1"/>
              <c:layout>
                <c:manualLayout>
                  <c:x val="-2.1503778821098163E-2"/>
                  <c:y val="-1.866977600923982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Outras</a:t>
                    </a:r>
                    <a:r>
                      <a:rPr lang="en-US" baseline="0"/>
                      <a:t>
</a:t>
                    </a:r>
                    <a:fld id="{39D68F95-9E9D-4A8D-9954-2DDA1881B501}" type="PERCENTAGE">
                      <a:rPr lang="en-US" baseline="0"/>
                      <a:pPr/>
                      <a:t>[PORCENTAGEM]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245127551146502"/>
                      <c:h val="0.1321531029437238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E48-45DA-BEB0-8427CFC80B1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'Plano de Metas'!$A$195:$A$196</c:f>
              <c:strCache>
                <c:ptCount val="2"/>
                <c:pt idx="0">
                  <c:v>Ativa</c:v>
                </c:pt>
                <c:pt idx="1">
                  <c:v>Passiva</c:v>
                </c:pt>
              </c:strCache>
            </c:strRef>
          </c:cat>
          <c:val>
            <c:numRef>
              <c:f>'Plano de Metas'!$B$195:$B$196</c:f>
              <c:numCache>
                <c:formatCode>#,##0.00</c:formatCode>
                <c:ptCount val="2"/>
                <c:pt idx="0">
                  <c:v>73576.790000000008</c:v>
                </c:pt>
                <c:pt idx="1">
                  <c:v>94672.83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8-45DA-BEB0-8427CFC80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RENDA</a:t>
            </a:r>
            <a:r>
              <a:rPr lang="en-US" baseline="0"/>
              <a:t> PASSIVA MENSAL EM 2018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'Plano de Metas'!$A$93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'Plano de Metas'!$B$93:$M$93</c:f>
              <c:numCache>
                <c:formatCode>#,##0.00</c:formatCode>
                <c:ptCount val="12"/>
                <c:pt idx="0">
                  <c:v>7190.12</c:v>
                </c:pt>
                <c:pt idx="1">
                  <c:v>6499.32</c:v>
                </c:pt>
                <c:pt idx="2">
                  <c:v>7775.8</c:v>
                </c:pt>
                <c:pt idx="3">
                  <c:v>7610</c:v>
                </c:pt>
                <c:pt idx="4">
                  <c:v>8198.93</c:v>
                </c:pt>
                <c:pt idx="5">
                  <c:v>8330.06</c:v>
                </c:pt>
                <c:pt idx="6">
                  <c:v>6219.12</c:v>
                </c:pt>
                <c:pt idx="7">
                  <c:v>8504.119999999999</c:v>
                </c:pt>
                <c:pt idx="8">
                  <c:v>9093.06</c:v>
                </c:pt>
                <c:pt idx="9">
                  <c:v>8049.49</c:v>
                </c:pt>
                <c:pt idx="10">
                  <c:v>8376.93</c:v>
                </c:pt>
                <c:pt idx="11">
                  <c:v>8825.880000000001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6-469B-8994-9B03864B2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29536"/>
        <c:axId val="546430192"/>
      </c:barChart>
      <c:catAx>
        <c:axId val="54642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430192"/>
        <c:crosses val="autoZero"/>
        <c:auto val="1"/>
        <c:lblAlgn val="ctr"/>
        <c:lblOffset val="100"/>
        <c:noMultiLvlLbl val="0"/>
      </c:catAx>
      <c:valAx>
        <c:axId val="54643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42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DO PATRIMÔNIO</a:t>
            </a:r>
          </a:p>
        </c:rich>
      </c:tx>
      <c:layout>
        <c:manualLayout>
          <c:xMode val="edge"/>
          <c:yMode val="edge"/>
          <c:x val="0.39249601499523823"/>
          <c:y val="3.3472798446018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1664001576318845E-2"/>
          <c:y val="0.15654112073254767"/>
          <c:w val="0.91421986111216369"/>
          <c:h val="0.7348646870176205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'Plano de Metas'!$T$106:$T$151</c:f>
              <c:numCache>
                <c:formatCode>mmm\-yy</c:formatCode>
                <c:ptCount val="46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  <c:pt idx="12">
                  <c:v>43252</c:v>
                </c:pt>
                <c:pt idx="13">
                  <c:v>43282</c:v>
                </c:pt>
                <c:pt idx="14">
                  <c:v>43313</c:v>
                </c:pt>
                <c:pt idx="15">
                  <c:v>43344</c:v>
                </c:pt>
                <c:pt idx="16">
                  <c:v>43374</c:v>
                </c:pt>
                <c:pt idx="17">
                  <c:v>43405</c:v>
                </c:pt>
                <c:pt idx="18">
                  <c:v>43435</c:v>
                </c:pt>
                <c:pt idx="19">
                  <c:v>43466</c:v>
                </c:pt>
                <c:pt idx="20">
                  <c:v>43497</c:v>
                </c:pt>
                <c:pt idx="21">
                  <c:v>43525</c:v>
                </c:pt>
                <c:pt idx="22">
                  <c:v>43556</c:v>
                </c:pt>
                <c:pt idx="23">
                  <c:v>43586</c:v>
                </c:pt>
                <c:pt idx="24">
                  <c:v>43617</c:v>
                </c:pt>
                <c:pt idx="25">
                  <c:v>43647</c:v>
                </c:pt>
                <c:pt idx="26">
                  <c:v>43678</c:v>
                </c:pt>
                <c:pt idx="27">
                  <c:v>43709</c:v>
                </c:pt>
                <c:pt idx="28">
                  <c:v>43739</c:v>
                </c:pt>
                <c:pt idx="29">
                  <c:v>43770</c:v>
                </c:pt>
                <c:pt idx="30">
                  <c:v>43800</c:v>
                </c:pt>
                <c:pt idx="31">
                  <c:v>43831</c:v>
                </c:pt>
                <c:pt idx="32">
                  <c:v>43862</c:v>
                </c:pt>
                <c:pt idx="33">
                  <c:v>43891</c:v>
                </c:pt>
                <c:pt idx="34">
                  <c:v>43922</c:v>
                </c:pt>
                <c:pt idx="35">
                  <c:v>43952</c:v>
                </c:pt>
                <c:pt idx="36">
                  <c:v>43983</c:v>
                </c:pt>
                <c:pt idx="37">
                  <c:v>44013</c:v>
                </c:pt>
                <c:pt idx="38">
                  <c:v>44044</c:v>
                </c:pt>
                <c:pt idx="39">
                  <c:v>44075</c:v>
                </c:pt>
                <c:pt idx="40">
                  <c:v>44105</c:v>
                </c:pt>
                <c:pt idx="41">
                  <c:v>44136</c:v>
                </c:pt>
                <c:pt idx="42">
                  <c:v>44166</c:v>
                </c:pt>
                <c:pt idx="43">
                  <c:v>44197</c:v>
                </c:pt>
                <c:pt idx="44">
                  <c:v>44228</c:v>
                </c:pt>
                <c:pt idx="45">
                  <c:v>44256</c:v>
                </c:pt>
              </c:numCache>
            </c:numRef>
          </c:cat>
          <c:val>
            <c:numRef>
              <c:f>'Plano de Metas'!$AF$106:$AF$151</c:f>
              <c:numCache>
                <c:formatCode>#,##0.00</c:formatCode>
                <c:ptCount val="46"/>
                <c:pt idx="0">
                  <c:v>103143</c:v>
                </c:pt>
                <c:pt idx="1">
                  <c:v>119349</c:v>
                </c:pt>
                <c:pt idx="2">
                  <c:v>131230.35</c:v>
                </c:pt>
                <c:pt idx="3">
                  <c:v>140135.5</c:v>
                </c:pt>
                <c:pt idx="4">
                  <c:v>150190.87</c:v>
                </c:pt>
                <c:pt idx="5">
                  <c:v>147195.53</c:v>
                </c:pt>
                <c:pt idx="6">
                  <c:v>157166</c:v>
                </c:pt>
                <c:pt idx="7">
                  <c:v>170331.22999999998</c:v>
                </c:pt>
                <c:pt idx="8">
                  <c:v>161520.33000000002</c:v>
                </c:pt>
                <c:pt idx="9">
                  <c:v>175715.84000000003</c:v>
                </c:pt>
                <c:pt idx="10">
                  <c:v>178893.81</c:v>
                </c:pt>
                <c:pt idx="11">
                  <c:v>179262.04</c:v>
                </c:pt>
                <c:pt idx="12">
                  <c:v>179575.38</c:v>
                </c:pt>
                <c:pt idx="13">
                  <c:v>198076.96999999997</c:v>
                </c:pt>
                <c:pt idx="14">
                  <c:v>201184.54</c:v>
                </c:pt>
                <c:pt idx="15">
                  <c:v>213959.62000000002</c:v>
                </c:pt>
                <c:pt idx="16">
                  <c:v>250101.90000000002</c:v>
                </c:pt>
                <c:pt idx="17">
                  <c:v>270008.87</c:v>
                </c:pt>
                <c:pt idx="18">
                  <c:v>270121.36</c:v>
                </c:pt>
                <c:pt idx="19">
                  <c:v>292638.62000000005</c:v>
                </c:pt>
                <c:pt idx="20">
                  <c:v>300932.46000000002</c:v>
                </c:pt>
                <c:pt idx="21">
                  <c:v>315812.78000000003</c:v>
                </c:pt>
                <c:pt idx="22">
                  <c:v>328215.99000000005</c:v>
                </c:pt>
                <c:pt idx="23">
                  <c:v>339031.85000000003</c:v>
                </c:pt>
                <c:pt idx="24">
                  <c:v>357879.43999999994</c:v>
                </c:pt>
                <c:pt idx="25">
                  <c:v>374327</c:v>
                </c:pt>
                <c:pt idx="26">
                  <c:v>385561.98000000004</c:v>
                </c:pt>
                <c:pt idx="27">
                  <c:v>397554.82999999996</c:v>
                </c:pt>
                <c:pt idx="28">
                  <c:v>400770.8</c:v>
                </c:pt>
                <c:pt idx="29">
                  <c:v>424859.00000000006</c:v>
                </c:pt>
                <c:pt idx="30">
                  <c:v>480058.69</c:v>
                </c:pt>
                <c:pt idx="31">
                  <c:v>471227.63999999996</c:v>
                </c:pt>
                <c:pt idx="32">
                  <c:v>460431.26000000007</c:v>
                </c:pt>
                <c:pt idx="33">
                  <c:v>375872.62999999995</c:v>
                </c:pt>
                <c:pt idx="34">
                  <c:v>404946.86</c:v>
                </c:pt>
                <c:pt idx="35">
                  <c:v>423464.5</c:v>
                </c:pt>
                <c:pt idx="36">
                  <c:v>430834.43</c:v>
                </c:pt>
                <c:pt idx="37">
                  <c:v>437238.3</c:v>
                </c:pt>
                <c:pt idx="38">
                  <c:v>442434.62</c:v>
                </c:pt>
                <c:pt idx="39">
                  <c:v>450836.09</c:v>
                </c:pt>
                <c:pt idx="40">
                  <c:v>453422.56</c:v>
                </c:pt>
                <c:pt idx="41">
                  <c:v>484136.57999999996</c:v>
                </c:pt>
                <c:pt idx="42">
                  <c:v>514858.38999999996</c:v>
                </c:pt>
                <c:pt idx="43">
                  <c:v>511480.93</c:v>
                </c:pt>
                <c:pt idx="44">
                  <c:v>511865.41000000003</c:v>
                </c:pt>
                <c:pt idx="45">
                  <c:v>525248.44999999995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6-4829-AB1C-C6D55F008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055816"/>
        <c:axId val="476056472"/>
      </c:barChart>
      <c:dateAx>
        <c:axId val="476055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6056472"/>
        <c:crosses val="autoZero"/>
        <c:auto val="1"/>
        <c:lblOffset val="100"/>
        <c:baseTimeUnit val="months"/>
      </c:dateAx>
      <c:valAx>
        <c:axId val="47605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6055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Alocação da Carteira</a:t>
            </a:r>
          </a:p>
        </c:rich>
      </c:tx>
      <c:layout>
        <c:manualLayout>
          <c:xMode val="edge"/>
          <c:yMode val="edge"/>
          <c:x val="0.37617065293111818"/>
          <c:y val="8.588296991424890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E9-44CC-BB16-6A89D39365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E9-44CC-BB16-6A89D39365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E9-44CC-BB16-6A89D39365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E9-44CC-BB16-6A89D39365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E1-4823-8C1D-CD987505B9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E1-4823-8C1D-CD987505B9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FE1-4823-8C1D-CD987505B924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E9-44CC-BB16-6A89D3936556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E9-44CC-BB16-6A89D3936556}"/>
                </c:ext>
              </c:extLst>
            </c:dLbl>
            <c:dLbl>
              <c:idx val="2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E9-44CC-BB16-6A89D3936556}"/>
                </c:ext>
              </c:extLst>
            </c:dLbl>
            <c:dLbl>
              <c:idx val="3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E9-44CC-BB16-6A89D393655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'Plano de Metas'!$U$105:$AA$105</c:f>
              <c:strCache>
                <c:ptCount val="7"/>
                <c:pt idx="0">
                  <c:v>RDB</c:v>
                </c:pt>
                <c:pt idx="1">
                  <c:v>AÇÕES</c:v>
                </c:pt>
                <c:pt idx="2">
                  <c:v>FI - FUND IMOB</c:v>
                </c:pt>
                <c:pt idx="3">
                  <c:v>TESOURO</c:v>
                </c:pt>
                <c:pt idx="4">
                  <c:v>SERGUS</c:v>
                </c:pt>
                <c:pt idx="5">
                  <c:v>FUNDO ALASKA</c:v>
                </c:pt>
                <c:pt idx="6">
                  <c:v>PASSFOLIO</c:v>
                </c:pt>
              </c:strCache>
            </c:strRef>
          </c:cat>
          <c:val>
            <c:numRef>
              <c:f>'Plano de Metas'!$U$147:$AA$147</c:f>
              <c:numCache>
                <c:formatCode>#,##0.00</c:formatCode>
                <c:ptCount val="7"/>
                <c:pt idx="0">
                  <c:v>0</c:v>
                </c:pt>
                <c:pt idx="1">
                  <c:v>167657.63</c:v>
                </c:pt>
                <c:pt idx="2">
                  <c:v>249987.82</c:v>
                </c:pt>
                <c:pt idx="3">
                  <c:v>36850.480000000003</c:v>
                </c:pt>
                <c:pt idx="4">
                  <c:v>20038.360000000004</c:v>
                </c:pt>
                <c:pt idx="5">
                  <c:v>1282.29</c:v>
                </c:pt>
                <c:pt idx="6">
                  <c:v>8320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1-4DC0-A82B-359D4AD16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10693803243487"/>
          <c:y val="0.22214610721913985"/>
          <c:w val="0.25345138234081549"/>
          <c:h val="0.47879958600351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RENDIMENTOS MENSAIS DOS FUNDOS </a:t>
            </a:r>
            <a:r>
              <a:rPr lang="en-US" baseline="0"/>
              <a:t>IMOBILIÁRIOS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'Plano de Metas'!$A$263</c:f>
              <c:strCache>
                <c:ptCount val="1"/>
                <c:pt idx="0">
                  <c:v>set/17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'Plano de Metas'!$B$263</c:f>
              <c:numCache>
                <c:formatCode>#,##0.00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1-485C-9A3D-96EDED221813}"/>
            </c:ext>
          </c:extLst>
        </c:ser>
        <c:ser>
          <c:idx val="1"/>
          <c:order val="1"/>
          <c:tx>
            <c:strRef>
              <c:f>'Plano de Metas'!$A$264</c:f>
              <c:strCache>
                <c:ptCount val="1"/>
                <c:pt idx="0">
                  <c:v>out/17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'Plano de Metas'!$B$264</c:f>
              <c:numCache>
                <c:formatCode>#,##0.00</c:formatCode>
                <c:ptCount val="1"/>
                <c:pt idx="0">
                  <c:v>101.47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C1-485C-9A3D-96EDED221813}"/>
            </c:ext>
          </c:extLst>
        </c:ser>
        <c:ser>
          <c:idx val="2"/>
          <c:order val="2"/>
          <c:tx>
            <c:strRef>
              <c:f>'Plano de Metas'!$A$265</c:f>
              <c:strCache>
                <c:ptCount val="1"/>
                <c:pt idx="0">
                  <c:v>nov/17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'Plano de Metas'!$B$265</c:f>
              <c:numCache>
                <c:formatCode>#,##0.00</c:formatCode>
                <c:ptCount val="1"/>
                <c:pt idx="0">
                  <c:v>126.22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C1-485C-9A3D-96EDED221813}"/>
            </c:ext>
          </c:extLst>
        </c:ser>
        <c:ser>
          <c:idx val="3"/>
          <c:order val="3"/>
          <c:tx>
            <c:strRef>
              <c:f>'Plano de Metas'!$A$266</c:f>
              <c:strCache>
                <c:ptCount val="1"/>
                <c:pt idx="0">
                  <c:v>dez/17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'Plano de Metas'!$B$266</c:f>
              <c:numCache>
                <c:formatCode>#,##0.00</c:formatCode>
                <c:ptCount val="1"/>
                <c:pt idx="0">
                  <c:v>168.12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C1-485C-9A3D-96EDED221813}"/>
            </c:ext>
          </c:extLst>
        </c:ser>
        <c:ser>
          <c:idx val="4"/>
          <c:order val="4"/>
          <c:tx>
            <c:strRef>
              <c:f>'Plano de Metas'!$A$267</c:f>
              <c:strCache>
                <c:ptCount val="1"/>
                <c:pt idx="0">
                  <c:v>jan/18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'Plano de Metas'!$B$267</c:f>
              <c:numCache>
                <c:formatCode>#,##0.00</c:formatCode>
                <c:ptCount val="1"/>
                <c:pt idx="0">
                  <c:v>207.58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C1-485C-9A3D-96EDED221813}"/>
            </c:ext>
          </c:extLst>
        </c:ser>
        <c:ser>
          <c:idx val="5"/>
          <c:order val="5"/>
          <c:tx>
            <c:strRef>
              <c:f>'Plano de Metas'!$A$268</c:f>
              <c:strCache>
                <c:ptCount val="1"/>
                <c:pt idx="0">
                  <c:v>fev/18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'Plano de Metas'!$B$268</c:f>
              <c:numCache>
                <c:formatCode>#,##0.00</c:formatCode>
                <c:ptCount val="1"/>
                <c:pt idx="0">
                  <c:v>210.02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C1-485C-9A3D-96EDED221813}"/>
            </c:ext>
          </c:extLst>
        </c:ser>
        <c:ser>
          <c:idx val="6"/>
          <c:order val="6"/>
          <c:tx>
            <c:strRef>
              <c:f>'Plano de Metas'!$A$269</c:f>
              <c:strCache>
                <c:ptCount val="1"/>
                <c:pt idx="0">
                  <c:v>mar/18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Metas'!$B$269</c:f>
              <c:numCache>
                <c:formatCode>#,##0.00</c:formatCode>
                <c:ptCount val="1"/>
                <c:pt idx="0">
                  <c:v>255.66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C1-485C-9A3D-96EDED221813}"/>
            </c:ext>
          </c:extLst>
        </c:ser>
        <c:ser>
          <c:idx val="7"/>
          <c:order val="7"/>
          <c:tx>
            <c:strRef>
              <c:f>'Plano de Metas'!$A$270</c:f>
              <c:strCache>
                <c:ptCount val="1"/>
                <c:pt idx="0">
                  <c:v>abr/18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Metas'!$B$270</c:f>
              <c:numCache>
                <c:formatCode>#,##0.00</c:formatCode>
                <c:ptCount val="1"/>
                <c:pt idx="0">
                  <c:v>299.73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C1-485C-9A3D-96EDED221813}"/>
            </c:ext>
          </c:extLst>
        </c:ser>
        <c:ser>
          <c:idx val="8"/>
          <c:order val="8"/>
          <c:tx>
            <c:strRef>
              <c:f>'Plano de Metas'!$A$271</c:f>
              <c:strCache>
                <c:ptCount val="1"/>
                <c:pt idx="0">
                  <c:v>mai/18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Metas'!$B$271</c:f>
              <c:numCache>
                <c:formatCode>#,##0.00</c:formatCode>
                <c:ptCount val="1"/>
                <c:pt idx="0">
                  <c:v>307.13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C1-485C-9A3D-96EDED221813}"/>
            </c:ext>
          </c:extLst>
        </c:ser>
        <c:ser>
          <c:idx val="9"/>
          <c:order val="9"/>
          <c:tx>
            <c:strRef>
              <c:f>'Plano de Metas'!$A$272</c:f>
              <c:strCache>
                <c:ptCount val="1"/>
                <c:pt idx="0">
                  <c:v>jun/18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Metas'!$B$272</c:f>
              <c:numCache>
                <c:formatCode>#,##0.00</c:formatCode>
                <c:ptCount val="1"/>
                <c:pt idx="0">
                  <c:v>368.37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C1-485C-9A3D-96EDED221813}"/>
            </c:ext>
          </c:extLst>
        </c:ser>
        <c:ser>
          <c:idx val="10"/>
          <c:order val="10"/>
          <c:tx>
            <c:strRef>
              <c:f>'Plano de Metas'!$A$273</c:f>
              <c:strCache>
                <c:ptCount val="1"/>
                <c:pt idx="0">
                  <c:v>jul/18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Metas'!$B$273</c:f>
              <c:numCache>
                <c:formatCode>#,##0.00</c:formatCode>
                <c:ptCount val="1"/>
                <c:pt idx="0">
                  <c:v>399.14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C1-485C-9A3D-96EDED221813}"/>
            </c:ext>
          </c:extLst>
        </c:ser>
        <c:ser>
          <c:idx val="11"/>
          <c:order val="11"/>
          <c:tx>
            <c:strRef>
              <c:f>'Plano de Metas'!$A$274</c:f>
              <c:strCache>
                <c:ptCount val="1"/>
                <c:pt idx="0">
                  <c:v>ago/18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Metas'!$B$274</c:f>
              <c:numCache>
                <c:formatCode>#,##0.00</c:formatCode>
                <c:ptCount val="1"/>
                <c:pt idx="0">
                  <c:v>451.86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FC1-485C-9A3D-96EDED221813}"/>
            </c:ext>
          </c:extLst>
        </c:ser>
        <c:ser>
          <c:idx val="12"/>
          <c:order val="12"/>
          <c:tx>
            <c:strRef>
              <c:f>'Plano de Metas'!$A$275</c:f>
              <c:strCache>
                <c:ptCount val="1"/>
                <c:pt idx="0">
                  <c:v>set/18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Metas'!$B$275</c:f>
              <c:numCache>
                <c:formatCode>#,##0.00</c:formatCode>
                <c:ptCount val="1"/>
                <c:pt idx="0">
                  <c:v>498.75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0-4800-8792-02532712D982}"/>
            </c:ext>
          </c:extLst>
        </c:ser>
        <c:ser>
          <c:idx val="13"/>
          <c:order val="13"/>
          <c:tx>
            <c:strRef>
              <c:f>'Plano de Metas'!$A$276</c:f>
              <c:strCache>
                <c:ptCount val="1"/>
                <c:pt idx="0">
                  <c:v>out/18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Metas'!$B$276</c:f>
              <c:numCache>
                <c:formatCode>#,##0.00</c:formatCode>
                <c:ptCount val="1"/>
                <c:pt idx="0">
                  <c:v>536.79999999999995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F-4E0B-AA0B-EAF218BAF213}"/>
            </c:ext>
          </c:extLst>
        </c:ser>
        <c:ser>
          <c:idx val="14"/>
          <c:order val="14"/>
          <c:tx>
            <c:strRef>
              <c:f>'Plano de Metas'!$A$277</c:f>
              <c:strCache>
                <c:ptCount val="1"/>
                <c:pt idx="0">
                  <c:v>nov/18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Metas'!$B$277</c:f>
              <c:numCache>
                <c:formatCode>#,##0.00</c:formatCode>
                <c:ptCount val="1"/>
                <c:pt idx="0">
                  <c:v>584.16999999999996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6-4C07-89FA-A2EEEA2053BA}"/>
            </c:ext>
          </c:extLst>
        </c:ser>
        <c:ser>
          <c:idx val="15"/>
          <c:order val="15"/>
          <c:tx>
            <c:strRef>
              <c:f>'Plano de Metas'!$A$278</c:f>
              <c:strCache>
                <c:ptCount val="1"/>
                <c:pt idx="0">
                  <c:v>dez/18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Metas'!$B$278</c:f>
              <c:numCache>
                <c:formatCode>#,##0.00</c:formatCode>
                <c:ptCount val="1"/>
                <c:pt idx="0">
                  <c:v>643.83000000000004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C-4498-95AE-FAC88177BB30}"/>
            </c:ext>
          </c:extLst>
        </c:ser>
        <c:ser>
          <c:idx val="16"/>
          <c:order val="16"/>
          <c:tx>
            <c:strRef>
              <c:f>'Plano de Metas'!$A$279</c:f>
              <c:strCache>
                <c:ptCount val="1"/>
                <c:pt idx="0">
                  <c:v>jan/19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Metas'!$B$279</c:f>
              <c:numCache>
                <c:formatCode>#,##0.00</c:formatCode>
                <c:ptCount val="1"/>
                <c:pt idx="0">
                  <c:v>684.7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7-48C8-825F-11539B12E85A}"/>
            </c:ext>
          </c:extLst>
        </c:ser>
        <c:ser>
          <c:idx val="17"/>
          <c:order val="17"/>
          <c:tx>
            <c:strRef>
              <c:f>'Plano de Metas'!$A$280</c:f>
              <c:strCache>
                <c:ptCount val="1"/>
                <c:pt idx="0">
                  <c:v>fev/19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Metas'!$B$280</c:f>
              <c:numCache>
                <c:formatCode>#,##0.00</c:formatCode>
                <c:ptCount val="1"/>
                <c:pt idx="0">
                  <c:v>735.65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5-4B98-8568-80614E538119}"/>
            </c:ext>
          </c:extLst>
        </c:ser>
        <c:ser>
          <c:idx val="18"/>
          <c:order val="18"/>
          <c:tx>
            <c:strRef>
              <c:f>'Plano de Metas'!$A$281</c:f>
              <c:strCache>
                <c:ptCount val="1"/>
                <c:pt idx="0">
                  <c:v>mar/19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Metas'!$B$281</c:f>
              <c:numCache>
                <c:formatCode>#,##0.00</c:formatCode>
                <c:ptCount val="1"/>
                <c:pt idx="0">
                  <c:v>746.13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9-4D08-A24C-A2554FF3D75C}"/>
            </c:ext>
          </c:extLst>
        </c:ser>
        <c:ser>
          <c:idx val="19"/>
          <c:order val="19"/>
          <c:tx>
            <c:strRef>
              <c:f>'Plano de Metas'!$A$282</c:f>
              <c:strCache>
                <c:ptCount val="1"/>
                <c:pt idx="0">
                  <c:v>abr/19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Metas'!$B$282</c:f>
              <c:numCache>
                <c:formatCode>#,##0.00</c:formatCode>
                <c:ptCount val="1"/>
                <c:pt idx="0">
                  <c:v>858.78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E-4236-99B5-E440306C2B37}"/>
            </c:ext>
          </c:extLst>
        </c:ser>
        <c:ser>
          <c:idx val="20"/>
          <c:order val="20"/>
          <c:tx>
            <c:strRef>
              <c:f>'Plano de Metas'!$A$283</c:f>
              <c:strCache>
                <c:ptCount val="1"/>
                <c:pt idx="0">
                  <c:v>mai/19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Metas'!$B$283</c:f>
              <c:numCache>
                <c:formatCode>#,##0.00</c:formatCode>
                <c:ptCount val="1"/>
                <c:pt idx="0">
                  <c:v>842.79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3-4828-BFAE-45E64B1E34E0}"/>
            </c:ext>
          </c:extLst>
        </c:ser>
        <c:ser>
          <c:idx val="21"/>
          <c:order val="21"/>
          <c:tx>
            <c:strRef>
              <c:f>'Plano de Metas'!$A$284</c:f>
              <c:strCache>
                <c:ptCount val="1"/>
                <c:pt idx="0">
                  <c:v>jun/19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Metas'!$B$284</c:f>
              <c:numCache>
                <c:formatCode>#,##0.00</c:formatCode>
                <c:ptCount val="1"/>
                <c:pt idx="0">
                  <c:v>905.99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9-4CB2-8944-36BA2E03FC34}"/>
            </c:ext>
          </c:extLst>
        </c:ser>
        <c:ser>
          <c:idx val="22"/>
          <c:order val="22"/>
          <c:tx>
            <c:strRef>
              <c:f>'Plano de Metas'!$A$285</c:f>
              <c:strCache>
                <c:ptCount val="1"/>
                <c:pt idx="0">
                  <c:v>jul/19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Metas'!$B$285</c:f>
              <c:numCache>
                <c:formatCode>#,##0.00</c:formatCode>
                <c:ptCount val="1"/>
                <c:pt idx="0">
                  <c:v>942.17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6-40A7-B71D-1D7A401969AF}"/>
            </c:ext>
          </c:extLst>
        </c:ser>
        <c:ser>
          <c:idx val="23"/>
          <c:order val="23"/>
          <c:tx>
            <c:strRef>
              <c:f>'Plano de Metas'!$A$286</c:f>
              <c:strCache>
                <c:ptCount val="1"/>
                <c:pt idx="0">
                  <c:v>ago/19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Metas'!$B$286</c:f>
              <c:numCache>
                <c:formatCode>#,##0.00</c:formatCode>
                <c:ptCount val="1"/>
                <c:pt idx="0">
                  <c:v>1012.04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7-4249-9F77-CC715CC68375}"/>
            </c:ext>
          </c:extLst>
        </c:ser>
        <c:ser>
          <c:idx val="24"/>
          <c:order val="24"/>
          <c:tx>
            <c:strRef>
              <c:f>'Plano de Metas'!$A$287</c:f>
              <c:strCache>
                <c:ptCount val="1"/>
                <c:pt idx="0">
                  <c:v>set/19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Metas'!$B$287</c:f>
              <c:numCache>
                <c:formatCode>#,##0.00</c:formatCode>
                <c:ptCount val="1"/>
                <c:pt idx="0">
                  <c:v>1033.6600000000001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F-4747-A0EA-2F94B1E952E5}"/>
            </c:ext>
          </c:extLst>
        </c:ser>
        <c:ser>
          <c:idx val="25"/>
          <c:order val="25"/>
          <c:tx>
            <c:strRef>
              <c:f>'Plano de Metas'!$A$288</c:f>
              <c:strCache>
                <c:ptCount val="1"/>
                <c:pt idx="0">
                  <c:v>out/19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Metas'!$B$288</c:f>
              <c:numCache>
                <c:formatCode>#,##0.00</c:formatCode>
                <c:ptCount val="1"/>
                <c:pt idx="0">
                  <c:v>1086.08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E-4F02-AB8E-E7947E15F686}"/>
            </c:ext>
          </c:extLst>
        </c:ser>
        <c:ser>
          <c:idx val="26"/>
          <c:order val="26"/>
          <c:tx>
            <c:strRef>
              <c:f>'Plano de Metas'!$A$289</c:f>
              <c:strCache>
                <c:ptCount val="1"/>
                <c:pt idx="0">
                  <c:v>nov/19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Metas'!$B$289</c:f>
              <c:numCache>
                <c:formatCode>#,##0.00</c:formatCode>
                <c:ptCount val="1"/>
                <c:pt idx="0">
                  <c:v>1095.3499999999999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3-4793-9574-64100A6792ED}"/>
            </c:ext>
          </c:extLst>
        </c:ser>
        <c:ser>
          <c:idx val="27"/>
          <c:order val="27"/>
          <c:tx>
            <c:strRef>
              <c:f>'Plano de Metas'!$A$290</c:f>
              <c:strCache>
                <c:ptCount val="1"/>
                <c:pt idx="0">
                  <c:v>dez/19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Metas'!$B$290</c:f>
              <c:numCache>
                <c:formatCode>#,##0.00</c:formatCode>
                <c:ptCount val="1"/>
                <c:pt idx="0">
                  <c:v>1609.9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D-4125-8FE8-C9907D32C089}"/>
            </c:ext>
          </c:extLst>
        </c:ser>
        <c:ser>
          <c:idx val="28"/>
          <c:order val="28"/>
          <c:tx>
            <c:strRef>
              <c:f>'Plano de Metas'!$A$291</c:f>
              <c:strCache>
                <c:ptCount val="1"/>
                <c:pt idx="0">
                  <c:v>jan/20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Metas'!$B$291</c:f>
              <c:numCache>
                <c:formatCode>#,##0.00</c:formatCode>
                <c:ptCount val="1"/>
                <c:pt idx="0">
                  <c:v>1950.87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B-4000-8A08-0CB40EF5FD22}"/>
            </c:ext>
          </c:extLst>
        </c:ser>
        <c:ser>
          <c:idx val="29"/>
          <c:order val="29"/>
          <c:tx>
            <c:strRef>
              <c:f>'Plano de Metas'!$A$292</c:f>
              <c:strCache>
                <c:ptCount val="1"/>
                <c:pt idx="0">
                  <c:v>fev/20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Metas'!$B$292</c:f>
              <c:numCache>
                <c:formatCode>#,##0.00</c:formatCode>
                <c:ptCount val="1"/>
                <c:pt idx="0">
                  <c:v>1435.2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AB-4000-8A08-0CB40EF5FD22}"/>
            </c:ext>
          </c:extLst>
        </c:ser>
        <c:ser>
          <c:idx val="30"/>
          <c:order val="30"/>
          <c:tx>
            <c:strRef>
              <c:f>'Plano de Metas'!$A$293</c:f>
              <c:strCache>
                <c:ptCount val="1"/>
                <c:pt idx="0">
                  <c:v>mar/20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Metas'!$B$293</c:f>
              <c:numCache>
                <c:formatCode>#,##0.00</c:formatCode>
                <c:ptCount val="1"/>
                <c:pt idx="0">
                  <c:v>1405.19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6-4E2E-B4AF-3168FC949978}"/>
            </c:ext>
          </c:extLst>
        </c:ser>
        <c:ser>
          <c:idx val="31"/>
          <c:order val="31"/>
          <c:tx>
            <c:strRef>
              <c:f>'Plano de Metas'!$A$294</c:f>
              <c:strCache>
                <c:ptCount val="1"/>
                <c:pt idx="0">
                  <c:v>abr/20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Metas'!$B$294</c:f>
              <c:numCache>
                <c:formatCode>#,##0.00</c:formatCode>
                <c:ptCount val="1"/>
                <c:pt idx="0">
                  <c:v>1097.77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C-4B80-B4C2-C4BD9D0004B6}"/>
            </c:ext>
          </c:extLst>
        </c:ser>
        <c:ser>
          <c:idx val="32"/>
          <c:order val="32"/>
          <c:tx>
            <c:strRef>
              <c:f>'Plano de Metas'!$A$295</c:f>
              <c:strCache>
                <c:ptCount val="1"/>
                <c:pt idx="0">
                  <c:v>mai/20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Metas'!$B$295</c:f>
              <c:numCache>
                <c:formatCode>#,##0.00</c:formatCode>
                <c:ptCount val="1"/>
                <c:pt idx="0">
                  <c:v>1061.57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C-4B80-B4C2-C4BD9D0004B6}"/>
            </c:ext>
          </c:extLst>
        </c:ser>
        <c:ser>
          <c:idx val="33"/>
          <c:order val="33"/>
          <c:tx>
            <c:strRef>
              <c:f>'Plano de Metas'!$A$296</c:f>
              <c:strCache>
                <c:ptCount val="1"/>
                <c:pt idx="0">
                  <c:v>jun/20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Metas'!$B$296</c:f>
              <c:numCache>
                <c:formatCode>#,##0.00</c:formatCode>
                <c:ptCount val="1"/>
                <c:pt idx="0">
                  <c:v>1064.42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EB-4703-8DD9-2A5EA197F571}"/>
            </c:ext>
          </c:extLst>
        </c:ser>
        <c:ser>
          <c:idx val="34"/>
          <c:order val="34"/>
          <c:tx>
            <c:strRef>
              <c:f>'Plano de Metas'!$A$297</c:f>
              <c:strCache>
                <c:ptCount val="1"/>
                <c:pt idx="0">
                  <c:v>jul/20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Metas'!$B$297</c:f>
              <c:numCache>
                <c:formatCode>#,##0.00</c:formatCode>
                <c:ptCount val="1"/>
                <c:pt idx="0">
                  <c:v>1155.33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EB-4703-8DD9-2A5EA197F571}"/>
            </c:ext>
          </c:extLst>
        </c:ser>
        <c:ser>
          <c:idx val="35"/>
          <c:order val="35"/>
          <c:tx>
            <c:strRef>
              <c:f>'Plano de Metas'!$A$298</c:f>
              <c:strCache>
                <c:ptCount val="1"/>
                <c:pt idx="0">
                  <c:v>ago/20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Metas'!$B$298</c:f>
              <c:numCache>
                <c:formatCode>#,##0.00</c:formatCode>
                <c:ptCount val="1"/>
                <c:pt idx="0">
                  <c:v>1165.3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EB-4703-8DD9-2A5EA197F571}"/>
            </c:ext>
          </c:extLst>
        </c:ser>
        <c:ser>
          <c:idx val="36"/>
          <c:order val="36"/>
          <c:tx>
            <c:strRef>
              <c:f>'Plano de Metas'!$A$299</c:f>
              <c:strCache>
                <c:ptCount val="1"/>
                <c:pt idx="0">
                  <c:v>set/20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Metas'!$B$299</c:f>
              <c:numCache>
                <c:formatCode>#,##0.00</c:formatCode>
                <c:ptCount val="1"/>
                <c:pt idx="0">
                  <c:v>1223.0999999999999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EB-4703-8DD9-2A5EA197F571}"/>
            </c:ext>
          </c:extLst>
        </c:ser>
        <c:ser>
          <c:idx val="37"/>
          <c:order val="37"/>
          <c:tx>
            <c:strRef>
              <c:f>'Plano de Metas'!$A$300</c:f>
              <c:strCache>
                <c:ptCount val="1"/>
                <c:pt idx="0">
                  <c:v>out/20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Metas'!$B$300</c:f>
              <c:numCache>
                <c:formatCode>#,##0.00</c:formatCode>
                <c:ptCount val="1"/>
                <c:pt idx="0">
                  <c:v>1340.64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5E-4FC3-89F3-153AD670EA26}"/>
            </c:ext>
          </c:extLst>
        </c:ser>
        <c:ser>
          <c:idx val="38"/>
          <c:order val="38"/>
          <c:tx>
            <c:strRef>
              <c:f>'Plano de Metas'!$A$301</c:f>
              <c:strCache>
                <c:ptCount val="1"/>
                <c:pt idx="0">
                  <c:v>nov/20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Metas'!$B$301</c:f>
              <c:numCache>
                <c:formatCode>#,##0.00</c:formatCode>
                <c:ptCount val="1"/>
                <c:pt idx="0">
                  <c:v>1434.95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5E-4FC3-89F3-153AD670EA26}"/>
            </c:ext>
          </c:extLst>
        </c:ser>
        <c:ser>
          <c:idx val="39"/>
          <c:order val="39"/>
          <c:tx>
            <c:strRef>
              <c:f>'Plano de Metas'!$A$302</c:f>
              <c:strCache>
                <c:ptCount val="1"/>
                <c:pt idx="0">
                  <c:v>dez/20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Metas'!$B$302</c:f>
              <c:numCache>
                <c:formatCode>#,##0.00</c:formatCode>
                <c:ptCount val="1"/>
                <c:pt idx="0">
                  <c:v>1554.16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56-4E9E-A096-014173F5934B}"/>
            </c:ext>
          </c:extLst>
        </c:ser>
        <c:ser>
          <c:idx val="40"/>
          <c:order val="40"/>
          <c:tx>
            <c:strRef>
              <c:f>'Plano de Metas'!$A$303</c:f>
              <c:strCache>
                <c:ptCount val="1"/>
                <c:pt idx="0">
                  <c:v>jan/21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Metas'!$B$303</c:f>
              <c:numCache>
                <c:formatCode>#,##0.00</c:formatCode>
                <c:ptCount val="1"/>
                <c:pt idx="0">
                  <c:v>1879.85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BF-42F3-A6F7-318DDAFA61A3}"/>
            </c:ext>
          </c:extLst>
        </c:ser>
        <c:ser>
          <c:idx val="41"/>
          <c:order val="41"/>
          <c:tx>
            <c:strRef>
              <c:f>'Plano de Metas'!$A$304</c:f>
              <c:strCache>
                <c:ptCount val="1"/>
                <c:pt idx="0">
                  <c:v>fev/21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Metas'!$B$304</c:f>
              <c:numCache>
                <c:formatCode>#,##0.00</c:formatCode>
                <c:ptCount val="1"/>
                <c:pt idx="0">
                  <c:v>1777.1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8-4095-90A8-47D07A4E9285}"/>
            </c:ext>
          </c:extLst>
        </c:ser>
        <c:ser>
          <c:idx val="42"/>
          <c:order val="42"/>
          <c:tx>
            <c:strRef>
              <c:f>'Plano de Metas'!$A$305</c:f>
              <c:strCache>
                <c:ptCount val="1"/>
                <c:pt idx="0">
                  <c:v>mar/21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Metas'!$B$305</c:f>
              <c:numCache>
                <c:formatCode>#,##0.00</c:formatCode>
                <c:ptCount val="1"/>
                <c:pt idx="0">
                  <c:v>1705.25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B-481C-9104-D746EDE3E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856504"/>
        <c:axId val="442847976"/>
      </c:barChart>
      <c:catAx>
        <c:axId val="44285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847976"/>
        <c:crosses val="autoZero"/>
        <c:auto val="1"/>
        <c:lblAlgn val="ctr"/>
        <c:lblOffset val="100"/>
        <c:noMultiLvlLbl val="0"/>
      </c:catAx>
      <c:valAx>
        <c:axId val="44284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856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715247704982144E-2"/>
          <c:y val="0.90711664027853289"/>
          <c:w val="0.85370395383574094"/>
          <c:h val="9.2883359721466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DIVIDENDOS MENSAIS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'Plano de Metas'!$A$312</c:f>
              <c:strCache>
                <c:ptCount val="1"/>
                <c:pt idx="0">
                  <c:v>jan/17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'Plano de Metas'!$B$312</c:f>
              <c:numCache>
                <c:formatCode>#,##0.00</c:formatCode>
                <c:ptCount val="1"/>
                <c:pt idx="0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7-46D4-92F1-E20284E5CE1F}"/>
            </c:ext>
          </c:extLst>
        </c:ser>
        <c:ser>
          <c:idx val="1"/>
          <c:order val="1"/>
          <c:tx>
            <c:strRef>
              <c:f>'Plano de Metas'!$A$313</c:f>
              <c:strCache>
                <c:ptCount val="1"/>
                <c:pt idx="0">
                  <c:v>fev/17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'Plano de Metas'!$B$313</c:f>
              <c:numCache>
                <c:formatCode>#,##0.00</c:formatCode>
                <c:ptCount val="1"/>
                <c:pt idx="0">
                  <c:v>51.16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77-46D4-92F1-E20284E5CE1F}"/>
            </c:ext>
          </c:extLst>
        </c:ser>
        <c:ser>
          <c:idx val="2"/>
          <c:order val="2"/>
          <c:tx>
            <c:strRef>
              <c:f>'Plano de Metas'!$A$314</c:f>
              <c:strCache>
                <c:ptCount val="1"/>
                <c:pt idx="0">
                  <c:v>mar/17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'Plano de Metas'!$B$314</c:f>
              <c:numCache>
                <c:formatCode>#,##0.00</c:formatCode>
                <c:ptCount val="1"/>
                <c:pt idx="0">
                  <c:v>371.64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77-46D4-92F1-E20284E5CE1F}"/>
            </c:ext>
          </c:extLst>
        </c:ser>
        <c:ser>
          <c:idx val="3"/>
          <c:order val="3"/>
          <c:tx>
            <c:strRef>
              <c:f>'Plano de Metas'!$A$315</c:f>
              <c:strCache>
                <c:ptCount val="1"/>
                <c:pt idx="0">
                  <c:v>abr/17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'Plano de Metas'!$B$315</c:f>
              <c:numCache>
                <c:formatCode>#,##0.00</c:formatCode>
                <c:ptCount val="1"/>
                <c:pt idx="0">
                  <c:v>162.38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77-46D4-92F1-E20284E5CE1F}"/>
            </c:ext>
          </c:extLst>
        </c:ser>
        <c:ser>
          <c:idx val="4"/>
          <c:order val="4"/>
          <c:tx>
            <c:strRef>
              <c:f>'Plano de Metas'!$A$316</c:f>
              <c:strCache>
                <c:ptCount val="1"/>
                <c:pt idx="0">
                  <c:v>mai/17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'Plano de Metas'!$B$316</c:f>
              <c:numCache>
                <c:formatCode>#,##0.00</c:formatCode>
                <c:ptCount val="1"/>
                <c:pt idx="0">
                  <c:v>611.75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77-46D4-92F1-E20284E5CE1F}"/>
            </c:ext>
          </c:extLst>
        </c:ser>
        <c:ser>
          <c:idx val="5"/>
          <c:order val="5"/>
          <c:tx>
            <c:strRef>
              <c:f>'Plano de Metas'!$A$317</c:f>
              <c:strCache>
                <c:ptCount val="1"/>
                <c:pt idx="0">
                  <c:v>jun/17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'Plano de Metas'!$B$317</c:f>
              <c:numCache>
                <c:formatCode>#,##0.00</c:formatCode>
                <c:ptCount val="1"/>
                <c:pt idx="0">
                  <c:v>305.7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77-46D4-92F1-E20284E5CE1F}"/>
            </c:ext>
          </c:extLst>
        </c:ser>
        <c:ser>
          <c:idx val="6"/>
          <c:order val="6"/>
          <c:tx>
            <c:strRef>
              <c:f>'Plano de Metas'!$A$318</c:f>
              <c:strCache>
                <c:ptCount val="1"/>
                <c:pt idx="0">
                  <c:v>jul/17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Metas'!$B$318</c:f>
              <c:numCache>
                <c:formatCode>#,##0.00</c:formatCode>
                <c:ptCount val="1"/>
                <c:pt idx="0">
                  <c:v>27.33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77-46D4-92F1-E20284E5CE1F}"/>
            </c:ext>
          </c:extLst>
        </c:ser>
        <c:ser>
          <c:idx val="7"/>
          <c:order val="7"/>
          <c:tx>
            <c:strRef>
              <c:f>'Plano de Metas'!$A$319</c:f>
              <c:strCache>
                <c:ptCount val="1"/>
                <c:pt idx="0">
                  <c:v>ago/17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Metas'!$B$319</c:f>
              <c:numCache>
                <c:formatCode>#,##0.00</c:formatCode>
                <c:ptCount val="1"/>
                <c:pt idx="0">
                  <c:v>399.66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77-46D4-92F1-E20284E5CE1F}"/>
            </c:ext>
          </c:extLst>
        </c:ser>
        <c:ser>
          <c:idx val="8"/>
          <c:order val="8"/>
          <c:tx>
            <c:strRef>
              <c:f>'Plano de Metas'!$A$320</c:f>
              <c:strCache>
                <c:ptCount val="1"/>
                <c:pt idx="0">
                  <c:v>set/17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Metas'!$B$320</c:f>
              <c:numCache>
                <c:formatCode>#,##0.00</c:formatCode>
                <c:ptCount val="1"/>
                <c:pt idx="0">
                  <c:v>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77-46D4-92F1-E20284E5CE1F}"/>
            </c:ext>
          </c:extLst>
        </c:ser>
        <c:ser>
          <c:idx val="9"/>
          <c:order val="9"/>
          <c:tx>
            <c:strRef>
              <c:f>'Plano de Metas'!$A$321</c:f>
              <c:strCache>
                <c:ptCount val="1"/>
                <c:pt idx="0">
                  <c:v>out/17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Metas'!$B$321</c:f>
              <c:numCache>
                <c:formatCode>#,##0.00</c:formatCode>
                <c:ptCount val="1"/>
                <c:pt idx="0">
                  <c:v>144.62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77-46D4-92F1-E20284E5CE1F}"/>
            </c:ext>
          </c:extLst>
        </c:ser>
        <c:ser>
          <c:idx val="10"/>
          <c:order val="10"/>
          <c:tx>
            <c:strRef>
              <c:f>'Plano de Metas'!$A$322</c:f>
              <c:strCache>
                <c:ptCount val="1"/>
                <c:pt idx="0">
                  <c:v>nov/17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Metas'!$B$322</c:f>
              <c:numCache>
                <c:formatCode>#,##0.00</c:formatCode>
                <c:ptCount val="1"/>
                <c:pt idx="0">
                  <c:v>224.86999999999998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77-46D4-92F1-E20284E5CE1F}"/>
            </c:ext>
          </c:extLst>
        </c:ser>
        <c:ser>
          <c:idx val="11"/>
          <c:order val="11"/>
          <c:tx>
            <c:strRef>
              <c:f>'Plano de Metas'!$A$323</c:f>
              <c:strCache>
                <c:ptCount val="1"/>
                <c:pt idx="0">
                  <c:v>dez/17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Metas'!$B$323</c:f>
              <c:numCache>
                <c:formatCode>#,##0.00</c:formatCode>
                <c:ptCount val="1"/>
                <c:pt idx="0">
                  <c:v>428.79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B77-46D4-92F1-E20284E5CE1F}"/>
            </c:ext>
          </c:extLst>
        </c:ser>
        <c:ser>
          <c:idx val="12"/>
          <c:order val="12"/>
          <c:tx>
            <c:strRef>
              <c:f>'Plano de Metas'!$A$324</c:f>
              <c:strCache>
                <c:ptCount val="1"/>
                <c:pt idx="0">
                  <c:v>jan/18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Metas'!$B$324</c:f>
              <c:numCache>
                <c:formatCode>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77-46D4-92F1-E20284E5CE1F}"/>
            </c:ext>
          </c:extLst>
        </c:ser>
        <c:ser>
          <c:idx val="13"/>
          <c:order val="13"/>
          <c:tx>
            <c:strRef>
              <c:f>'Plano de Metas'!$A$325</c:f>
              <c:strCache>
                <c:ptCount val="1"/>
                <c:pt idx="0">
                  <c:v>fev/18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Metas'!$B$325</c:f>
              <c:numCache>
                <c:formatCode>#,##0.00</c:formatCode>
                <c:ptCount val="1"/>
                <c:pt idx="0">
                  <c:v>243.02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B77-46D4-92F1-E20284E5CE1F}"/>
            </c:ext>
          </c:extLst>
        </c:ser>
        <c:ser>
          <c:idx val="14"/>
          <c:order val="14"/>
          <c:tx>
            <c:strRef>
              <c:f>'Plano de Metas'!$A$326</c:f>
              <c:strCache>
                <c:ptCount val="1"/>
                <c:pt idx="0">
                  <c:v>mar/18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Metas'!$B$326</c:f>
              <c:numCache>
                <c:formatCode>#,##0.00</c:formatCode>
                <c:ptCount val="1"/>
                <c:pt idx="0">
                  <c:v>1182.3700000000001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B77-46D4-92F1-E20284E5CE1F}"/>
            </c:ext>
          </c:extLst>
        </c:ser>
        <c:ser>
          <c:idx val="15"/>
          <c:order val="15"/>
          <c:tx>
            <c:strRef>
              <c:f>'Plano de Metas'!$A$327</c:f>
              <c:strCache>
                <c:ptCount val="1"/>
                <c:pt idx="0">
                  <c:v>abr/18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Metas'!$B$327</c:f>
              <c:numCache>
                <c:formatCode>#,##0.00</c:formatCode>
                <c:ptCount val="1"/>
                <c:pt idx="0">
                  <c:v>374.07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B77-46D4-92F1-E20284E5CE1F}"/>
            </c:ext>
          </c:extLst>
        </c:ser>
        <c:ser>
          <c:idx val="16"/>
          <c:order val="16"/>
          <c:tx>
            <c:strRef>
              <c:f>'Plano de Metas'!$A$328</c:f>
              <c:strCache>
                <c:ptCount val="1"/>
                <c:pt idx="0">
                  <c:v>mai/18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Metas'!$B$328</c:f>
              <c:numCache>
                <c:formatCode>#,##0.00</c:formatCode>
                <c:ptCount val="1"/>
                <c:pt idx="0">
                  <c:v>938.24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B77-46D4-92F1-E20284E5CE1F}"/>
            </c:ext>
          </c:extLst>
        </c:ser>
        <c:ser>
          <c:idx val="17"/>
          <c:order val="17"/>
          <c:tx>
            <c:strRef>
              <c:f>'Plano de Metas'!$A$329</c:f>
              <c:strCache>
                <c:ptCount val="1"/>
                <c:pt idx="0">
                  <c:v>jun/18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Metas'!$B$329</c:f>
              <c:numCache>
                <c:formatCode>#,##0.00</c:formatCode>
                <c:ptCount val="1"/>
                <c:pt idx="0">
                  <c:v>105.29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B77-46D4-92F1-E20284E5CE1F}"/>
            </c:ext>
          </c:extLst>
        </c:ser>
        <c:ser>
          <c:idx val="18"/>
          <c:order val="18"/>
          <c:tx>
            <c:strRef>
              <c:f>'Plano de Metas'!$A$330</c:f>
              <c:strCache>
                <c:ptCount val="1"/>
                <c:pt idx="0">
                  <c:v>jul/18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Metas'!$B$330</c:f>
              <c:numCache>
                <c:formatCode>#,##0.00</c:formatCode>
                <c:ptCount val="1"/>
                <c:pt idx="0">
                  <c:v>34.119999999999997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C-4EED-B10A-6B6E56C0F02C}"/>
            </c:ext>
          </c:extLst>
        </c:ser>
        <c:ser>
          <c:idx val="19"/>
          <c:order val="19"/>
          <c:tx>
            <c:strRef>
              <c:f>'Plano de Metas'!$A$331</c:f>
              <c:strCache>
                <c:ptCount val="1"/>
                <c:pt idx="0">
                  <c:v>ago/18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Metas'!$B$331</c:f>
              <c:numCache>
                <c:formatCode>#,##0.00</c:formatCode>
                <c:ptCount val="1"/>
                <c:pt idx="0">
                  <c:v>1085.92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1-4F0B-99F6-BF4EF544FE57}"/>
            </c:ext>
          </c:extLst>
        </c:ser>
        <c:ser>
          <c:idx val="20"/>
          <c:order val="20"/>
          <c:tx>
            <c:strRef>
              <c:f>'Plano de Metas'!$A$332</c:f>
              <c:strCache>
                <c:ptCount val="1"/>
                <c:pt idx="0">
                  <c:v>set/18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Metas'!$B$332</c:f>
              <c:numCache>
                <c:formatCode>#,##0.00</c:formatCode>
                <c:ptCount val="1"/>
                <c:pt idx="0">
                  <c:v>7.26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2-4B57-99A5-6A2F38300F94}"/>
            </c:ext>
          </c:extLst>
        </c:ser>
        <c:ser>
          <c:idx val="21"/>
          <c:order val="21"/>
          <c:tx>
            <c:strRef>
              <c:f>'Plano de Metas'!$A$333</c:f>
              <c:strCache>
                <c:ptCount val="1"/>
                <c:pt idx="0">
                  <c:v>out/18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Metas'!$B$333</c:f>
              <c:numCache>
                <c:formatCode>#,##0.00</c:formatCode>
                <c:ptCount val="1"/>
                <c:pt idx="0">
                  <c:v>35.61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D-4870-BD4C-8EB5815183D3}"/>
            </c:ext>
          </c:extLst>
        </c:ser>
        <c:ser>
          <c:idx val="22"/>
          <c:order val="22"/>
          <c:tx>
            <c:strRef>
              <c:f>'Plano de Metas'!$A$334</c:f>
              <c:strCache>
                <c:ptCount val="1"/>
                <c:pt idx="0">
                  <c:v>nov/18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Metas'!$B$334</c:f>
              <c:numCache>
                <c:formatCode>#,##0.00</c:formatCode>
                <c:ptCount val="1"/>
                <c:pt idx="0">
                  <c:v>906.6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6-4EAD-AE64-FAF04B3B58A1}"/>
            </c:ext>
          </c:extLst>
        </c:ser>
        <c:ser>
          <c:idx val="23"/>
          <c:order val="23"/>
          <c:tx>
            <c:strRef>
              <c:f>'Plano de Metas'!$A$335</c:f>
              <c:strCache>
                <c:ptCount val="1"/>
                <c:pt idx="0">
                  <c:v>dez/18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Metas'!$B$335</c:f>
              <c:numCache>
                <c:formatCode>#,##0.00</c:formatCode>
                <c:ptCount val="1"/>
                <c:pt idx="0">
                  <c:v>316.23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3-4688-8289-FF195048CFCD}"/>
            </c:ext>
          </c:extLst>
        </c:ser>
        <c:ser>
          <c:idx val="24"/>
          <c:order val="24"/>
          <c:tx>
            <c:strRef>
              <c:f>'Plano de Metas'!$A$336</c:f>
              <c:strCache>
                <c:ptCount val="1"/>
                <c:pt idx="0">
                  <c:v>jan/19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Metas'!$B$336</c:f>
              <c:numCache>
                <c:formatCode>#,##0.00</c:formatCode>
                <c:ptCount val="1"/>
                <c:pt idx="0">
                  <c:v>153.80000000000001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5-4C51-875F-D21B7A0BF5D2}"/>
            </c:ext>
          </c:extLst>
        </c:ser>
        <c:ser>
          <c:idx val="25"/>
          <c:order val="25"/>
          <c:tx>
            <c:strRef>
              <c:f>'Plano de Metas'!$A$337</c:f>
              <c:strCache>
                <c:ptCount val="1"/>
                <c:pt idx="0">
                  <c:v>fev/19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Metas'!$B$337</c:f>
              <c:numCache>
                <c:formatCode>#,##0.00</c:formatCode>
                <c:ptCount val="1"/>
                <c:pt idx="0">
                  <c:v>517.16999999999996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5-4C51-875F-D21B7A0BF5D2}"/>
            </c:ext>
          </c:extLst>
        </c:ser>
        <c:ser>
          <c:idx val="26"/>
          <c:order val="26"/>
          <c:tx>
            <c:strRef>
              <c:f>'Plano de Metas'!$A$338</c:f>
              <c:strCache>
                <c:ptCount val="1"/>
                <c:pt idx="0">
                  <c:v>mar/19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Metas'!$B$338</c:f>
              <c:numCache>
                <c:formatCode>#,##0.00</c:formatCode>
                <c:ptCount val="1"/>
                <c:pt idx="0">
                  <c:v>2045.37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C-46AD-9CC4-2593DE92DFC0}"/>
            </c:ext>
          </c:extLst>
        </c:ser>
        <c:ser>
          <c:idx val="27"/>
          <c:order val="27"/>
          <c:tx>
            <c:strRef>
              <c:f>'Plano de Metas'!$A$339</c:f>
              <c:strCache>
                <c:ptCount val="1"/>
                <c:pt idx="0">
                  <c:v>abr/19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Metas'!$B$339</c:f>
              <c:numCache>
                <c:formatCode>#,##0.00</c:formatCode>
                <c:ptCount val="1"/>
                <c:pt idx="0">
                  <c:v>108.9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AC-46AD-9CC4-2593DE92DFC0}"/>
            </c:ext>
          </c:extLst>
        </c:ser>
        <c:ser>
          <c:idx val="28"/>
          <c:order val="28"/>
          <c:tx>
            <c:strRef>
              <c:f>'Plano de Metas'!$A$340</c:f>
              <c:strCache>
                <c:ptCount val="1"/>
                <c:pt idx="0">
                  <c:v>mai/19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Metas'!$B$340</c:f>
              <c:numCache>
                <c:formatCode>#,##0.00</c:formatCode>
                <c:ptCount val="1"/>
                <c:pt idx="0">
                  <c:v>518.97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0-4EF4-B800-F0AAE782DAA2}"/>
            </c:ext>
          </c:extLst>
        </c:ser>
        <c:ser>
          <c:idx val="29"/>
          <c:order val="29"/>
          <c:tx>
            <c:strRef>
              <c:f>'Plano de Metas'!$A$341</c:f>
              <c:strCache>
                <c:ptCount val="1"/>
                <c:pt idx="0">
                  <c:v>jun/19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Metas'!$B$341</c:f>
              <c:numCache>
                <c:formatCode>#,##0.00</c:formatCode>
                <c:ptCount val="1"/>
                <c:pt idx="0">
                  <c:v>265.61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F0-4EF4-B800-F0AAE782DAA2}"/>
            </c:ext>
          </c:extLst>
        </c:ser>
        <c:ser>
          <c:idx val="30"/>
          <c:order val="30"/>
          <c:tx>
            <c:strRef>
              <c:f>'Plano de Metas'!$A$342</c:f>
              <c:strCache>
                <c:ptCount val="1"/>
                <c:pt idx="0">
                  <c:v>jul/19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Metas'!$B$342</c:f>
              <c:numCache>
                <c:formatCode>#,##0.00</c:formatCode>
                <c:ptCount val="1"/>
                <c:pt idx="0">
                  <c:v>623.29999999999995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F-4AB0-A01B-DB968042FED9}"/>
            </c:ext>
          </c:extLst>
        </c:ser>
        <c:ser>
          <c:idx val="31"/>
          <c:order val="31"/>
          <c:tx>
            <c:strRef>
              <c:f>'Plano de Metas'!$A$343</c:f>
              <c:strCache>
                <c:ptCount val="1"/>
                <c:pt idx="0">
                  <c:v>ago/19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Metas'!$B$343</c:f>
              <c:numCache>
                <c:formatCode>#,##0.00</c:formatCode>
                <c:ptCount val="1"/>
                <c:pt idx="0">
                  <c:v>1434.25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C-47BB-B515-00876CB260A5}"/>
            </c:ext>
          </c:extLst>
        </c:ser>
        <c:ser>
          <c:idx val="32"/>
          <c:order val="32"/>
          <c:tx>
            <c:strRef>
              <c:f>'Plano de Metas'!$A$344</c:f>
              <c:strCache>
                <c:ptCount val="1"/>
                <c:pt idx="0">
                  <c:v>set/19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Metas'!$B$344</c:f>
              <c:numCache>
                <c:formatCode>#,##0.00</c:formatCode>
                <c:ptCount val="1"/>
                <c:pt idx="0">
                  <c:v>174.2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D-43ED-8C93-9B287127F7B0}"/>
            </c:ext>
          </c:extLst>
        </c:ser>
        <c:ser>
          <c:idx val="33"/>
          <c:order val="33"/>
          <c:tx>
            <c:strRef>
              <c:f>'Plano de Metas'!$A$345</c:f>
              <c:strCache>
                <c:ptCount val="1"/>
                <c:pt idx="0">
                  <c:v>out/19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Metas'!$B$345</c:f>
              <c:numCache>
                <c:formatCode>#,##0.00</c:formatCode>
                <c:ptCount val="1"/>
                <c:pt idx="0">
                  <c:v>160.32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D-4E3D-A139-D1804810D6EE}"/>
            </c:ext>
          </c:extLst>
        </c:ser>
        <c:ser>
          <c:idx val="34"/>
          <c:order val="34"/>
          <c:tx>
            <c:strRef>
              <c:f>'Plano de Metas'!$A$346</c:f>
              <c:strCache>
                <c:ptCount val="1"/>
                <c:pt idx="0">
                  <c:v>nov/19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Metas'!$B$346</c:f>
              <c:numCache>
                <c:formatCode>#,##0.00</c:formatCode>
                <c:ptCount val="1"/>
                <c:pt idx="0">
                  <c:v>857.65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D-46F7-882E-8F54231420B2}"/>
            </c:ext>
          </c:extLst>
        </c:ser>
        <c:ser>
          <c:idx val="35"/>
          <c:order val="35"/>
          <c:tx>
            <c:strRef>
              <c:f>'Plano de Metas'!$A$347</c:f>
              <c:strCache>
                <c:ptCount val="1"/>
                <c:pt idx="0">
                  <c:v>dez/19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Metas'!$B$347</c:f>
              <c:numCache>
                <c:formatCode>#,##0.00</c:formatCode>
                <c:ptCount val="1"/>
                <c:pt idx="0">
                  <c:v>940.02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D-47EF-8827-0BEF10F240E7}"/>
            </c:ext>
          </c:extLst>
        </c:ser>
        <c:ser>
          <c:idx val="36"/>
          <c:order val="36"/>
          <c:tx>
            <c:strRef>
              <c:f>'Plano de Metas'!$A$348</c:f>
              <c:strCache>
                <c:ptCount val="1"/>
                <c:pt idx="0">
                  <c:v>jan/20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Metas'!$B$348</c:f>
              <c:numCache>
                <c:formatCode>#,##0.00</c:formatCode>
                <c:ptCount val="1"/>
                <c:pt idx="0">
                  <c:v>403.65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3-4BA6-B3E6-66CC5C0192AB}"/>
            </c:ext>
          </c:extLst>
        </c:ser>
        <c:ser>
          <c:idx val="37"/>
          <c:order val="37"/>
          <c:tx>
            <c:strRef>
              <c:f>'Plano de Metas'!$A$349</c:f>
              <c:strCache>
                <c:ptCount val="1"/>
                <c:pt idx="0">
                  <c:v>fev/20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Metas'!$B$349</c:f>
              <c:numCache>
                <c:formatCode>#,##0.00</c:formatCode>
                <c:ptCount val="1"/>
                <c:pt idx="0">
                  <c:v>255.99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B3-4BA6-B3E6-66CC5C0192AB}"/>
            </c:ext>
          </c:extLst>
        </c:ser>
        <c:ser>
          <c:idx val="38"/>
          <c:order val="38"/>
          <c:tx>
            <c:strRef>
              <c:f>'Plano de Metas'!$A$350</c:f>
              <c:strCache>
                <c:ptCount val="1"/>
                <c:pt idx="0">
                  <c:v>mar/20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Metas'!$B$350</c:f>
              <c:numCache>
                <c:formatCode>#,##0.00</c:formatCode>
                <c:ptCount val="1"/>
                <c:pt idx="0">
                  <c:v>1350.91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B3-4BA6-B3E6-66CC5C0192AB}"/>
            </c:ext>
          </c:extLst>
        </c:ser>
        <c:ser>
          <c:idx val="39"/>
          <c:order val="39"/>
          <c:tx>
            <c:strRef>
              <c:f>'Plano de Metas'!$A$351</c:f>
              <c:strCache>
                <c:ptCount val="1"/>
                <c:pt idx="0">
                  <c:v>abr/20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Metas'!$B$351</c:f>
              <c:numCache>
                <c:formatCode>#,##0.00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B3-4BA6-B3E6-66CC5C0192AB}"/>
            </c:ext>
          </c:extLst>
        </c:ser>
        <c:ser>
          <c:idx val="40"/>
          <c:order val="40"/>
          <c:tx>
            <c:strRef>
              <c:f>'Plano de Metas'!$A$352</c:f>
              <c:strCache>
                <c:ptCount val="1"/>
                <c:pt idx="0">
                  <c:v>mai/20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Metas'!$B$352</c:f>
              <c:numCache>
                <c:formatCode>#,##0.00</c:formatCode>
                <c:ptCount val="1"/>
                <c:pt idx="0">
                  <c:v>713.54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B3-4BA6-B3E6-66CC5C0192AB}"/>
            </c:ext>
          </c:extLst>
        </c:ser>
        <c:ser>
          <c:idx val="41"/>
          <c:order val="41"/>
          <c:tx>
            <c:strRef>
              <c:f>'Plano de Metas'!$A$353</c:f>
              <c:strCache>
                <c:ptCount val="1"/>
                <c:pt idx="0">
                  <c:v>jun/20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Metas'!$B$353</c:f>
              <c:numCache>
                <c:formatCode>#,##0.00</c:formatCode>
                <c:ptCount val="1"/>
                <c:pt idx="0">
                  <c:v>187.06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B3-4BA6-B3E6-66CC5C0192AB}"/>
            </c:ext>
          </c:extLst>
        </c:ser>
        <c:ser>
          <c:idx val="42"/>
          <c:order val="42"/>
          <c:tx>
            <c:strRef>
              <c:f>'Plano de Metas'!$A$354</c:f>
              <c:strCache>
                <c:ptCount val="1"/>
                <c:pt idx="0">
                  <c:v>jul/20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Metas'!$B$354</c:f>
              <c:numCache>
                <c:formatCode>#,##0.00</c:formatCode>
                <c:ptCount val="1"/>
                <c:pt idx="0">
                  <c:v>125.48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B3-4BA6-B3E6-66CC5C0192AB}"/>
            </c:ext>
          </c:extLst>
        </c:ser>
        <c:ser>
          <c:idx val="43"/>
          <c:order val="43"/>
          <c:tx>
            <c:strRef>
              <c:f>'Plano de Metas'!$A$355</c:f>
              <c:strCache>
                <c:ptCount val="1"/>
                <c:pt idx="0">
                  <c:v>ago/20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Metas'!$B$355</c:f>
              <c:numCache>
                <c:formatCode>#,##0.00</c:formatCode>
                <c:ptCount val="1"/>
                <c:pt idx="0">
                  <c:v>722.54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B3-4BA6-B3E6-66CC5C0192AB}"/>
            </c:ext>
          </c:extLst>
        </c:ser>
        <c:ser>
          <c:idx val="44"/>
          <c:order val="44"/>
          <c:tx>
            <c:strRef>
              <c:f>'Plano de Metas'!$A$356</c:f>
              <c:strCache>
                <c:ptCount val="1"/>
                <c:pt idx="0">
                  <c:v>set/20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Metas'!$B$356</c:f>
              <c:numCache>
                <c:formatCode>#,##0.00</c:formatCode>
                <c:ptCount val="1"/>
                <c:pt idx="0">
                  <c:v>292.99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DB3-4BA6-B3E6-66CC5C0192AB}"/>
            </c:ext>
          </c:extLst>
        </c:ser>
        <c:ser>
          <c:idx val="45"/>
          <c:order val="45"/>
          <c:tx>
            <c:strRef>
              <c:f>'Plano de Metas'!$A$357</c:f>
              <c:strCache>
                <c:ptCount val="1"/>
                <c:pt idx="0">
                  <c:v>out/20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Metas'!$B$357</c:f>
              <c:numCache>
                <c:formatCode>#,##0.00</c:formatCode>
                <c:ptCount val="1"/>
                <c:pt idx="0">
                  <c:v>62.4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4-4AEB-AAFA-2344062F2BCE}"/>
            </c:ext>
          </c:extLst>
        </c:ser>
        <c:ser>
          <c:idx val="46"/>
          <c:order val="46"/>
          <c:tx>
            <c:strRef>
              <c:f>'Plano de Metas'!$A$358</c:f>
              <c:strCache>
                <c:ptCount val="1"/>
                <c:pt idx="0">
                  <c:v>nov/20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Metas'!$B$358</c:f>
              <c:numCache>
                <c:formatCode>#,##0.00</c:formatCode>
                <c:ptCount val="1"/>
                <c:pt idx="0">
                  <c:v>1005.97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34-4AEB-AAFA-2344062F2BCE}"/>
            </c:ext>
          </c:extLst>
        </c:ser>
        <c:ser>
          <c:idx val="47"/>
          <c:order val="47"/>
          <c:tx>
            <c:strRef>
              <c:f>'Plano de Metas'!$A$359</c:f>
              <c:strCache>
                <c:ptCount val="1"/>
                <c:pt idx="0">
                  <c:v>dez/20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Metas'!$B$359</c:f>
              <c:numCache>
                <c:formatCode>#,##0.00</c:formatCode>
                <c:ptCount val="1"/>
                <c:pt idx="0">
                  <c:v>805.37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34-4AEB-AAFA-2344062F2BCE}"/>
            </c:ext>
          </c:extLst>
        </c:ser>
        <c:ser>
          <c:idx val="48"/>
          <c:order val="48"/>
          <c:tx>
            <c:strRef>
              <c:f>'Plano de Metas'!$A$360</c:f>
              <c:strCache>
                <c:ptCount val="1"/>
                <c:pt idx="0">
                  <c:v>jan/21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Metas'!$B$360</c:f>
              <c:numCache>
                <c:formatCode>#,##0.00</c:formatCode>
                <c:ptCount val="1"/>
                <c:pt idx="0">
                  <c:v>202.52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34-4AEB-AAFA-2344062F2BCE}"/>
            </c:ext>
          </c:extLst>
        </c:ser>
        <c:ser>
          <c:idx val="49"/>
          <c:order val="49"/>
          <c:tx>
            <c:strRef>
              <c:f>'Plano de Metas'!$A$361</c:f>
              <c:strCache>
                <c:ptCount val="1"/>
                <c:pt idx="0">
                  <c:v>fev/21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'Plano de Metas'!$B$361</c:f>
              <c:numCache>
                <c:formatCode>#,##0.00</c:formatCode>
                <c:ptCount val="1"/>
                <c:pt idx="0">
                  <c:v>318.85000000000002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B2-4753-A2B2-8AA9E89CE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887496"/>
        <c:axId val="439886840"/>
      </c:barChart>
      <c:catAx>
        <c:axId val="439887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886840"/>
        <c:crosses val="autoZero"/>
        <c:auto val="1"/>
        <c:lblAlgn val="ctr"/>
        <c:lblOffset val="100"/>
        <c:noMultiLvlLbl val="0"/>
      </c:catAx>
      <c:valAx>
        <c:axId val="43988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88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922044391338632E-2"/>
          <c:y val="0.91206506454566572"/>
          <c:w val="0.83047567616853091"/>
          <c:h val="8.59767820831219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RENDA</a:t>
            </a:r>
            <a:r>
              <a:rPr lang="en-US" baseline="0"/>
              <a:t> PASSIVA MENSAL EM 2017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'Plano de Metas'!$A$71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'Plano de Metas'!$B$71:$M$71</c:f>
              <c:numCache>
                <c:formatCode>#,##0.00</c:formatCode>
                <c:ptCount val="12"/>
                <c:pt idx="0">
                  <c:v>3556.23</c:v>
                </c:pt>
                <c:pt idx="1">
                  <c:v>3231.49</c:v>
                </c:pt>
                <c:pt idx="2">
                  <c:v>4573.72</c:v>
                </c:pt>
                <c:pt idx="3">
                  <c:v>3892.38</c:v>
                </c:pt>
                <c:pt idx="4">
                  <c:v>5034.92</c:v>
                </c:pt>
                <c:pt idx="5">
                  <c:v>6066.6100000000006</c:v>
                </c:pt>
                <c:pt idx="6">
                  <c:v>6986.33</c:v>
                </c:pt>
                <c:pt idx="7">
                  <c:v>7150.91</c:v>
                </c:pt>
                <c:pt idx="8">
                  <c:v>7662.68</c:v>
                </c:pt>
                <c:pt idx="9">
                  <c:v>7627.64</c:v>
                </c:pt>
                <c:pt idx="10">
                  <c:v>7217.83</c:v>
                </c:pt>
                <c:pt idx="11">
                  <c:v>8662.36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3-4091-B4A2-62B57C328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29536"/>
        <c:axId val="546430192"/>
      </c:barChart>
      <c:catAx>
        <c:axId val="54642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430192"/>
        <c:crosses val="autoZero"/>
        <c:auto val="1"/>
        <c:lblAlgn val="ctr"/>
        <c:lblOffset val="100"/>
        <c:noMultiLvlLbl val="0"/>
      </c:catAx>
      <c:valAx>
        <c:axId val="54643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42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RENDA</a:t>
            </a:r>
            <a:r>
              <a:rPr lang="en-US" baseline="0"/>
              <a:t> PASSIVA MENSAL EM 2019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'Plano de Metas'!$A$115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'Plano de Metas'!$B$115:$M$115</c:f>
              <c:numCache>
                <c:formatCode>#,##0.00</c:formatCode>
                <c:ptCount val="12"/>
                <c:pt idx="0">
                  <c:v>7966.99</c:v>
                </c:pt>
                <c:pt idx="1">
                  <c:v>7909.1100000000006</c:v>
                </c:pt>
                <c:pt idx="2">
                  <c:v>9878.33</c:v>
                </c:pt>
                <c:pt idx="3">
                  <c:v>7979.91</c:v>
                </c:pt>
                <c:pt idx="4">
                  <c:v>7794.26</c:v>
                </c:pt>
                <c:pt idx="5">
                  <c:v>7369.6</c:v>
                </c:pt>
                <c:pt idx="6">
                  <c:v>9399.15</c:v>
                </c:pt>
                <c:pt idx="7">
                  <c:v>9703.64</c:v>
                </c:pt>
                <c:pt idx="8">
                  <c:v>9420.16</c:v>
                </c:pt>
                <c:pt idx="9">
                  <c:v>7880.1900000000005</c:v>
                </c:pt>
                <c:pt idx="10">
                  <c:v>9436.41</c:v>
                </c:pt>
                <c:pt idx="11">
                  <c:v>11082.98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4-4B6F-9FE3-DC76A47BA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29536"/>
        <c:axId val="546430192"/>
      </c:barChart>
      <c:catAx>
        <c:axId val="54642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430192"/>
        <c:crosses val="autoZero"/>
        <c:auto val="1"/>
        <c:lblAlgn val="ctr"/>
        <c:lblOffset val="100"/>
        <c:noMultiLvlLbl val="0"/>
      </c:catAx>
      <c:valAx>
        <c:axId val="54643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42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Fonte de Renda - 2019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9EC-4377-AB2E-8C9FC58F7E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59EC-4377-AB2E-8C9FC58F7E0B}"/>
              </c:ext>
            </c:extLst>
          </c:dPt>
          <c:dLbls>
            <c:dLbl>
              <c:idx val="0"/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r>
                      <a:rPr lang="en-US"/>
                      <a:t>Banese</a:t>
                    </a:r>
                    <a:r>
                      <a:rPr lang="en-US" baseline="0"/>
                      <a:t>
</a:t>
                    </a:r>
                    <a:fld id="{A8EFEA28-508D-484F-9C56-42A4901386A2}" type="PERCENTAGE">
                      <a:rPr lang="en-US" baseline="0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[PORCENTAGEM]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3-59EC-4377-AB2E-8C9FC58F7E0B}"/>
                </c:ext>
              </c:extLst>
            </c:dLbl>
            <c:dLbl>
              <c:idx val="1"/>
              <c:layout>
                <c:manualLayout>
                  <c:x val="-2.1503778821098163E-2"/>
                  <c:y val="-1.8669776009239823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r>
                      <a:rPr lang="en-US"/>
                      <a:t>Outras</a:t>
                    </a:r>
                    <a:r>
                      <a:rPr lang="en-US" baseline="0"/>
                      <a:t>
</a:t>
                    </a:r>
                    <a:fld id="{C7B114B7-A283-4C31-8668-0ED678CD7E5C}" type="PERCENTAGE">
                      <a:rPr lang="en-US" baseline="0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[PORCENTAGEM]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245127551146502"/>
                      <c:h val="0.1321531029437238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4-59EC-4377-AB2E-8C9FC58F7E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'Plano de Metas'!$A$201:$A$202</c:f>
              <c:strCache>
                <c:ptCount val="2"/>
                <c:pt idx="0">
                  <c:v>Ativa</c:v>
                </c:pt>
                <c:pt idx="1">
                  <c:v>Passiva</c:v>
                </c:pt>
              </c:strCache>
            </c:strRef>
          </c:cat>
          <c:val>
            <c:numRef>
              <c:f>'Plano de Metas'!$B$201:$B$202</c:f>
              <c:numCache>
                <c:formatCode>#,##0.00</c:formatCode>
                <c:ptCount val="2"/>
                <c:pt idx="0">
                  <c:v>78353.400000000023</c:v>
                </c:pt>
                <c:pt idx="1">
                  <c:v>105820.73000000001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9EC-4377-AB2E-8C9FC58F7E0B}"/>
            </c:ext>
          </c:extLst>
        </c:ser>
        <c:ser>
          <c:idx val="0"/>
          <c:order val="1"/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9EC-4377-AB2E-8C9FC58F7E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9EC-4377-AB2E-8C9FC58F7E0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'Plano de Metas'!$A$201:$A$202</c:f>
              <c:strCache>
                <c:ptCount val="2"/>
                <c:pt idx="0">
                  <c:v>Ativa</c:v>
                </c:pt>
                <c:pt idx="1">
                  <c:v>Passiva</c:v>
                </c:pt>
              </c:strCache>
            </c:strRef>
          </c:cat>
          <c:val>
            <c:numRef>
              <c:f>'Plano de Metas'!$B$201:$B$202</c:f>
              <c:numCache>
                <c:formatCode>#,##0.00</c:formatCode>
                <c:ptCount val="2"/>
                <c:pt idx="0">
                  <c:v>78353.400000000023</c:v>
                </c:pt>
                <c:pt idx="1">
                  <c:v>105820.73000000001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9EC-4377-AB2E-8C9FC58F7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Rendimentos</a:t>
            </a:r>
            <a:r>
              <a:rPr lang="pt-BR" baseline="0"/>
              <a:t> anual dos Proventos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'Plano de Metas'!$A$372:$A$376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'Plano de Metas'!$B$372:$B$376</c:f>
              <c:numCache>
                <c:formatCode>#,##0.00</c:formatCode>
                <c:ptCount val="5"/>
                <c:pt idx="0">
                  <c:v>5573.0999999999995</c:v>
                </c:pt>
                <c:pt idx="1">
                  <c:v>11951.83</c:v>
                </c:pt>
                <c:pt idx="2">
                  <c:v>21367.72</c:v>
                </c:pt>
                <c:pt idx="3">
                  <c:v>23951.980000000003</c:v>
                </c:pt>
                <c:pt idx="4">
                  <c:v>9620.3599999999988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A-4625-B312-BB75230D1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871375"/>
        <c:axId val="1460819487"/>
      </c:barChart>
      <c:catAx>
        <c:axId val="146087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0819487"/>
        <c:crosses val="autoZero"/>
        <c:auto val="1"/>
        <c:lblAlgn val="ctr"/>
        <c:lblOffset val="100"/>
        <c:noMultiLvlLbl val="0"/>
      </c:catAx>
      <c:valAx>
        <c:axId val="146081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087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RENDA</a:t>
            </a:r>
            <a:r>
              <a:rPr lang="en-US" baseline="0"/>
              <a:t> PASSIVA MENSAL EM 2020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'Plano de Metas'!$A$139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'Plano de Metas'!$B$139:$M$139</c:f>
              <c:numCache>
                <c:formatCode>#,##0.00</c:formatCode>
                <c:ptCount val="12"/>
                <c:pt idx="0">
                  <c:v>8816.630000000001</c:v>
                </c:pt>
                <c:pt idx="1">
                  <c:v>9677.4</c:v>
                </c:pt>
                <c:pt idx="2">
                  <c:v>10055.1</c:v>
                </c:pt>
                <c:pt idx="3">
                  <c:v>6975.52</c:v>
                </c:pt>
                <c:pt idx="4">
                  <c:v>9601.2900000000009</c:v>
                </c:pt>
                <c:pt idx="5">
                  <c:v>7920.49</c:v>
                </c:pt>
                <c:pt idx="6">
                  <c:v>7672.67</c:v>
                </c:pt>
                <c:pt idx="7">
                  <c:v>8698.98</c:v>
                </c:pt>
                <c:pt idx="8">
                  <c:v>7414.8700000000008</c:v>
                </c:pt>
                <c:pt idx="9">
                  <c:v>6236.7200000000012</c:v>
                </c:pt>
                <c:pt idx="10">
                  <c:v>7880.4500000000007</c:v>
                </c:pt>
                <c:pt idx="11">
                  <c:v>8329.0600000000013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3-469A-82E4-1C377C573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29536"/>
        <c:axId val="546430192"/>
      </c:barChart>
      <c:catAx>
        <c:axId val="54642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430192"/>
        <c:crosses val="autoZero"/>
        <c:auto val="1"/>
        <c:lblAlgn val="ctr"/>
        <c:lblOffset val="100"/>
        <c:noMultiLvlLbl val="0"/>
      </c:catAx>
      <c:valAx>
        <c:axId val="54643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42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Fonte de Renda - 2020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194-4B84-850E-44CB4A07155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7194-4B84-850E-44CB4A07155B}"/>
              </c:ext>
            </c:extLst>
          </c:dPt>
          <c:dLbls>
            <c:dLbl>
              <c:idx val="0"/>
              <c:layout>
                <c:manualLayout>
                  <c:x val="1.2589416731201201E-2"/>
                  <c:y val="-7.978315618688690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94-4B84-850E-44CB4A07155B}"/>
                </c:ext>
              </c:extLst>
            </c:dLbl>
            <c:dLbl>
              <c:idx val="1"/>
              <c:layout>
                <c:manualLayout>
                  <c:x val="-5.5808274684644534E-2"/>
                  <c:y val="-1.84039399597644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94-4B84-850E-44CB4A07155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'Plano de Metas'!$A$207:$A$208</c:f>
              <c:strCache>
                <c:ptCount val="2"/>
                <c:pt idx="0">
                  <c:v>Ativa</c:v>
                </c:pt>
                <c:pt idx="1">
                  <c:v>Passiva</c:v>
                </c:pt>
              </c:strCache>
            </c:strRef>
          </c:cat>
          <c:val>
            <c:numRef>
              <c:f>'Plano de Metas'!$B$207:$B$208</c:f>
              <c:numCache>
                <c:formatCode>#,##0.00</c:formatCode>
                <c:ptCount val="2"/>
                <c:pt idx="0">
                  <c:v>75472.360000000015</c:v>
                </c:pt>
                <c:pt idx="1">
                  <c:v>99279.18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94-4B84-850E-44CB4A07155B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194-4B84-850E-44CB4A0715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194-4B84-850E-44CB4A0715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194-4B84-850E-44CB4A0715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194-4B84-850E-44CB4A07155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Banese</a:t>
                    </a:r>
                    <a:r>
                      <a:rPr lang="en-US" baseline="0"/>
                      <a:t>
</a:t>
                    </a:r>
                    <a:fld id="{A8EFEA28-508D-484F-9C56-42A4901386A2}" type="PERCENTAGE">
                      <a:rPr lang="en-US" baseline="0"/>
                      <a:pPr/>
                      <a:t>[PORCENTAGEM]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194-4B84-850E-44CB4A07155B}"/>
                </c:ext>
              </c:extLst>
            </c:dLbl>
            <c:dLbl>
              <c:idx val="1"/>
              <c:layout>
                <c:manualLayout>
                  <c:x val="-2.1503778821098163E-2"/>
                  <c:y val="-1.866977600923982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Outras</a:t>
                    </a:r>
                    <a:r>
                      <a:rPr lang="en-US" baseline="0"/>
                      <a:t>
</a:t>
                    </a:r>
                    <a:fld id="{C7B114B7-A283-4C31-8668-0ED678CD7E5C}" type="PERCENTAGE">
                      <a:rPr lang="en-US" baseline="0"/>
                      <a:pPr/>
                      <a:t>[PORCENTAGEM]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245127551146502"/>
                      <c:h val="0.1321531029437238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7194-4B84-850E-44CB4A07155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'Plano de Metas'!$A$207:$A$208</c:f>
              <c:strCache>
                <c:ptCount val="2"/>
                <c:pt idx="0">
                  <c:v>Ativa</c:v>
                </c:pt>
                <c:pt idx="1">
                  <c:v>Passiva</c:v>
                </c:pt>
              </c:strCache>
            </c:strRef>
          </c:cat>
          <c:val>
            <c:numRef>
              <c:f>'Plano de Metas'!$B$201:$B$202</c:f>
              <c:numCache>
                <c:formatCode>#,##0.00</c:formatCode>
                <c:ptCount val="2"/>
                <c:pt idx="0">
                  <c:v>78353.400000000023</c:v>
                </c:pt>
                <c:pt idx="1">
                  <c:v>105820.73000000001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194-4B84-850E-44CB4A071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Renda Anual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'Plano de Metas'!$A$392:$A$396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'Plano de Metas'!$B$392:$B$396</c:f>
              <c:numCache>
                <c:formatCode>#,##0.00</c:formatCode>
                <c:ptCount val="5"/>
                <c:pt idx="0">
                  <c:v>183137.51000000004</c:v>
                </c:pt>
                <c:pt idx="1">
                  <c:v>208899.35</c:v>
                </c:pt>
                <c:pt idx="2">
                  <c:v>234522.44000000003</c:v>
                </c:pt>
                <c:pt idx="3">
                  <c:v>224416.81000000003</c:v>
                </c:pt>
                <c:pt idx="4">
                  <c:v>366843.24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0-4C18-B28C-6384CAA9B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871375"/>
        <c:axId val="1460819487"/>
      </c:barChart>
      <c:catAx>
        <c:axId val="146087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0819487"/>
        <c:crosses val="autoZero"/>
        <c:auto val="1"/>
        <c:lblAlgn val="ctr"/>
        <c:lblOffset val="100"/>
        <c:noMultiLvlLbl val="0"/>
      </c:catAx>
      <c:valAx>
        <c:axId val="146081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087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762002</xdr:colOff>
      <xdr:row>187</xdr:row>
      <xdr:rowOff>89933</xdr:rowOff>
    </xdr:from>
    <xdr:to>
      <xdr:col>10</xdr:col>
      <xdr:colOff>693210</xdr:colOff>
      <xdr:row>208</xdr:row>
      <xdr:rowOff>137560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08CC0C3-B638-44E2-8F28-70E805ADD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773642</xdr:colOff>
      <xdr:row>187</xdr:row>
      <xdr:rowOff>84111</xdr:rowOff>
    </xdr:from>
    <xdr:to>
      <xdr:col>18</xdr:col>
      <xdr:colOff>550334</xdr:colOff>
      <xdr:row>208</xdr:row>
      <xdr:rowOff>165074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23B2D31-5BF0-4744-9AF1-1C4E89E8B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391575</xdr:colOff>
      <xdr:row>212</xdr:row>
      <xdr:rowOff>63480</xdr:rowOff>
    </xdr:from>
    <xdr:to>
      <xdr:col>20</xdr:col>
      <xdr:colOff>370407</xdr:colOff>
      <xdr:row>234</xdr:row>
      <xdr:rowOff>74063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D8C8C3-0504-4F14-A1E5-52112CD45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84179</xdr:colOff>
      <xdr:row>239</xdr:row>
      <xdr:rowOff>144249</xdr:rowOff>
    </xdr:from>
    <xdr:to>
      <xdr:col>20</xdr:col>
      <xdr:colOff>702468</xdr:colOff>
      <xdr:row>257</xdr:row>
      <xdr:rowOff>180109</xdr:rowOff>
    </xdr:to>
    <xdr:graphicFrame macro="">
      <xdr:nvGraphicFramePr>
        <xdr:cNvPr id="8" name="Gráfico 6">
          <a:extLst>
            <a:ext uri="{FF2B5EF4-FFF2-40B4-BE49-F238E27FC236}">
              <a16:creationId xmlns:a16="http://schemas.microsoft.com/office/drawing/2014/main" id="{E4A4C7AB-DFE4-4C3B-981D-7A8F25189418}"/>
            </a:ext>
            <a:ext uri="{147F2762-F138-4A5C-976F-8EAC2B608ADB}">
              <a16:predDERef xmlns:a16="http://schemas.microsoft.com/office/drawing/2014/main" pred="{A7D8C8C3-0504-4F14-A1E5-52112CD45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559858</xdr:colOff>
      <xdr:row>133</xdr:row>
      <xdr:rowOff>139703</xdr:rowOff>
    </xdr:from>
    <xdr:to>
      <xdr:col>49</xdr:col>
      <xdr:colOff>511174</xdr:colOff>
      <xdr:row>149</xdr:row>
      <xdr:rowOff>49216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9552D1-C2B7-4A10-8DB8-AE161E391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493183</xdr:colOff>
      <xdr:row>265</xdr:row>
      <xdr:rowOff>132819</xdr:rowOff>
    </xdr:from>
    <xdr:to>
      <xdr:col>19</xdr:col>
      <xdr:colOff>426509</xdr:colOff>
      <xdr:row>286</xdr:row>
      <xdr:rowOff>80432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F09574F-735B-4A78-9A4C-63E85CC65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241034</xdr:colOff>
      <xdr:row>310</xdr:row>
      <xdr:rowOff>189178</xdr:rowOff>
    </xdr:from>
    <xdr:to>
      <xdr:col>21</xdr:col>
      <xdr:colOff>657489</xdr:colOff>
      <xdr:row>335</xdr:row>
      <xdr:rowOff>190499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4A26B80-A3AD-4832-89AF-BA4C02B62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1077375</xdr:colOff>
      <xdr:row>212</xdr:row>
      <xdr:rowOff>63480</xdr:rowOff>
    </xdr:from>
    <xdr:to>
      <xdr:col>10</xdr:col>
      <xdr:colOff>444492</xdr:colOff>
      <xdr:row>234</xdr:row>
      <xdr:rowOff>63480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2FB05BB1-7E50-4672-B929-D57CB5D60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474919</xdr:colOff>
      <xdr:row>211</xdr:row>
      <xdr:rowOff>112427</xdr:rowOff>
    </xdr:from>
    <xdr:to>
      <xdr:col>30</xdr:col>
      <xdr:colOff>337335</xdr:colOff>
      <xdr:row>233</xdr:row>
      <xdr:rowOff>137301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92421A3-69D9-46B8-A709-C308FCAAD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431272</xdr:colOff>
      <xdr:row>187</xdr:row>
      <xdr:rowOff>69559</xdr:rowOff>
    </xdr:from>
    <xdr:to>
      <xdr:col>25</xdr:col>
      <xdr:colOff>547689</xdr:colOff>
      <xdr:row>208</xdr:row>
      <xdr:rowOff>150522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1F34DFE-440C-46FD-B8FB-F3061FC93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27516</xdr:colOff>
      <xdr:row>369</xdr:row>
      <xdr:rowOff>144461</xdr:rowOff>
    </xdr:from>
    <xdr:to>
      <xdr:col>18</xdr:col>
      <xdr:colOff>227542</xdr:colOff>
      <xdr:row>388</xdr:row>
      <xdr:rowOff>73025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EBC9F9-A140-4117-BC97-077A05777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30</xdr:col>
      <xdr:colOff>833437</xdr:colOff>
      <xdr:row>211</xdr:row>
      <xdr:rowOff>178594</xdr:rowOff>
    </xdr:from>
    <xdr:to>
      <xdr:col>40</xdr:col>
      <xdr:colOff>350571</xdr:colOff>
      <xdr:row>234</xdr:row>
      <xdr:rowOff>12968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22430454-37CD-4C5D-AFE1-AEB2569DD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</xdr:col>
      <xdr:colOff>666750</xdr:colOff>
      <xdr:row>187</xdr:row>
      <xdr:rowOff>35718</xdr:rowOff>
    </xdr:from>
    <xdr:to>
      <xdr:col>32</xdr:col>
      <xdr:colOff>330729</xdr:colOff>
      <xdr:row>208</xdr:row>
      <xdr:rowOff>116681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884373A4-FF0E-4D84-8837-4B1580F34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797719</xdr:colOff>
      <xdr:row>389</xdr:row>
      <xdr:rowOff>178594</xdr:rowOff>
    </xdr:from>
    <xdr:to>
      <xdr:col>18</xdr:col>
      <xdr:colOff>188120</xdr:colOff>
      <xdr:row>408</xdr:row>
      <xdr:rowOff>107158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497380D9-1F33-4ED1-B94F-3BE306CD2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2"/>
  <sheetViews>
    <sheetView zoomScale="90" zoomScaleNormal="90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1.7109375" style="2" customWidth="1"/>
    <col min="2" max="2" width="11.140625" style="7" bestFit="1" customWidth="1"/>
    <col min="3" max="3" width="9.85546875" style="7" bestFit="1" customWidth="1"/>
    <col min="4" max="4" width="6.85546875" style="37" customWidth="1"/>
    <col min="5" max="5" width="9.5703125" style="41" bestFit="1" customWidth="1"/>
    <col min="6" max="6" width="9.85546875" style="41" customWidth="1"/>
    <col min="7" max="7" width="7.85546875" style="41" bestFit="1" customWidth="1"/>
    <col min="8" max="8" width="11.85546875" style="41" bestFit="1" customWidth="1"/>
    <col min="9" max="9" width="13.5703125" style="41" bestFit="1" customWidth="1"/>
    <col min="10" max="10" width="10.28515625" style="41" bestFit="1" customWidth="1"/>
    <col min="11" max="11" width="10.140625" style="41" bestFit="1" customWidth="1"/>
    <col min="12" max="12" width="6.5703125" style="41" customWidth="1"/>
    <col min="13" max="13" width="9.140625" style="41" bestFit="1" customWidth="1"/>
    <col min="14" max="14" width="12.140625" style="41" bestFit="1" customWidth="1"/>
    <col min="15" max="15" width="9.42578125" style="41" customWidth="1"/>
    <col min="16" max="16" width="14.28515625" style="41" bestFit="1" customWidth="1"/>
    <col min="17" max="17" width="9.42578125" style="41" customWidth="1"/>
    <col min="18" max="18" width="16.7109375" style="41" bestFit="1" customWidth="1"/>
    <col min="19" max="19" width="13.85546875" bestFit="1" customWidth="1"/>
    <col min="20" max="20" width="13.85546875" customWidth="1"/>
    <col min="21" max="21" width="9.5703125" bestFit="1" customWidth="1"/>
    <col min="22" max="22" width="8.140625" customWidth="1"/>
    <col min="23" max="23" width="12.85546875" customWidth="1"/>
    <col min="24" max="24" width="21.42578125" bestFit="1" customWidth="1"/>
    <col min="25" max="25" width="14.28515625" customWidth="1"/>
  </cols>
  <sheetData>
    <row r="1" spans="1:24" ht="21" x14ac:dyDescent="0.35">
      <c r="A1" s="30" t="s">
        <v>52</v>
      </c>
      <c r="B1" s="21"/>
      <c r="C1" s="21"/>
      <c r="D1" s="34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1"/>
    </row>
    <row r="2" spans="1:24" x14ac:dyDescent="0.25">
      <c r="A2" s="27" t="s">
        <v>0</v>
      </c>
      <c r="B2" s="24" t="s">
        <v>48</v>
      </c>
      <c r="C2" s="24" t="s">
        <v>1</v>
      </c>
      <c r="D2" s="35" t="s">
        <v>3</v>
      </c>
      <c r="E2" s="40" t="s">
        <v>50</v>
      </c>
      <c r="F2" s="40" t="s">
        <v>4</v>
      </c>
      <c r="G2" s="40" t="s">
        <v>8</v>
      </c>
      <c r="H2" s="40" t="s">
        <v>9</v>
      </c>
      <c r="I2" s="40" t="s">
        <v>10</v>
      </c>
      <c r="J2" s="40" t="s">
        <v>7</v>
      </c>
      <c r="K2" s="40" t="s">
        <v>51</v>
      </c>
      <c r="L2" s="40" t="s">
        <v>53</v>
      </c>
      <c r="M2" s="40" t="s">
        <v>33</v>
      </c>
      <c r="N2" s="40" t="s">
        <v>14</v>
      </c>
      <c r="O2" s="40" t="s">
        <v>34</v>
      </c>
      <c r="P2" s="40" t="s">
        <v>74</v>
      </c>
      <c r="Q2" s="40" t="s">
        <v>73</v>
      </c>
      <c r="R2" s="40" t="s">
        <v>49</v>
      </c>
      <c r="S2" s="2"/>
    </row>
    <row r="3" spans="1:24" x14ac:dyDescent="0.25">
      <c r="A3" s="26">
        <v>41330</v>
      </c>
      <c r="B3" s="17">
        <v>2000</v>
      </c>
      <c r="C3" s="7" t="s">
        <v>2</v>
      </c>
      <c r="D3" s="36">
        <v>15</v>
      </c>
      <c r="E3" s="17">
        <v>129</v>
      </c>
      <c r="F3" s="17">
        <f>D3*E3</f>
        <v>1935</v>
      </c>
      <c r="G3" s="17">
        <v>0.11</v>
      </c>
      <c r="H3" s="17">
        <v>1.31</v>
      </c>
      <c r="I3" s="17">
        <v>31.13</v>
      </c>
      <c r="J3" s="17">
        <f>SUM(F3:I3)</f>
        <v>1967.55</v>
      </c>
      <c r="K3" s="17"/>
      <c r="L3" s="17"/>
      <c r="M3" s="17"/>
      <c r="N3" s="17"/>
      <c r="O3" s="17"/>
      <c r="P3" s="17"/>
      <c r="Q3" s="17"/>
      <c r="R3" s="17">
        <f>B3-J3-K3-L3+M3+N3+O3+P3</f>
        <v>32.450000000000045</v>
      </c>
      <c r="S3" s="2"/>
      <c r="T3" s="20"/>
    </row>
    <row r="4" spans="1:24" x14ac:dyDescent="0.25">
      <c r="A4" s="26">
        <v>41339</v>
      </c>
      <c r="B4" s="17">
        <v>1000</v>
      </c>
      <c r="C4" s="7" t="s">
        <v>2</v>
      </c>
      <c r="D4" s="36">
        <v>7</v>
      </c>
      <c r="E4" s="17">
        <v>131.69</v>
      </c>
      <c r="F4" s="17">
        <f>D4*E4</f>
        <v>921.82999999999993</v>
      </c>
      <c r="G4" s="17">
        <v>0.05</v>
      </c>
      <c r="H4" s="17">
        <v>0.62</v>
      </c>
      <c r="I4" s="17">
        <v>17.260000000000002</v>
      </c>
      <c r="J4" s="17">
        <f>SUM(F4:I4)</f>
        <v>939.75999999999988</v>
      </c>
      <c r="K4" s="17"/>
      <c r="L4" s="17"/>
      <c r="M4" s="17"/>
      <c r="N4" s="17"/>
      <c r="O4" s="17"/>
      <c r="P4" s="17"/>
      <c r="Q4" s="17"/>
      <c r="R4" s="17">
        <f t="shared" ref="R4:R6" si="0">R3+B4-J4-K4-L4+M4+N4+O4+P4</f>
        <v>92.690000000000168</v>
      </c>
      <c r="S4" s="2"/>
      <c r="T4" s="20"/>
    </row>
    <row r="5" spans="1:24" x14ac:dyDescent="0.25">
      <c r="A5" s="26">
        <v>41347</v>
      </c>
      <c r="B5" s="17"/>
      <c r="C5" s="7" t="s">
        <v>2</v>
      </c>
      <c r="D5" s="36"/>
      <c r="E5" s="17"/>
      <c r="F5" s="17"/>
      <c r="G5" s="17"/>
      <c r="H5" s="17"/>
      <c r="I5" s="17"/>
      <c r="J5" s="17"/>
      <c r="K5" s="17"/>
      <c r="L5" s="17"/>
      <c r="M5" s="17">
        <v>18.34</v>
      </c>
      <c r="N5" s="17"/>
      <c r="O5" s="17"/>
      <c r="P5" s="17"/>
      <c r="Q5" s="17"/>
      <c r="R5" s="17">
        <f t="shared" si="0"/>
        <v>111.03000000000017</v>
      </c>
      <c r="S5" s="2"/>
    </row>
    <row r="6" spans="1:24" x14ac:dyDescent="0.25">
      <c r="A6" s="26">
        <v>41365</v>
      </c>
      <c r="B6" s="17"/>
      <c r="D6" s="36"/>
      <c r="E6" s="17"/>
      <c r="F6" s="17"/>
      <c r="G6" s="17"/>
      <c r="H6" s="17"/>
      <c r="I6" s="17"/>
      <c r="J6" s="17"/>
      <c r="K6" s="17">
        <v>6.9</v>
      </c>
      <c r="L6" s="17"/>
      <c r="M6" s="17"/>
      <c r="N6" s="17"/>
      <c r="O6" s="17"/>
      <c r="P6" s="17"/>
      <c r="Q6" s="17"/>
      <c r="R6" s="17">
        <f t="shared" si="0"/>
        <v>104.13000000000017</v>
      </c>
      <c r="S6" s="2"/>
    </row>
    <row r="7" spans="1:24" x14ac:dyDescent="0.25">
      <c r="A7" s="26">
        <v>41376</v>
      </c>
      <c r="B7" s="17"/>
      <c r="C7" s="7" t="s">
        <v>2</v>
      </c>
      <c r="D7" s="36"/>
      <c r="E7" s="17"/>
      <c r="F7" s="17"/>
      <c r="G7" s="17"/>
      <c r="H7" s="17"/>
      <c r="I7" s="17"/>
      <c r="J7" s="17"/>
      <c r="K7" s="17"/>
      <c r="L7" s="17"/>
      <c r="M7" s="17">
        <v>18.43</v>
      </c>
      <c r="N7" s="17"/>
      <c r="O7" s="17"/>
      <c r="P7" s="17"/>
      <c r="Q7" s="17"/>
      <c r="R7" s="17">
        <f t="shared" ref="R7:R15" si="1">R6+B7-J7-K7-L7+M7+N7+O7+P7</f>
        <v>122.56000000000017</v>
      </c>
      <c r="S7" s="2"/>
    </row>
    <row r="8" spans="1:24" x14ac:dyDescent="0.25">
      <c r="A8" s="26">
        <v>41396</v>
      </c>
      <c r="B8" s="17"/>
      <c r="D8" s="36"/>
      <c r="E8" s="17"/>
      <c r="F8" s="17"/>
      <c r="G8" s="17"/>
      <c r="H8" s="17"/>
      <c r="I8" s="17"/>
      <c r="J8" s="17"/>
      <c r="K8" s="17">
        <v>6.9</v>
      </c>
      <c r="L8" s="17"/>
      <c r="M8" s="17"/>
      <c r="N8" s="17"/>
      <c r="O8" s="17"/>
      <c r="P8" s="17"/>
      <c r="Q8" s="17"/>
      <c r="R8" s="17">
        <f t="shared" si="1"/>
        <v>115.66000000000017</v>
      </c>
      <c r="S8" s="2"/>
    </row>
    <row r="9" spans="1:24" x14ac:dyDescent="0.25">
      <c r="A9" s="26">
        <v>41409</v>
      </c>
      <c r="B9" s="17"/>
      <c r="C9" s="7" t="s">
        <v>2</v>
      </c>
      <c r="D9" s="36"/>
      <c r="E9" s="17"/>
      <c r="F9" s="17"/>
      <c r="G9" s="17"/>
      <c r="H9" s="17"/>
      <c r="I9" s="17"/>
      <c r="J9" s="17"/>
      <c r="K9" s="17"/>
      <c r="L9" s="17"/>
      <c r="M9" s="17">
        <v>15.66</v>
      </c>
      <c r="N9" s="17"/>
      <c r="O9" s="17"/>
      <c r="P9" s="17"/>
      <c r="Q9" s="17"/>
      <c r="R9" s="17">
        <f t="shared" si="1"/>
        <v>131.32000000000016</v>
      </c>
      <c r="S9" s="2"/>
    </row>
    <row r="10" spans="1:24" x14ac:dyDescent="0.25">
      <c r="A10" s="26">
        <v>41428</v>
      </c>
      <c r="B10" s="17"/>
      <c r="D10" s="36"/>
      <c r="E10" s="17"/>
      <c r="F10" s="17"/>
      <c r="G10" s="17"/>
      <c r="H10" s="17"/>
      <c r="I10" s="17"/>
      <c r="J10" s="17"/>
      <c r="K10" s="17">
        <v>6.9</v>
      </c>
      <c r="L10" s="17"/>
      <c r="M10" s="17"/>
      <c r="N10" s="17"/>
      <c r="O10" s="17"/>
      <c r="P10" s="17"/>
      <c r="Q10" s="17"/>
      <c r="R10" s="17">
        <f t="shared" si="1"/>
        <v>124.42000000000016</v>
      </c>
      <c r="S10" s="2"/>
    </row>
    <row r="11" spans="1:24" x14ac:dyDescent="0.25">
      <c r="A11" s="26">
        <v>41439</v>
      </c>
      <c r="B11" s="17"/>
      <c r="C11" s="7" t="s">
        <v>2</v>
      </c>
      <c r="D11" s="36"/>
      <c r="E11" s="17"/>
      <c r="F11" s="17"/>
      <c r="G11" s="17"/>
      <c r="H11" s="17"/>
      <c r="I11" s="17"/>
      <c r="J11" s="17"/>
      <c r="K11" s="17"/>
      <c r="L11" s="17"/>
      <c r="M11" s="17">
        <v>15.33</v>
      </c>
      <c r="N11" s="17"/>
      <c r="O11" s="17"/>
      <c r="P11" s="17"/>
      <c r="Q11" s="17"/>
      <c r="R11" s="17">
        <f t="shared" si="1"/>
        <v>139.75000000000017</v>
      </c>
      <c r="S11" s="2"/>
    </row>
    <row r="12" spans="1:24" x14ac:dyDescent="0.25">
      <c r="A12" s="26">
        <v>41445</v>
      </c>
      <c r="B12" s="17">
        <v>2000</v>
      </c>
      <c r="C12" s="7" t="s">
        <v>5</v>
      </c>
      <c r="D12" s="36">
        <v>100</v>
      </c>
      <c r="E12" s="17">
        <v>20.85</v>
      </c>
      <c r="F12" s="17">
        <f>D12*E12</f>
        <v>2085</v>
      </c>
      <c r="G12" s="17">
        <v>0.56999999999999995</v>
      </c>
      <c r="H12" s="17">
        <v>0.1</v>
      </c>
      <c r="I12" s="17">
        <v>0</v>
      </c>
      <c r="J12" s="17">
        <f>SUM(F12:I12)</f>
        <v>2085.67</v>
      </c>
      <c r="K12" s="17"/>
      <c r="L12" s="17"/>
      <c r="M12" s="17"/>
      <c r="N12" s="17"/>
      <c r="O12" s="17"/>
      <c r="P12" s="17"/>
      <c r="Q12" s="17"/>
      <c r="R12" s="17">
        <f t="shared" si="1"/>
        <v>54.079999999999927</v>
      </c>
      <c r="S12" s="2"/>
      <c r="T12" s="2"/>
      <c r="W12" s="5"/>
      <c r="X12" s="4"/>
    </row>
    <row r="13" spans="1:24" x14ac:dyDescent="0.25">
      <c r="A13" s="26">
        <v>41456</v>
      </c>
      <c r="B13" s="17"/>
      <c r="D13" s="36"/>
      <c r="E13" s="17"/>
      <c r="F13" s="17"/>
      <c r="G13" s="17"/>
      <c r="H13" s="17"/>
      <c r="I13" s="17"/>
      <c r="J13" s="17"/>
      <c r="K13" s="17">
        <v>6.9</v>
      </c>
      <c r="L13" s="17"/>
      <c r="M13" s="17"/>
      <c r="N13" s="17"/>
      <c r="O13" s="17"/>
      <c r="P13" s="17"/>
      <c r="Q13" s="17"/>
      <c r="R13" s="17">
        <f t="shared" si="1"/>
        <v>47.179999999999929</v>
      </c>
      <c r="S13" s="2"/>
    </row>
    <row r="14" spans="1:24" x14ac:dyDescent="0.25">
      <c r="A14" s="26">
        <v>41470</v>
      </c>
      <c r="B14" s="17"/>
      <c r="C14" s="7" t="s">
        <v>2</v>
      </c>
      <c r="D14" s="36"/>
      <c r="E14" s="17"/>
      <c r="F14" s="17"/>
      <c r="G14" s="17"/>
      <c r="H14" s="17"/>
      <c r="I14" s="17"/>
      <c r="J14" s="17"/>
      <c r="K14" s="17"/>
      <c r="L14" s="17"/>
      <c r="M14" s="17">
        <v>15.55</v>
      </c>
      <c r="N14" s="17"/>
      <c r="O14" s="17"/>
      <c r="P14" s="17"/>
      <c r="Q14" s="17"/>
      <c r="R14" s="17">
        <f t="shared" si="1"/>
        <v>62.729999999999933</v>
      </c>
      <c r="S14" s="2"/>
      <c r="W14" s="5"/>
    </row>
    <row r="15" spans="1:24" x14ac:dyDescent="0.25">
      <c r="A15" s="26">
        <v>41477</v>
      </c>
      <c r="B15" s="17"/>
      <c r="C15" s="7" t="s">
        <v>2</v>
      </c>
      <c r="D15" s="36">
        <v>-22</v>
      </c>
      <c r="E15" s="17">
        <v>98.5</v>
      </c>
      <c r="F15" s="17">
        <f>(D15*E15)</f>
        <v>-2167</v>
      </c>
      <c r="G15" s="17">
        <v>0.13</v>
      </c>
      <c r="H15" s="17">
        <v>1.47</v>
      </c>
      <c r="I15" s="17">
        <v>0</v>
      </c>
      <c r="J15" s="17">
        <f>SUM(F15:I15)</f>
        <v>-2165.4</v>
      </c>
      <c r="K15" s="17"/>
      <c r="L15" s="17"/>
      <c r="M15" s="17"/>
      <c r="N15" s="17"/>
      <c r="O15" s="17"/>
      <c r="P15" s="17"/>
      <c r="Q15" s="17"/>
      <c r="R15" s="17">
        <f t="shared" si="1"/>
        <v>2228.13</v>
      </c>
      <c r="S15" s="2"/>
    </row>
    <row r="16" spans="1:24" x14ac:dyDescent="0.25">
      <c r="A16" s="26">
        <v>41479</v>
      </c>
      <c r="B16" s="17"/>
      <c r="C16" s="7" t="s">
        <v>6</v>
      </c>
      <c r="D16" s="36">
        <v>100</v>
      </c>
      <c r="E16" s="17">
        <v>13.57</v>
      </c>
      <c r="F16" s="17">
        <f>D16*E16</f>
        <v>1357</v>
      </c>
      <c r="G16" s="17">
        <v>0.37</v>
      </c>
      <c r="H16" s="17">
        <v>0.06</v>
      </c>
      <c r="I16" s="17">
        <v>0</v>
      </c>
      <c r="J16" s="17">
        <f>SUM(F16:I16)</f>
        <v>1357.4299999999998</v>
      </c>
      <c r="K16" s="17"/>
      <c r="L16" s="17"/>
      <c r="M16" s="17"/>
      <c r="N16" s="17"/>
      <c r="O16" s="17"/>
      <c r="P16" s="17"/>
      <c r="Q16" s="17"/>
      <c r="R16" s="17">
        <f t="shared" ref="R16:R23" si="2">R15+B16-J16-K16-L16+M16+N16+O16+P16</f>
        <v>870.70000000000027</v>
      </c>
      <c r="S16" s="2"/>
    </row>
    <row r="17" spans="1:23" x14ac:dyDescent="0.25">
      <c r="A17" s="26">
        <v>41484</v>
      </c>
      <c r="B17" s="17"/>
      <c r="C17" s="7" t="s">
        <v>12</v>
      </c>
      <c r="D17" s="36">
        <v>100</v>
      </c>
      <c r="E17" s="17">
        <v>4.8600000000000003</v>
      </c>
      <c r="F17" s="17">
        <f>D17*E17</f>
        <v>486.00000000000006</v>
      </c>
      <c r="G17" s="17"/>
      <c r="H17" s="17"/>
      <c r="I17" s="17"/>
      <c r="J17" s="17">
        <f>SUM(F17:I17)</f>
        <v>486.00000000000006</v>
      </c>
      <c r="K17" s="17"/>
      <c r="L17" s="17"/>
      <c r="M17" s="17"/>
      <c r="N17" s="17"/>
      <c r="O17" s="17"/>
      <c r="P17" s="17"/>
      <c r="Q17" s="17"/>
      <c r="R17" s="17">
        <f t="shared" si="2"/>
        <v>384.70000000000022</v>
      </c>
      <c r="S17" s="2"/>
    </row>
    <row r="18" spans="1:23" ht="15" customHeight="1" x14ac:dyDescent="0.35">
      <c r="A18" s="26">
        <v>41484</v>
      </c>
      <c r="B18" s="17">
        <v>600</v>
      </c>
      <c r="C18" s="7" t="s">
        <v>13</v>
      </c>
      <c r="D18" s="36">
        <v>100</v>
      </c>
      <c r="E18" s="17">
        <v>9.5</v>
      </c>
      <c r="F18" s="17">
        <f>D18*E18</f>
        <v>950</v>
      </c>
      <c r="G18" s="17">
        <v>0.39</v>
      </c>
      <c r="H18" s="17">
        <v>7.0000000000000007E-2</v>
      </c>
      <c r="I18" s="17"/>
      <c r="J18" s="17">
        <f>SUM(F18:I18)</f>
        <v>950.46</v>
      </c>
      <c r="K18" s="17"/>
      <c r="L18" s="17"/>
      <c r="M18" s="17"/>
      <c r="N18" s="17"/>
      <c r="O18" s="17"/>
      <c r="P18" s="17"/>
      <c r="Q18" s="17"/>
      <c r="R18" s="17">
        <f t="shared" si="2"/>
        <v>34.240000000000236</v>
      </c>
      <c r="S18" s="2"/>
      <c r="T18" s="16"/>
    </row>
    <row r="19" spans="1:23" x14ac:dyDescent="0.25">
      <c r="A19" s="26">
        <v>41487</v>
      </c>
      <c r="B19" s="17"/>
      <c r="D19" s="36"/>
      <c r="E19" s="17"/>
      <c r="F19" s="17"/>
      <c r="G19" s="17"/>
      <c r="H19" s="17"/>
      <c r="I19" s="17"/>
      <c r="J19" s="17"/>
      <c r="K19" s="17">
        <v>6.9</v>
      </c>
      <c r="L19" s="17"/>
      <c r="M19" s="17"/>
      <c r="N19" s="17"/>
      <c r="O19" s="17"/>
      <c r="P19" s="17"/>
      <c r="Q19" s="17"/>
      <c r="R19" s="17">
        <f t="shared" si="2"/>
        <v>27.340000000000238</v>
      </c>
      <c r="S19" s="2"/>
      <c r="T19" s="2"/>
      <c r="U19" s="15"/>
      <c r="V19" s="15"/>
      <c r="W19" s="15"/>
    </row>
    <row r="20" spans="1:23" x14ac:dyDescent="0.25">
      <c r="A20" s="26">
        <v>41501</v>
      </c>
      <c r="B20" s="17">
        <v>2400</v>
      </c>
      <c r="C20" s="7" t="s">
        <v>6</v>
      </c>
      <c r="D20" s="36"/>
      <c r="E20" s="17"/>
      <c r="F20" s="17"/>
      <c r="G20" s="17"/>
      <c r="H20" s="17"/>
      <c r="I20" s="17"/>
      <c r="J20" s="17"/>
      <c r="K20" s="17"/>
      <c r="L20" s="17"/>
      <c r="M20" s="17"/>
      <c r="N20" s="17">
        <v>3.6</v>
      </c>
      <c r="O20" s="17"/>
      <c r="P20" s="17"/>
      <c r="Q20" s="17"/>
      <c r="R20" s="17">
        <f t="shared" si="2"/>
        <v>2430.94</v>
      </c>
      <c r="S20" s="2"/>
      <c r="T20" s="1"/>
      <c r="U20" s="18"/>
      <c r="V20" s="12"/>
      <c r="W20" s="12"/>
    </row>
    <row r="21" spans="1:23" x14ac:dyDescent="0.25">
      <c r="A21" s="26">
        <v>41502</v>
      </c>
      <c r="B21" s="17"/>
      <c r="C21" s="7" t="s">
        <v>5</v>
      </c>
      <c r="D21" s="36">
        <v>100</v>
      </c>
      <c r="E21" s="17">
        <v>23.07</v>
      </c>
      <c r="F21" s="17">
        <f t="shared" ref="F21:F24" si="3">D21*E21</f>
        <v>2307</v>
      </c>
      <c r="G21" s="17">
        <v>0.63</v>
      </c>
      <c r="H21" s="17">
        <v>0.11</v>
      </c>
      <c r="I21" s="17">
        <v>15.77</v>
      </c>
      <c r="J21" s="17">
        <f>SUM(F21:I21)</f>
        <v>2323.5100000000002</v>
      </c>
      <c r="K21" s="17"/>
      <c r="L21" s="17"/>
      <c r="M21" s="17"/>
      <c r="N21" s="17"/>
      <c r="O21" s="17"/>
      <c r="P21" s="17"/>
      <c r="Q21" s="17"/>
      <c r="R21" s="17">
        <f t="shared" si="2"/>
        <v>107.42999999999984</v>
      </c>
      <c r="S21" s="2"/>
      <c r="T21" s="1"/>
      <c r="U21" s="18"/>
      <c r="V21" s="12"/>
      <c r="W21" s="13"/>
    </row>
    <row r="22" spans="1:23" x14ac:dyDescent="0.25">
      <c r="A22" s="26">
        <v>41505</v>
      </c>
      <c r="B22" s="17"/>
      <c r="C22" s="7" t="s">
        <v>15</v>
      </c>
      <c r="D22" s="36">
        <v>300</v>
      </c>
      <c r="E22" s="17">
        <v>4.25</v>
      </c>
      <c r="F22" s="17">
        <f t="shared" si="3"/>
        <v>1275</v>
      </c>
      <c r="G22" s="17">
        <v>0.35</v>
      </c>
      <c r="H22" s="17">
        <v>0.06</v>
      </c>
      <c r="I22" s="17">
        <v>15.77</v>
      </c>
      <c r="J22" s="17">
        <f>SUM(F22:I22)</f>
        <v>1291.1799999999998</v>
      </c>
      <c r="K22" s="17"/>
      <c r="L22" s="17"/>
      <c r="M22" s="17"/>
      <c r="N22" s="17"/>
      <c r="O22" s="17"/>
      <c r="P22" s="17"/>
      <c r="Q22" s="17"/>
      <c r="R22" s="17">
        <f t="shared" si="2"/>
        <v>-1183.75</v>
      </c>
      <c r="S22" s="2"/>
    </row>
    <row r="23" spans="1:23" x14ac:dyDescent="0.25">
      <c r="A23" s="26">
        <v>41506</v>
      </c>
      <c r="B23" s="17">
        <v>1300</v>
      </c>
      <c r="D23" s="36"/>
      <c r="E23" s="17"/>
      <c r="F23" s="17">
        <f t="shared" si="3"/>
        <v>0</v>
      </c>
      <c r="G23" s="17"/>
      <c r="H23" s="17"/>
      <c r="I23" s="17"/>
      <c r="J23" s="17">
        <f>SUM(F23:I23)</f>
        <v>0</v>
      </c>
      <c r="K23" s="17"/>
      <c r="L23" s="17"/>
      <c r="M23" s="17"/>
      <c r="N23" s="17"/>
      <c r="O23" s="17"/>
      <c r="P23" s="17"/>
      <c r="Q23" s="17"/>
      <c r="R23" s="17">
        <f t="shared" si="2"/>
        <v>116.25</v>
      </c>
      <c r="S23" s="2"/>
    </row>
    <row r="24" spans="1:23" x14ac:dyDescent="0.25">
      <c r="A24" s="26">
        <v>41513</v>
      </c>
      <c r="B24" s="17"/>
      <c r="C24" s="7" t="s">
        <v>16</v>
      </c>
      <c r="D24" s="36">
        <v>100</v>
      </c>
      <c r="E24" s="17">
        <v>11.54</v>
      </c>
      <c r="F24" s="17">
        <f t="shared" si="3"/>
        <v>1154</v>
      </c>
      <c r="G24" s="17">
        <v>0.31</v>
      </c>
      <c r="H24" s="17">
        <v>0.05</v>
      </c>
      <c r="I24" s="17">
        <v>94.66</v>
      </c>
      <c r="J24" s="17">
        <f>SUM(F24:I24)</f>
        <v>1249.02</v>
      </c>
      <c r="K24" s="17"/>
      <c r="L24" s="17"/>
      <c r="M24" s="17"/>
      <c r="N24" s="17"/>
      <c r="O24" s="17"/>
      <c r="P24" s="17"/>
      <c r="Q24" s="17"/>
      <c r="R24" s="17">
        <f>R23+B24-J24-K24-L24+M24+N24+O24+P24</f>
        <v>-1132.77</v>
      </c>
      <c r="S24" s="2"/>
    </row>
    <row r="25" spans="1:23" x14ac:dyDescent="0.25">
      <c r="A25" s="26">
        <v>41515</v>
      </c>
      <c r="B25" s="17">
        <v>1100</v>
      </c>
      <c r="D25" s="3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>
        <f>R24+B25-J25-K25-L25+M25+N25+O25+P25</f>
        <v>-32.769999999999982</v>
      </c>
      <c r="S25" s="2"/>
    </row>
    <row r="26" spans="1:23" x14ac:dyDescent="0.25">
      <c r="A26" s="26">
        <v>41516</v>
      </c>
      <c r="B26" s="17"/>
      <c r="C26" s="7" t="s">
        <v>5</v>
      </c>
      <c r="D26" s="36"/>
      <c r="E26" s="17"/>
      <c r="F26" s="17"/>
      <c r="G26" s="17"/>
      <c r="H26" s="17"/>
      <c r="I26" s="17"/>
      <c r="J26" s="17"/>
      <c r="K26" s="17"/>
      <c r="L26" s="17"/>
      <c r="M26" s="17"/>
      <c r="N26" s="17">
        <v>153.96</v>
      </c>
      <c r="O26" s="17"/>
      <c r="P26" s="17">
        <v>1.71</v>
      </c>
      <c r="Q26" s="17">
        <v>0.5</v>
      </c>
      <c r="R26" s="17">
        <f>R25+B26-J26-K26-L26+M26+N26+O26+P26</f>
        <v>122.90000000000002</v>
      </c>
      <c r="S26" s="2"/>
    </row>
    <row r="27" spans="1:23" x14ac:dyDescent="0.25">
      <c r="A27" s="26">
        <v>41519</v>
      </c>
      <c r="B27" s="17"/>
      <c r="E27" s="17"/>
      <c r="F27" s="17"/>
      <c r="G27" s="17"/>
      <c r="H27" s="17"/>
      <c r="I27" s="17"/>
      <c r="J27" s="17"/>
      <c r="K27" s="17">
        <v>6.9</v>
      </c>
      <c r="L27" s="17"/>
      <c r="M27" s="17"/>
      <c r="N27" s="17"/>
      <c r="O27" s="17"/>
      <c r="P27" s="17"/>
      <c r="Q27" s="17"/>
      <c r="R27" s="17">
        <f t="shared" ref="R27:R90" si="4">R26+B27-J27-K27-L27+M27+N27+O27+P27</f>
        <v>116.00000000000001</v>
      </c>
      <c r="S27" s="2"/>
    </row>
    <row r="28" spans="1:23" x14ac:dyDescent="0.25">
      <c r="A28" s="26">
        <v>41521</v>
      </c>
      <c r="B28" s="17"/>
      <c r="C28" s="7" t="s">
        <v>13</v>
      </c>
      <c r="D28" s="36"/>
      <c r="E28" s="17"/>
      <c r="F28" s="17"/>
      <c r="G28" s="17"/>
      <c r="H28" s="17"/>
      <c r="I28" s="17"/>
      <c r="J28" s="17"/>
      <c r="K28" s="17"/>
      <c r="L28" s="17"/>
      <c r="M28" s="17"/>
      <c r="N28" s="17">
        <v>5.87</v>
      </c>
      <c r="O28" s="17"/>
      <c r="P28" s="17"/>
      <c r="Q28" s="17"/>
      <c r="R28" s="17">
        <f t="shared" si="4"/>
        <v>121.87000000000002</v>
      </c>
      <c r="S28" s="2"/>
    </row>
    <row r="29" spans="1:23" x14ac:dyDescent="0.25">
      <c r="A29" s="26">
        <v>41535</v>
      </c>
      <c r="B29" s="17"/>
      <c r="C29" s="7" t="s">
        <v>17</v>
      </c>
      <c r="D29" s="36">
        <v>100</v>
      </c>
      <c r="E29" s="17">
        <v>18.38</v>
      </c>
      <c r="F29" s="17">
        <f>D29*E29</f>
        <v>1838</v>
      </c>
      <c r="G29" s="17">
        <v>0.5</v>
      </c>
      <c r="H29" s="17">
        <v>0.09</v>
      </c>
      <c r="I29" s="17">
        <v>15.77</v>
      </c>
      <c r="J29" s="17">
        <f>SUM(F29:I29)</f>
        <v>1854.36</v>
      </c>
      <c r="K29" s="17"/>
      <c r="L29" s="17"/>
      <c r="M29" s="17"/>
      <c r="N29" s="17"/>
      <c r="O29" s="17"/>
      <c r="P29" s="17"/>
      <c r="Q29" s="17"/>
      <c r="R29" s="17">
        <f t="shared" si="4"/>
        <v>-1732.4899999999998</v>
      </c>
      <c r="S29" s="2"/>
    </row>
    <row r="30" spans="1:23" x14ac:dyDescent="0.25">
      <c r="A30" s="26">
        <v>41536</v>
      </c>
      <c r="B30" s="17">
        <v>1750</v>
      </c>
      <c r="D30" s="36"/>
      <c r="E30" s="17"/>
      <c r="F30" s="17"/>
      <c r="G30" s="17"/>
      <c r="H30" s="17"/>
      <c r="I30" s="17"/>
      <c r="J30" s="17"/>
      <c r="K30" s="17"/>
      <c r="L30" s="17"/>
      <c r="M30" s="17"/>
      <c r="R30" s="17">
        <f t="shared" si="4"/>
        <v>17.510000000000218</v>
      </c>
      <c r="S30" s="2"/>
    </row>
    <row r="31" spans="1:23" x14ac:dyDescent="0.25">
      <c r="A31" s="26">
        <v>41543</v>
      </c>
      <c r="B31" s="17"/>
      <c r="C31" s="7" t="s">
        <v>15</v>
      </c>
      <c r="D31" s="36">
        <v>200</v>
      </c>
      <c r="E31" s="41">
        <v>4.8600000000000003</v>
      </c>
      <c r="F31" s="17">
        <f>D31*E31</f>
        <v>972.00000000000011</v>
      </c>
      <c r="G31" s="41">
        <v>0.26</v>
      </c>
      <c r="H31" s="41">
        <v>0.04</v>
      </c>
      <c r="I31" s="41">
        <v>15.77</v>
      </c>
      <c r="J31" s="17">
        <f>SUM(F31:I31)</f>
        <v>988.07</v>
      </c>
      <c r="R31" s="17">
        <f t="shared" si="4"/>
        <v>-970.55999999999983</v>
      </c>
      <c r="S31" s="2"/>
      <c r="T31" s="20"/>
    </row>
    <row r="32" spans="1:23" x14ac:dyDescent="0.25">
      <c r="A32" s="26">
        <v>41544</v>
      </c>
      <c r="B32" s="17"/>
      <c r="R32" s="17">
        <f t="shared" si="4"/>
        <v>-970.55999999999983</v>
      </c>
      <c r="S32" s="2"/>
    </row>
    <row r="33" spans="1:24" x14ac:dyDescent="0.25">
      <c r="A33" s="26">
        <v>41547</v>
      </c>
      <c r="B33" s="17"/>
      <c r="C33" s="7" t="s">
        <v>5</v>
      </c>
      <c r="D33" s="3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>
        <v>53.34</v>
      </c>
      <c r="P33" s="17"/>
      <c r="Q33" s="17">
        <v>9.41</v>
      </c>
      <c r="R33" s="17">
        <f t="shared" si="4"/>
        <v>-917.2199999999998</v>
      </c>
      <c r="S33" s="2"/>
    </row>
    <row r="34" spans="1:24" x14ac:dyDescent="0.25">
      <c r="A34" s="26">
        <v>41549</v>
      </c>
      <c r="B34" s="17">
        <v>1000</v>
      </c>
      <c r="K34" s="41">
        <v>2.75</v>
      </c>
      <c r="R34" s="17">
        <f t="shared" si="4"/>
        <v>80.0300000000002</v>
      </c>
      <c r="S34" s="2"/>
      <c r="T34" s="2"/>
      <c r="X34" s="4"/>
    </row>
    <row r="35" spans="1:24" x14ac:dyDescent="0.25">
      <c r="A35" s="26">
        <v>41549</v>
      </c>
      <c r="B35" s="17"/>
      <c r="K35" s="41">
        <v>6.9</v>
      </c>
      <c r="R35" s="17">
        <f t="shared" si="4"/>
        <v>73.130000000000194</v>
      </c>
      <c r="S35" s="2"/>
      <c r="T35" s="2"/>
      <c r="X35" s="4"/>
    </row>
    <row r="36" spans="1:24" x14ac:dyDescent="0.25">
      <c r="A36" s="26">
        <v>41558</v>
      </c>
      <c r="B36" s="17"/>
      <c r="C36" s="7" t="s">
        <v>15</v>
      </c>
      <c r="D36" s="36"/>
      <c r="E36" s="42"/>
      <c r="N36" s="41">
        <v>152.43</v>
      </c>
      <c r="R36" s="17">
        <f t="shared" si="4"/>
        <v>225.5600000000002</v>
      </c>
      <c r="S36" s="2"/>
      <c r="T36" s="2"/>
      <c r="X36" s="4"/>
    </row>
    <row r="37" spans="1:24" x14ac:dyDescent="0.25">
      <c r="A37" s="26">
        <v>41572</v>
      </c>
      <c r="B37" s="17"/>
      <c r="C37" s="7" t="s">
        <v>12</v>
      </c>
      <c r="D37" s="36">
        <v>50</v>
      </c>
      <c r="E37" s="41">
        <v>7.3</v>
      </c>
      <c r="F37" s="17">
        <f>D37*E37</f>
        <v>365</v>
      </c>
      <c r="G37" s="41">
        <v>0.1</v>
      </c>
      <c r="H37" s="41">
        <v>0.01</v>
      </c>
      <c r="I37" s="41">
        <v>7.72</v>
      </c>
      <c r="J37" s="17">
        <f>SUM(F37:I37)</f>
        <v>372.83000000000004</v>
      </c>
      <c r="R37" s="17">
        <f t="shared" si="4"/>
        <v>-147.26999999999984</v>
      </c>
    </row>
    <row r="38" spans="1:24" x14ac:dyDescent="0.25">
      <c r="A38" s="26">
        <v>41575</v>
      </c>
      <c r="B38" s="17">
        <v>200</v>
      </c>
      <c r="D38" s="36"/>
      <c r="F38" s="17"/>
      <c r="J38" s="17"/>
      <c r="R38" s="17">
        <f t="shared" si="4"/>
        <v>52.73000000000016</v>
      </c>
    </row>
    <row r="39" spans="1:24" x14ac:dyDescent="0.25">
      <c r="A39" s="26">
        <v>41576</v>
      </c>
      <c r="B39" s="17">
        <v>2100</v>
      </c>
      <c r="C39" s="7" t="s">
        <v>28</v>
      </c>
      <c r="D39" s="36">
        <v>200</v>
      </c>
      <c r="E39" s="41">
        <v>10.26</v>
      </c>
      <c r="F39" s="17">
        <f>D39*E39</f>
        <v>2052</v>
      </c>
      <c r="G39" s="41">
        <v>0.56000000000000005</v>
      </c>
      <c r="H39" s="41">
        <v>0.1</v>
      </c>
      <c r="I39" s="41">
        <v>15.77</v>
      </c>
      <c r="J39" s="17">
        <f>SUM(F39:I39)</f>
        <v>2068.4299999999998</v>
      </c>
      <c r="R39" s="17">
        <f t="shared" si="4"/>
        <v>84.300000000000182</v>
      </c>
    </row>
    <row r="40" spans="1:24" x14ac:dyDescent="0.25">
      <c r="A40" s="26">
        <v>41579</v>
      </c>
      <c r="B40" s="17"/>
      <c r="D40" s="36"/>
      <c r="F40" s="17"/>
      <c r="J40" s="17"/>
      <c r="K40" s="41">
        <v>6.9</v>
      </c>
      <c r="R40" s="17">
        <f t="shared" si="4"/>
        <v>77.400000000000176</v>
      </c>
    </row>
    <row r="41" spans="1:24" x14ac:dyDescent="0.25">
      <c r="A41" s="26">
        <v>41591</v>
      </c>
      <c r="B41" s="17"/>
      <c r="C41" s="7" t="s">
        <v>13</v>
      </c>
      <c r="D41" s="36"/>
      <c r="F41" s="17"/>
      <c r="J41" s="17"/>
      <c r="N41" s="41">
        <v>1.52</v>
      </c>
      <c r="R41" s="17">
        <f t="shared" si="4"/>
        <v>78.920000000000172</v>
      </c>
    </row>
    <row r="42" spans="1:24" x14ac:dyDescent="0.25">
      <c r="A42" s="26">
        <v>41596</v>
      </c>
      <c r="B42" s="17"/>
      <c r="C42" s="7" t="s">
        <v>6</v>
      </c>
      <c r="D42" s="36"/>
      <c r="F42" s="17"/>
      <c r="J42" s="17"/>
      <c r="N42" s="41">
        <v>3.6</v>
      </c>
      <c r="R42" s="17">
        <f t="shared" si="4"/>
        <v>82.520000000000167</v>
      </c>
    </row>
    <row r="43" spans="1:24" x14ac:dyDescent="0.25">
      <c r="A43" s="26">
        <v>41599</v>
      </c>
      <c r="B43" s="17"/>
      <c r="C43" s="7" t="s">
        <v>15</v>
      </c>
      <c r="D43" s="36">
        <v>300</v>
      </c>
      <c r="E43" s="41">
        <v>3.68</v>
      </c>
      <c r="F43" s="17">
        <f>D43*E43</f>
        <v>1104</v>
      </c>
      <c r="G43" s="41">
        <v>0.3</v>
      </c>
      <c r="H43" s="41">
        <v>0.05</v>
      </c>
      <c r="I43" s="41">
        <v>15.77</v>
      </c>
      <c r="J43" s="17">
        <f>SUM(F43:I43)</f>
        <v>1120.1199999999999</v>
      </c>
      <c r="R43" s="17">
        <f t="shared" si="4"/>
        <v>-1037.5999999999997</v>
      </c>
    </row>
    <row r="44" spans="1:24" x14ac:dyDescent="0.25">
      <c r="A44" s="26">
        <v>41600</v>
      </c>
      <c r="B44" s="17">
        <v>1050</v>
      </c>
      <c r="D44" s="36"/>
      <c r="F44" s="17"/>
      <c r="J44" s="17"/>
      <c r="R44" s="17">
        <f t="shared" si="4"/>
        <v>12.400000000000318</v>
      </c>
    </row>
    <row r="45" spans="1:24" x14ac:dyDescent="0.25">
      <c r="A45" s="26">
        <v>41605</v>
      </c>
      <c r="B45" s="17"/>
      <c r="C45" s="7" t="s">
        <v>16</v>
      </c>
      <c r="D45" s="36"/>
      <c r="F45" s="17"/>
      <c r="J45" s="17"/>
      <c r="N45" s="41">
        <v>11.83</v>
      </c>
      <c r="R45" s="17">
        <f t="shared" si="4"/>
        <v>24.230000000000317</v>
      </c>
    </row>
    <row r="46" spans="1:24" x14ac:dyDescent="0.25">
      <c r="A46" s="26">
        <v>41607</v>
      </c>
      <c r="B46" s="17"/>
      <c r="C46" s="7" t="s">
        <v>5</v>
      </c>
      <c r="D46" s="36"/>
      <c r="F46" s="17"/>
      <c r="J46" s="17"/>
      <c r="N46" s="41">
        <v>13.32</v>
      </c>
      <c r="R46" s="17">
        <f t="shared" si="4"/>
        <v>37.550000000000317</v>
      </c>
    </row>
    <row r="47" spans="1:24" x14ac:dyDescent="0.25">
      <c r="A47" s="26">
        <v>41610</v>
      </c>
      <c r="B47" s="17"/>
      <c r="D47" s="36"/>
      <c r="E47" s="17"/>
      <c r="F47" s="17"/>
      <c r="G47" s="17"/>
      <c r="H47" s="17"/>
      <c r="I47" s="32"/>
      <c r="J47" s="32"/>
      <c r="K47" s="17">
        <v>6.9</v>
      </c>
      <c r="L47" s="17"/>
      <c r="M47" s="17"/>
      <c r="N47" s="17"/>
      <c r="O47" s="17"/>
      <c r="P47" s="17"/>
      <c r="Q47" s="17"/>
      <c r="R47" s="17">
        <f t="shared" si="4"/>
        <v>30.650000000000318</v>
      </c>
    </row>
    <row r="48" spans="1:24" x14ac:dyDescent="0.25">
      <c r="A48" s="26">
        <v>41610</v>
      </c>
      <c r="B48" s="17"/>
      <c r="C48" s="7" t="s">
        <v>29</v>
      </c>
      <c r="D48" s="36">
        <v>100</v>
      </c>
      <c r="E48" s="17">
        <v>16.649999999999999</v>
      </c>
      <c r="F48" s="17">
        <f>D48*E48</f>
        <v>1664.9999999999998</v>
      </c>
      <c r="G48" s="17">
        <v>0.45</v>
      </c>
      <c r="H48" s="17">
        <v>0.08</v>
      </c>
      <c r="I48" s="33">
        <v>15.77</v>
      </c>
      <c r="J48" s="17">
        <f>SUM(F48:I48)</f>
        <v>1681.2999999999997</v>
      </c>
      <c r="K48" s="17"/>
      <c r="L48" s="17"/>
      <c r="M48" s="17"/>
      <c r="N48" s="17"/>
      <c r="O48" s="17"/>
      <c r="P48" s="17"/>
      <c r="Q48" s="17"/>
      <c r="R48" s="17">
        <f t="shared" si="4"/>
        <v>-1650.6499999999994</v>
      </c>
    </row>
    <row r="49" spans="1:18" x14ac:dyDescent="0.25">
      <c r="A49" s="26">
        <v>41610</v>
      </c>
      <c r="B49" s="17">
        <v>1650</v>
      </c>
      <c r="D49" s="36"/>
      <c r="E49" s="17"/>
      <c r="F49" s="17"/>
      <c r="G49" s="17"/>
      <c r="H49" s="17"/>
      <c r="I49" s="32"/>
      <c r="J49" s="17"/>
      <c r="K49" s="17"/>
      <c r="L49" s="17"/>
      <c r="M49" s="17"/>
      <c r="N49" s="17"/>
      <c r="O49" s="17"/>
      <c r="P49" s="17"/>
      <c r="Q49" s="17"/>
      <c r="R49" s="17">
        <f t="shared" si="4"/>
        <v>-0.64999999999940883</v>
      </c>
    </row>
    <row r="50" spans="1:18" x14ac:dyDescent="0.25">
      <c r="A50" s="26">
        <v>41612</v>
      </c>
      <c r="B50" s="17"/>
      <c r="C50" s="7" t="s">
        <v>13</v>
      </c>
      <c r="D50" s="36"/>
      <c r="F50" s="17"/>
      <c r="J50" s="17"/>
      <c r="N50" s="41">
        <v>6.31</v>
      </c>
      <c r="R50" s="17">
        <f t="shared" si="4"/>
        <v>5.6600000000005908</v>
      </c>
    </row>
    <row r="51" spans="1:18" x14ac:dyDescent="0.25">
      <c r="A51" s="26">
        <v>41621</v>
      </c>
      <c r="B51" s="17"/>
      <c r="C51" s="7" t="s">
        <v>13</v>
      </c>
      <c r="D51" s="36">
        <v>-100</v>
      </c>
      <c r="E51" s="41">
        <v>9.9499999999999993</v>
      </c>
      <c r="F51" s="17">
        <f>(D51*E51)</f>
        <v>-994.99999999999989</v>
      </c>
      <c r="G51" s="17">
        <v>0.27</v>
      </c>
      <c r="H51" s="17">
        <v>0.04</v>
      </c>
      <c r="I51" s="33">
        <v>15.77</v>
      </c>
      <c r="J51" s="17">
        <f>SUM(F51:I51)</f>
        <v>-978.92</v>
      </c>
      <c r="R51" s="17">
        <f t="shared" si="4"/>
        <v>984.5800000000005</v>
      </c>
    </row>
    <row r="52" spans="1:18" x14ac:dyDescent="0.25">
      <c r="A52" s="26">
        <v>41627</v>
      </c>
      <c r="B52" s="17"/>
      <c r="C52" s="7" t="s">
        <v>17</v>
      </c>
      <c r="D52" s="36"/>
      <c r="F52" s="17"/>
      <c r="J52" s="17"/>
      <c r="O52" s="41">
        <v>47.09</v>
      </c>
      <c r="Q52" s="41">
        <v>8.31</v>
      </c>
      <c r="R52" s="17">
        <f>R51+B52-J52-K52-L52+M52+N52+O52+P52</f>
        <v>1031.6700000000005</v>
      </c>
    </row>
    <row r="53" spans="1:18" x14ac:dyDescent="0.25">
      <c r="A53" s="26">
        <v>41631</v>
      </c>
      <c r="B53" s="17"/>
      <c r="C53" s="7" t="s">
        <v>5</v>
      </c>
      <c r="D53" s="36">
        <v>50</v>
      </c>
      <c r="E53" s="41">
        <v>24.49</v>
      </c>
      <c r="F53" s="17">
        <f>D53*E53</f>
        <v>1224.5</v>
      </c>
      <c r="G53" s="41">
        <v>0.3</v>
      </c>
      <c r="H53" s="41">
        <v>0.09</v>
      </c>
      <c r="I53" s="41">
        <v>15.77</v>
      </c>
      <c r="J53" s="17">
        <f>SUM(F53:I53)</f>
        <v>1240.6599999999999</v>
      </c>
      <c r="R53" s="17">
        <f t="shared" si="4"/>
        <v>-208.98999999999933</v>
      </c>
    </row>
    <row r="54" spans="1:18" x14ac:dyDescent="0.25">
      <c r="A54" s="26">
        <v>41634</v>
      </c>
      <c r="B54" s="17"/>
      <c r="C54" s="7" t="s">
        <v>6</v>
      </c>
      <c r="D54" s="36"/>
      <c r="F54" s="17"/>
      <c r="J54" s="17"/>
      <c r="O54" s="41">
        <v>7.63</v>
      </c>
      <c r="Q54" s="41">
        <v>1.35</v>
      </c>
      <c r="R54" s="17">
        <f>R53+B54-J54-K54-L54+M54+N54+O54+P54</f>
        <v>-201.35999999999933</v>
      </c>
    </row>
    <row r="55" spans="1:18" x14ac:dyDescent="0.25">
      <c r="A55" s="26">
        <v>41635</v>
      </c>
      <c r="B55" s="17">
        <v>200</v>
      </c>
      <c r="D55" s="36"/>
      <c r="F55" s="17"/>
      <c r="J55" s="17"/>
      <c r="R55" s="17">
        <f t="shared" si="4"/>
        <v>-1.3599999999993315</v>
      </c>
    </row>
    <row r="56" spans="1:18" x14ac:dyDescent="0.25">
      <c r="A56" s="26">
        <v>41638</v>
      </c>
      <c r="B56" s="17"/>
      <c r="C56" s="7" t="s">
        <v>5</v>
      </c>
      <c r="D56" s="36"/>
      <c r="F56" s="17"/>
      <c r="J56" s="17"/>
      <c r="O56" s="41">
        <v>52.65</v>
      </c>
      <c r="Q56" s="41">
        <v>9.2899999999999991</v>
      </c>
      <c r="R56" s="17">
        <f t="shared" si="4"/>
        <v>51.290000000000667</v>
      </c>
    </row>
    <row r="57" spans="1:18" x14ac:dyDescent="0.25">
      <c r="A57" s="26">
        <v>41642</v>
      </c>
      <c r="B57" s="17"/>
      <c r="C57" s="7" t="s">
        <v>30</v>
      </c>
      <c r="D57" s="36">
        <v>30</v>
      </c>
      <c r="E57" s="17"/>
      <c r="F57" s="17"/>
      <c r="G57" s="17"/>
      <c r="H57" s="17"/>
      <c r="I57" s="32"/>
      <c r="J57" s="17">
        <f>SUM(F57:I57)</f>
        <v>0</v>
      </c>
      <c r="K57" s="17"/>
      <c r="L57" s="17"/>
      <c r="M57" s="17"/>
      <c r="N57" s="17"/>
      <c r="O57" s="17"/>
      <c r="P57" s="17"/>
      <c r="Q57" s="17"/>
      <c r="R57" s="17">
        <f t="shared" si="4"/>
        <v>51.290000000000667</v>
      </c>
    </row>
    <row r="58" spans="1:18" x14ac:dyDescent="0.25">
      <c r="A58" s="26">
        <v>41645</v>
      </c>
      <c r="B58" s="17"/>
      <c r="K58" s="41">
        <v>6.9</v>
      </c>
      <c r="R58" s="17">
        <f t="shared" si="4"/>
        <v>44.390000000000668</v>
      </c>
    </row>
    <row r="59" spans="1:18" x14ac:dyDescent="0.25">
      <c r="A59" s="26">
        <v>41646</v>
      </c>
      <c r="B59" s="17"/>
      <c r="C59" s="7" t="s">
        <v>28</v>
      </c>
      <c r="D59" s="36">
        <v>200</v>
      </c>
      <c r="E59" s="41">
        <v>8.75</v>
      </c>
      <c r="F59" s="17">
        <f>D59*E59</f>
        <v>1750</v>
      </c>
      <c r="G59" s="41">
        <v>0.48</v>
      </c>
      <c r="H59" s="41">
        <v>0.08</v>
      </c>
      <c r="I59" s="41">
        <v>15.77</v>
      </c>
      <c r="J59" s="17">
        <f>SUM(F59:I59)</f>
        <v>1766.33</v>
      </c>
      <c r="R59" s="17">
        <f t="shared" si="4"/>
        <v>-1721.9399999999991</v>
      </c>
    </row>
    <row r="60" spans="1:18" x14ac:dyDescent="0.25">
      <c r="A60" s="26">
        <v>41646</v>
      </c>
      <c r="B60" s="17">
        <v>1750</v>
      </c>
      <c r="D60" s="36"/>
      <c r="F60" s="17"/>
      <c r="J60" s="17"/>
      <c r="R60" s="17">
        <f t="shared" si="4"/>
        <v>28.060000000000855</v>
      </c>
    </row>
    <row r="61" spans="1:18" x14ac:dyDescent="0.25">
      <c r="A61" s="26">
        <v>41656</v>
      </c>
      <c r="B61" s="17"/>
      <c r="C61" s="7" t="s">
        <v>5</v>
      </c>
      <c r="D61" s="36">
        <v>50</v>
      </c>
      <c r="E61" s="41">
        <v>22.45</v>
      </c>
      <c r="F61" s="17">
        <f>D61*E61</f>
        <v>1122.5</v>
      </c>
      <c r="G61" s="41">
        <v>0.3</v>
      </c>
      <c r="H61" s="41">
        <v>0.05</v>
      </c>
      <c r="I61" s="41">
        <v>15.77</v>
      </c>
      <c r="J61" s="17">
        <f>SUM(F61:I61)</f>
        <v>1138.6199999999999</v>
      </c>
      <c r="R61" s="17">
        <f t="shared" si="4"/>
        <v>-1110.559999999999</v>
      </c>
    </row>
    <row r="62" spans="1:18" x14ac:dyDescent="0.25">
      <c r="A62" s="26">
        <v>41661</v>
      </c>
      <c r="B62" s="17">
        <v>1120</v>
      </c>
      <c r="D62" s="36"/>
      <c r="F62" s="17"/>
      <c r="J62" s="17"/>
      <c r="R62" s="17">
        <f t="shared" si="4"/>
        <v>9.4400000000009641</v>
      </c>
    </row>
    <row r="63" spans="1:18" x14ac:dyDescent="0.25">
      <c r="A63" s="26">
        <v>41674</v>
      </c>
      <c r="B63" s="17"/>
      <c r="D63" s="36"/>
      <c r="F63" s="17"/>
      <c r="J63" s="17"/>
      <c r="K63" s="41">
        <v>6.9</v>
      </c>
      <c r="R63" s="17">
        <f t="shared" si="4"/>
        <v>2.5400000000009637</v>
      </c>
    </row>
    <row r="64" spans="1:18" x14ac:dyDescent="0.25">
      <c r="A64" s="26">
        <v>41694</v>
      </c>
      <c r="B64" s="17"/>
      <c r="C64" s="7" t="s">
        <v>5</v>
      </c>
      <c r="D64" s="36"/>
      <c r="F64" s="17"/>
      <c r="G64" s="17"/>
      <c r="H64" s="17"/>
      <c r="I64" s="32"/>
      <c r="J64" s="17"/>
      <c r="N64" s="41">
        <v>39.51</v>
      </c>
      <c r="R64" s="17">
        <f t="shared" si="4"/>
        <v>42.050000000000963</v>
      </c>
    </row>
    <row r="65" spans="1:18" x14ac:dyDescent="0.25">
      <c r="A65" s="26">
        <v>41694</v>
      </c>
      <c r="B65" s="17"/>
      <c r="C65" s="7" t="s">
        <v>6</v>
      </c>
      <c r="D65" s="36">
        <v>-100</v>
      </c>
      <c r="E65" s="41">
        <v>14.8</v>
      </c>
      <c r="F65" s="17">
        <f>D65*E65</f>
        <v>-1480</v>
      </c>
      <c r="G65" s="17">
        <v>0.67</v>
      </c>
      <c r="H65" s="17">
        <v>0.12</v>
      </c>
      <c r="I65" s="33">
        <v>31.55</v>
      </c>
      <c r="J65" s="17">
        <f>SUM(F65:I65)</f>
        <v>-1447.66</v>
      </c>
      <c r="R65" s="17">
        <f t="shared" si="4"/>
        <v>1489.7100000000009</v>
      </c>
    </row>
    <row r="66" spans="1:18" x14ac:dyDescent="0.25">
      <c r="A66" s="26">
        <v>41694</v>
      </c>
      <c r="B66" s="17"/>
      <c r="C66" s="7" t="s">
        <v>5</v>
      </c>
      <c r="D66" s="36">
        <v>50</v>
      </c>
      <c r="E66" s="41">
        <v>19.809999999999999</v>
      </c>
      <c r="F66" s="17">
        <f>D66*E66</f>
        <v>990.49999999999989</v>
      </c>
      <c r="J66" s="17">
        <f>SUM(F66:I66)</f>
        <v>990.49999999999989</v>
      </c>
      <c r="R66" s="17">
        <f t="shared" si="4"/>
        <v>499.21000000000106</v>
      </c>
    </row>
    <row r="67" spans="1:18" x14ac:dyDescent="0.25">
      <c r="A67" s="26">
        <v>41696</v>
      </c>
      <c r="B67" s="17"/>
      <c r="C67" s="7" t="s">
        <v>5</v>
      </c>
      <c r="D67" s="36">
        <v>50</v>
      </c>
      <c r="E67" s="41">
        <v>19.47</v>
      </c>
      <c r="F67" s="17">
        <f>D67*E67</f>
        <v>973.5</v>
      </c>
      <c r="G67" s="41">
        <v>0.26</v>
      </c>
      <c r="H67" s="41">
        <v>0.04</v>
      </c>
      <c r="I67" s="41">
        <v>15.77</v>
      </c>
      <c r="J67" s="17">
        <f>SUM(F67:I67)</f>
        <v>989.56999999999994</v>
      </c>
      <c r="R67" s="17">
        <f t="shared" si="4"/>
        <v>-490.35999999999888</v>
      </c>
    </row>
    <row r="68" spans="1:18" x14ac:dyDescent="0.25">
      <c r="A68" s="26">
        <v>41697</v>
      </c>
      <c r="B68" s="17">
        <v>500</v>
      </c>
      <c r="D68" s="36"/>
      <c r="F68" s="17"/>
      <c r="J68" s="17"/>
      <c r="R68" s="17">
        <f t="shared" si="4"/>
        <v>9.6400000000011232</v>
      </c>
    </row>
    <row r="69" spans="1:18" x14ac:dyDescent="0.25">
      <c r="A69" s="26">
        <v>41703</v>
      </c>
      <c r="B69" s="17"/>
      <c r="K69" s="41">
        <v>6.9</v>
      </c>
      <c r="R69" s="17">
        <f t="shared" si="4"/>
        <v>2.7400000000011229</v>
      </c>
    </row>
    <row r="70" spans="1:18" x14ac:dyDescent="0.25">
      <c r="A70" s="26">
        <v>41719</v>
      </c>
      <c r="B70" s="17"/>
      <c r="C70" s="7" t="s">
        <v>5</v>
      </c>
      <c r="D70" s="36">
        <v>1</v>
      </c>
      <c r="E70" s="41">
        <v>20.61</v>
      </c>
      <c r="F70" s="17">
        <f>D70*E70</f>
        <v>20.61</v>
      </c>
      <c r="J70" s="17">
        <f>SUM(F70:I70)</f>
        <v>20.61</v>
      </c>
      <c r="R70" s="17">
        <f t="shared" si="4"/>
        <v>-17.869999999998875</v>
      </c>
    </row>
    <row r="71" spans="1:18" x14ac:dyDescent="0.25">
      <c r="A71" s="26">
        <v>41719</v>
      </c>
      <c r="B71" s="17"/>
      <c r="C71" s="7" t="s">
        <v>5</v>
      </c>
      <c r="D71" s="36">
        <v>48</v>
      </c>
      <c r="E71" s="41">
        <v>20.87</v>
      </c>
      <c r="F71" s="17">
        <f>D71*E71</f>
        <v>1001.76</v>
      </c>
      <c r="G71" s="17">
        <v>0.28000000000000003</v>
      </c>
      <c r="H71" s="17">
        <v>0.05</v>
      </c>
      <c r="I71" s="33">
        <v>15.77</v>
      </c>
      <c r="J71" s="17">
        <f>SUM(F71:I71)</f>
        <v>1017.8599999999999</v>
      </c>
      <c r="R71" s="17">
        <f t="shared" si="4"/>
        <v>-1035.7299999999989</v>
      </c>
    </row>
    <row r="72" spans="1:18" x14ac:dyDescent="0.25">
      <c r="A72" s="26">
        <v>41722</v>
      </c>
      <c r="B72" s="17">
        <v>1040</v>
      </c>
      <c r="D72" s="36"/>
      <c r="F72" s="17"/>
      <c r="J72" s="17"/>
      <c r="R72" s="17">
        <f t="shared" si="4"/>
        <v>4.2700000000011187</v>
      </c>
    </row>
    <row r="73" spans="1:18" x14ac:dyDescent="0.25">
      <c r="A73" s="26">
        <v>41729</v>
      </c>
      <c r="B73" s="17"/>
      <c r="C73" s="7" t="s">
        <v>5</v>
      </c>
      <c r="D73" s="36"/>
      <c r="F73" s="17"/>
      <c r="J73" s="17"/>
      <c r="N73" s="41">
        <v>106.99</v>
      </c>
      <c r="R73" s="17">
        <f t="shared" si="4"/>
        <v>111.26000000000111</v>
      </c>
    </row>
    <row r="74" spans="1:18" x14ac:dyDescent="0.25">
      <c r="A74" s="26">
        <v>41732</v>
      </c>
      <c r="B74" s="17"/>
      <c r="K74" s="41">
        <v>6.9</v>
      </c>
      <c r="R74" s="17">
        <f t="shared" si="4"/>
        <v>104.36000000000111</v>
      </c>
    </row>
    <row r="75" spans="1:18" x14ac:dyDescent="0.25">
      <c r="A75" s="26">
        <v>41737</v>
      </c>
      <c r="B75" s="17"/>
      <c r="C75" s="7" t="s">
        <v>5</v>
      </c>
      <c r="D75" s="36">
        <v>-49</v>
      </c>
      <c r="E75" s="41">
        <v>25.4</v>
      </c>
      <c r="F75" s="17">
        <f>D75*E75</f>
        <v>-1244.5999999999999</v>
      </c>
      <c r="G75" s="17">
        <v>0.34</v>
      </c>
      <c r="H75" s="17">
        <v>0.06</v>
      </c>
      <c r="I75" s="33">
        <v>15.77</v>
      </c>
      <c r="J75" s="17">
        <f>SUM(F75:I75)</f>
        <v>-1228.43</v>
      </c>
      <c r="R75" s="17">
        <f t="shared" si="4"/>
        <v>1332.7900000000011</v>
      </c>
    </row>
    <row r="76" spans="1:18" x14ac:dyDescent="0.25">
      <c r="A76" s="26">
        <v>41738</v>
      </c>
      <c r="B76" s="17"/>
      <c r="C76" s="7" t="s">
        <v>31</v>
      </c>
      <c r="D76" s="36">
        <v>200</v>
      </c>
      <c r="E76" s="41">
        <v>7.8</v>
      </c>
      <c r="F76" s="17">
        <f>D76*E76</f>
        <v>1560</v>
      </c>
      <c r="G76" s="41">
        <v>0.42</v>
      </c>
      <c r="H76" s="41">
        <v>7.0000000000000007E-2</v>
      </c>
      <c r="I76" s="41">
        <v>15.77</v>
      </c>
      <c r="J76" s="17">
        <f>SUM(F76:I76)</f>
        <v>1576.26</v>
      </c>
      <c r="R76" s="17">
        <f t="shared" si="4"/>
        <v>-243.46999999999889</v>
      </c>
    </row>
    <row r="77" spans="1:18" x14ac:dyDescent="0.25">
      <c r="A77" s="26">
        <v>41740</v>
      </c>
      <c r="B77" s="17"/>
      <c r="C77" s="7" t="s">
        <v>32</v>
      </c>
      <c r="D77" s="36">
        <v>100</v>
      </c>
      <c r="E77" s="41">
        <v>9.0399999999999991</v>
      </c>
      <c r="F77" s="17">
        <f>D77*E77</f>
        <v>903.99999999999989</v>
      </c>
      <c r="G77" s="41">
        <v>0.24</v>
      </c>
      <c r="H77" s="41">
        <v>0.04</v>
      </c>
      <c r="I77" s="41">
        <v>15.77</v>
      </c>
      <c r="J77" s="17">
        <f>SUM(F77:I77)</f>
        <v>920.04999999999984</v>
      </c>
      <c r="R77" s="17">
        <f t="shared" si="4"/>
        <v>-1163.5199999999986</v>
      </c>
    </row>
    <row r="78" spans="1:18" x14ac:dyDescent="0.25">
      <c r="A78" s="26">
        <v>41743</v>
      </c>
      <c r="B78" s="17">
        <v>300</v>
      </c>
      <c r="D78" s="36"/>
      <c r="F78" s="17"/>
      <c r="J78" s="17"/>
      <c r="R78" s="17">
        <f t="shared" si="4"/>
        <v>-863.51999999999862</v>
      </c>
    </row>
    <row r="79" spans="1:18" x14ac:dyDescent="0.25">
      <c r="A79" s="26">
        <v>41744</v>
      </c>
      <c r="B79" s="17">
        <v>870</v>
      </c>
      <c r="D79" s="36"/>
      <c r="F79" s="17"/>
      <c r="J79" s="17"/>
      <c r="R79" s="17">
        <f t="shared" si="4"/>
        <v>6.4800000000013824</v>
      </c>
    </row>
    <row r="80" spans="1:18" x14ac:dyDescent="0.25">
      <c r="A80" s="26">
        <v>41751</v>
      </c>
      <c r="B80" s="17"/>
      <c r="C80" s="7" t="s">
        <v>6</v>
      </c>
      <c r="D80" s="36"/>
      <c r="F80" s="17"/>
      <c r="J80" s="17"/>
      <c r="N80" s="41">
        <v>13.98</v>
      </c>
      <c r="R80" s="17">
        <f t="shared" si="4"/>
        <v>20.460000000001383</v>
      </c>
    </row>
    <row r="81" spans="1:20" x14ac:dyDescent="0.25">
      <c r="A81" s="26">
        <v>41754</v>
      </c>
      <c r="B81" s="17"/>
      <c r="C81" s="7" t="s">
        <v>29</v>
      </c>
      <c r="D81" s="36"/>
      <c r="F81" s="17"/>
      <c r="J81" s="17"/>
      <c r="N81" s="41">
        <v>45.62</v>
      </c>
      <c r="R81" s="17">
        <f t="shared" si="4"/>
        <v>66.080000000001377</v>
      </c>
    </row>
    <row r="82" spans="1:20" x14ac:dyDescent="0.25">
      <c r="A82" s="26">
        <v>41765</v>
      </c>
      <c r="B82" s="17"/>
      <c r="D82" s="36"/>
      <c r="F82" s="17"/>
      <c r="J82" s="17"/>
      <c r="K82" s="41">
        <v>6.9</v>
      </c>
      <c r="R82" s="17">
        <f t="shared" si="4"/>
        <v>59.180000000001378</v>
      </c>
    </row>
    <row r="83" spans="1:20" x14ac:dyDescent="0.25">
      <c r="A83" s="26">
        <v>41767</v>
      </c>
      <c r="B83" s="17"/>
      <c r="C83" s="7" t="s">
        <v>12</v>
      </c>
      <c r="D83" s="36">
        <v>-100</v>
      </c>
      <c r="E83" s="41">
        <v>7.61</v>
      </c>
      <c r="F83" s="17">
        <f>D83*E83</f>
        <v>-761</v>
      </c>
      <c r="G83" s="17">
        <v>0.2</v>
      </c>
      <c r="H83" s="17">
        <v>0.03</v>
      </c>
      <c r="I83" s="33">
        <v>15.77</v>
      </c>
      <c r="J83" s="17">
        <f>SUM(F83:I83)</f>
        <v>-745</v>
      </c>
      <c r="R83" s="17">
        <f t="shared" si="4"/>
        <v>804.18000000000143</v>
      </c>
    </row>
    <row r="84" spans="1:20" x14ac:dyDescent="0.25">
      <c r="A84" s="26">
        <v>41771</v>
      </c>
      <c r="B84" s="17"/>
      <c r="C84" s="7" t="s">
        <v>31</v>
      </c>
      <c r="D84" s="36"/>
      <c r="F84" s="17"/>
      <c r="J84" s="17"/>
      <c r="N84" s="41">
        <v>23.2</v>
      </c>
      <c r="R84" s="17">
        <f t="shared" si="4"/>
        <v>827.38000000000147</v>
      </c>
    </row>
    <row r="85" spans="1:20" x14ac:dyDescent="0.25">
      <c r="A85" s="26">
        <v>41786</v>
      </c>
      <c r="B85" s="17"/>
      <c r="C85" s="7" t="s">
        <v>28</v>
      </c>
      <c r="D85" s="36">
        <v>100</v>
      </c>
      <c r="E85" s="41">
        <v>8.8699999999999992</v>
      </c>
      <c r="F85" s="17">
        <f>D85*E85</f>
        <v>886.99999999999989</v>
      </c>
      <c r="G85" s="41">
        <v>0.24</v>
      </c>
      <c r="H85" s="41">
        <v>0.04</v>
      </c>
      <c r="I85" s="41">
        <v>15.77</v>
      </c>
      <c r="J85" s="17">
        <f>SUM(F85:I85)</f>
        <v>903.04999999999984</v>
      </c>
      <c r="R85" s="17">
        <f t="shared" si="4"/>
        <v>-75.669999999998367</v>
      </c>
    </row>
    <row r="86" spans="1:20" x14ac:dyDescent="0.25">
      <c r="A86" s="26">
        <v>41788</v>
      </c>
      <c r="B86" s="17"/>
      <c r="C86" s="7" t="s">
        <v>12</v>
      </c>
      <c r="D86" s="36"/>
      <c r="F86" s="17"/>
      <c r="J86" s="17"/>
      <c r="N86" s="41">
        <v>52.83</v>
      </c>
      <c r="R86" s="17">
        <f t="shared" si="4"/>
        <v>-22.839999999998369</v>
      </c>
    </row>
    <row r="87" spans="1:20" x14ac:dyDescent="0.25">
      <c r="A87" s="26">
        <v>41789</v>
      </c>
      <c r="B87" s="17"/>
      <c r="C87" s="7" t="s">
        <v>16</v>
      </c>
      <c r="D87" s="36"/>
      <c r="F87" s="17"/>
      <c r="J87" s="17"/>
      <c r="N87" s="41">
        <v>11.15</v>
      </c>
      <c r="R87" s="17">
        <f t="shared" si="4"/>
        <v>-11.689999999998369</v>
      </c>
    </row>
    <row r="88" spans="1:20" x14ac:dyDescent="0.25">
      <c r="A88" s="26">
        <v>41789</v>
      </c>
      <c r="B88" s="17"/>
      <c r="C88" s="7" t="s">
        <v>5</v>
      </c>
      <c r="D88" s="36"/>
      <c r="E88" s="17"/>
      <c r="F88" s="17"/>
      <c r="G88" s="17"/>
      <c r="H88" s="17"/>
      <c r="I88" s="17"/>
      <c r="J88" s="17"/>
      <c r="K88" s="17"/>
      <c r="L88" s="17"/>
      <c r="M88" s="17"/>
      <c r="N88" s="17">
        <v>32.479999999999997</v>
      </c>
      <c r="O88" s="17"/>
      <c r="P88" s="17"/>
      <c r="Q88" s="17"/>
      <c r="R88" s="17">
        <f t="shared" si="4"/>
        <v>20.790000000001626</v>
      </c>
      <c r="T88" s="5"/>
    </row>
    <row r="89" spans="1:20" x14ac:dyDescent="0.25">
      <c r="A89" s="26">
        <v>41792</v>
      </c>
      <c r="B89" s="17"/>
      <c r="D89" s="36"/>
      <c r="E89" s="17"/>
      <c r="F89" s="17"/>
      <c r="G89" s="17"/>
      <c r="H89" s="17"/>
      <c r="I89" s="17"/>
      <c r="J89" s="17"/>
      <c r="K89" s="17">
        <v>6.9</v>
      </c>
      <c r="L89" s="17"/>
      <c r="M89" s="17"/>
      <c r="N89" s="17"/>
      <c r="O89" s="17"/>
      <c r="P89" s="17"/>
      <c r="Q89" s="17"/>
      <c r="R89" s="17">
        <f t="shared" si="4"/>
        <v>13.890000000001626</v>
      </c>
      <c r="T89" s="5"/>
    </row>
    <row r="90" spans="1:20" x14ac:dyDescent="0.25">
      <c r="A90" s="26">
        <v>41817</v>
      </c>
      <c r="B90" s="17"/>
      <c r="C90" s="7" t="s">
        <v>16</v>
      </c>
      <c r="D90" s="36"/>
      <c r="E90" s="17"/>
      <c r="F90" s="17"/>
      <c r="G90" s="17"/>
      <c r="H90" s="17"/>
      <c r="I90" s="17"/>
      <c r="J90" s="17"/>
      <c r="K90" s="17"/>
      <c r="L90" s="17"/>
      <c r="M90" s="17"/>
      <c r="N90" s="17">
        <v>7.96</v>
      </c>
      <c r="O90" s="17"/>
      <c r="P90" s="17"/>
      <c r="Q90" s="17"/>
      <c r="R90" s="17">
        <f t="shared" si="4"/>
        <v>21.850000000001625</v>
      </c>
      <c r="T90" s="5"/>
    </row>
    <row r="91" spans="1:20" x14ac:dyDescent="0.25">
      <c r="A91" s="26">
        <v>41820</v>
      </c>
      <c r="B91" s="17"/>
      <c r="C91" s="7" t="s">
        <v>30</v>
      </c>
      <c r="D91" s="36"/>
      <c r="E91" s="17"/>
      <c r="F91" s="17"/>
      <c r="G91" s="17"/>
      <c r="H91" s="17"/>
      <c r="I91" s="17"/>
      <c r="J91" s="17"/>
      <c r="K91" s="17"/>
      <c r="L91" s="17"/>
      <c r="M91" s="17"/>
      <c r="N91" s="17">
        <v>26.76</v>
      </c>
      <c r="O91" s="17"/>
      <c r="P91" s="17"/>
      <c r="Q91" s="17"/>
      <c r="R91" s="17">
        <f t="shared" ref="R91:R142" si="5">R90+B91-J91-K91-L91+M91+N91+O91+P91</f>
        <v>48.610000000001627</v>
      </c>
      <c r="T91" s="5"/>
    </row>
    <row r="92" spans="1:20" x14ac:dyDescent="0.25">
      <c r="A92" s="26">
        <v>41820</v>
      </c>
      <c r="B92" s="17"/>
      <c r="C92" s="7" t="s">
        <v>17</v>
      </c>
      <c r="D92" s="36"/>
      <c r="E92" s="17"/>
      <c r="F92" s="17"/>
      <c r="G92" s="17"/>
      <c r="H92" s="17"/>
      <c r="I92" s="17"/>
      <c r="J92" s="17"/>
      <c r="K92" s="17"/>
      <c r="L92" s="17"/>
      <c r="M92" s="17"/>
      <c r="N92" s="17">
        <v>89.2</v>
      </c>
      <c r="O92" s="17"/>
      <c r="P92" s="17"/>
      <c r="Q92" s="17"/>
      <c r="R92" s="17">
        <f t="shared" si="5"/>
        <v>137.81000000000162</v>
      </c>
      <c r="T92" s="5"/>
    </row>
    <row r="93" spans="1:20" x14ac:dyDescent="0.25">
      <c r="A93" s="26">
        <v>41820</v>
      </c>
      <c r="B93" s="17"/>
      <c r="C93" s="7" t="s">
        <v>5</v>
      </c>
      <c r="D93" s="36"/>
      <c r="E93" s="17"/>
      <c r="F93" s="17"/>
      <c r="G93" s="17"/>
      <c r="H93" s="17"/>
      <c r="I93" s="17"/>
      <c r="J93" s="17"/>
      <c r="K93" s="17"/>
      <c r="L93" s="17"/>
      <c r="M93" s="17"/>
      <c r="N93" s="17">
        <v>109.17</v>
      </c>
      <c r="O93" s="17"/>
      <c r="P93" s="17"/>
      <c r="Q93" s="17"/>
      <c r="R93" s="17">
        <f t="shared" si="5"/>
        <v>246.98000000000161</v>
      </c>
      <c r="T93" s="5"/>
    </row>
    <row r="94" spans="1:20" x14ac:dyDescent="0.25">
      <c r="A94" s="26">
        <v>41820</v>
      </c>
      <c r="B94" s="17"/>
      <c r="C94" s="7" t="s">
        <v>30</v>
      </c>
      <c r="D94" s="36"/>
      <c r="E94" s="17"/>
      <c r="F94" s="17"/>
      <c r="G94" s="17"/>
      <c r="H94" s="17"/>
      <c r="I94" s="17"/>
      <c r="J94" s="17"/>
      <c r="K94" s="17"/>
      <c r="L94" s="17"/>
      <c r="M94" s="17"/>
      <c r="N94" s="17">
        <v>11.63</v>
      </c>
      <c r="O94" s="17"/>
      <c r="P94" s="17"/>
      <c r="Q94" s="17"/>
      <c r="R94" s="17">
        <f t="shared" si="5"/>
        <v>258.61000000000161</v>
      </c>
      <c r="T94" s="5"/>
    </row>
    <row r="95" spans="1:20" x14ac:dyDescent="0.25">
      <c r="A95" s="26">
        <v>41821</v>
      </c>
      <c r="B95" s="17"/>
      <c r="D95" s="36"/>
      <c r="E95" s="17"/>
      <c r="F95" s="17"/>
      <c r="G95" s="17"/>
      <c r="H95" s="17"/>
      <c r="I95" s="17"/>
      <c r="J95" s="17"/>
      <c r="K95" s="17">
        <v>6.9</v>
      </c>
      <c r="L95" s="17"/>
      <c r="M95" s="17"/>
      <c r="N95" s="17"/>
      <c r="O95" s="17"/>
      <c r="P95" s="17"/>
      <c r="Q95" s="17"/>
      <c r="R95" s="17">
        <f t="shared" si="5"/>
        <v>251.7100000000016</v>
      </c>
      <c r="T95" s="5"/>
    </row>
    <row r="96" spans="1:20" x14ac:dyDescent="0.25">
      <c r="A96" s="26">
        <v>41821</v>
      </c>
      <c r="B96" s="17"/>
      <c r="C96" s="7" t="s">
        <v>15</v>
      </c>
      <c r="D96" s="36">
        <v>100</v>
      </c>
      <c r="E96" s="41">
        <v>1.99</v>
      </c>
      <c r="F96" s="17">
        <f>D96*E96</f>
        <v>199</v>
      </c>
      <c r="G96" s="41">
        <v>0.05</v>
      </c>
      <c r="I96" s="41">
        <v>4.2</v>
      </c>
      <c r="J96" s="17">
        <f>SUM(F96:I96)</f>
        <v>203.25</v>
      </c>
      <c r="K96" s="17"/>
      <c r="L96" s="17"/>
      <c r="M96" s="17"/>
      <c r="N96" s="17"/>
      <c r="O96" s="17"/>
      <c r="P96" s="17"/>
      <c r="Q96" s="17"/>
      <c r="R96" s="17">
        <f t="shared" si="5"/>
        <v>48.4600000000016</v>
      </c>
      <c r="T96" s="5"/>
    </row>
    <row r="97" spans="1:20" x14ac:dyDescent="0.25">
      <c r="A97" s="26">
        <v>41828</v>
      </c>
      <c r="B97" s="17"/>
      <c r="C97" s="7" t="s">
        <v>17</v>
      </c>
      <c r="D97" s="36"/>
      <c r="E97" s="17"/>
      <c r="F97" s="17"/>
      <c r="G97" s="17"/>
      <c r="H97" s="17"/>
      <c r="I97" s="17"/>
      <c r="J97" s="17"/>
      <c r="K97" s="17"/>
      <c r="L97" s="17"/>
      <c r="M97" s="17"/>
      <c r="N97" s="17">
        <v>87.42</v>
      </c>
      <c r="O97" s="17"/>
      <c r="P97" s="17"/>
      <c r="Q97" s="17"/>
      <c r="R97" s="17">
        <f t="shared" si="5"/>
        <v>135.88000000000159</v>
      </c>
      <c r="T97" s="5"/>
    </row>
    <row r="98" spans="1:20" x14ac:dyDescent="0.25">
      <c r="A98" s="26">
        <v>41828</v>
      </c>
      <c r="B98" s="17"/>
      <c r="C98" s="7" t="s">
        <v>30</v>
      </c>
      <c r="D98" s="36"/>
      <c r="E98" s="17"/>
      <c r="F98" s="17"/>
      <c r="G98" s="17"/>
      <c r="H98" s="17"/>
      <c r="I98" s="17"/>
      <c r="J98" s="17"/>
      <c r="K98" s="17"/>
      <c r="L98" s="17"/>
      <c r="M98" s="17"/>
      <c r="N98" s="17">
        <v>26.22</v>
      </c>
      <c r="O98" s="17"/>
      <c r="P98" s="17"/>
      <c r="Q98" s="17"/>
      <c r="R98" s="17">
        <f t="shared" si="5"/>
        <v>162.10000000000159</v>
      </c>
      <c r="T98" s="5"/>
    </row>
    <row r="99" spans="1:20" x14ac:dyDescent="0.25">
      <c r="A99" s="26">
        <v>41830</v>
      </c>
      <c r="B99" s="17"/>
      <c r="C99" s="7" t="s">
        <v>15</v>
      </c>
      <c r="D99" s="36">
        <v>100</v>
      </c>
      <c r="E99" s="17">
        <v>1.65</v>
      </c>
      <c r="F99" s="17">
        <f>D99*E99</f>
        <v>165</v>
      </c>
      <c r="G99" s="17">
        <v>0.04</v>
      </c>
      <c r="H99" s="17"/>
      <c r="I99" s="17">
        <v>3.48</v>
      </c>
      <c r="J99" s="17">
        <f>SUM(F99:I99)</f>
        <v>168.51999999999998</v>
      </c>
      <c r="K99" s="17"/>
      <c r="L99" s="17"/>
      <c r="M99" s="17"/>
      <c r="N99" s="17"/>
      <c r="O99" s="17"/>
      <c r="P99" s="17"/>
      <c r="Q99" s="17"/>
      <c r="R99" s="17">
        <f t="shared" si="5"/>
        <v>-6.4199999999983959</v>
      </c>
      <c r="T99" s="5"/>
    </row>
    <row r="100" spans="1:20" x14ac:dyDescent="0.25">
      <c r="A100" s="26">
        <v>41831</v>
      </c>
      <c r="B100" s="17"/>
      <c r="C100" s="7" t="s">
        <v>30</v>
      </c>
      <c r="D100" s="36">
        <v>-30</v>
      </c>
      <c r="E100" s="17">
        <v>18.5</v>
      </c>
      <c r="F100" s="17">
        <f t="shared" ref="F100:F103" si="6">D100*E100</f>
        <v>-555</v>
      </c>
      <c r="G100" s="17"/>
      <c r="H100" s="17"/>
      <c r="I100" s="17"/>
      <c r="J100" s="17">
        <f>SUM(F100:I100)</f>
        <v>-555</v>
      </c>
      <c r="K100" s="17"/>
      <c r="L100" s="17"/>
      <c r="M100" s="17"/>
      <c r="N100" s="17"/>
      <c r="O100" s="17"/>
      <c r="P100" s="17"/>
      <c r="Q100" s="17"/>
      <c r="R100" s="17">
        <f t="shared" si="5"/>
        <v>548.58000000000163</v>
      </c>
      <c r="T100" s="5"/>
    </row>
    <row r="101" spans="1:20" x14ac:dyDescent="0.25">
      <c r="A101" s="26">
        <v>41838</v>
      </c>
      <c r="B101" s="17"/>
      <c r="C101" s="7" t="s">
        <v>32</v>
      </c>
      <c r="D101" s="36">
        <v>-100</v>
      </c>
      <c r="E101" s="17">
        <v>11.56</v>
      </c>
      <c r="F101" s="17">
        <f t="shared" si="6"/>
        <v>-1156</v>
      </c>
      <c r="G101" s="17">
        <v>0.2</v>
      </c>
      <c r="H101" s="17">
        <v>0.03</v>
      </c>
      <c r="I101" s="17">
        <v>15.77</v>
      </c>
      <c r="J101" s="17">
        <f>SUM(F101:I101)</f>
        <v>-1140</v>
      </c>
      <c r="K101" s="17"/>
      <c r="L101" s="17"/>
      <c r="M101" s="17"/>
      <c r="N101" s="17"/>
      <c r="O101" s="17"/>
      <c r="P101" s="17"/>
      <c r="Q101" s="17"/>
      <c r="R101" s="17">
        <f t="shared" si="5"/>
        <v>1688.5800000000017</v>
      </c>
      <c r="T101" s="5"/>
    </row>
    <row r="102" spans="1:20" x14ac:dyDescent="0.25">
      <c r="A102" s="26">
        <v>41838</v>
      </c>
      <c r="B102" s="17"/>
      <c r="C102" s="7" t="s">
        <v>29</v>
      </c>
      <c r="D102" s="36">
        <v>-100</v>
      </c>
      <c r="E102" s="17">
        <v>18.98</v>
      </c>
      <c r="F102" s="17">
        <f t="shared" si="6"/>
        <v>-1898</v>
      </c>
      <c r="G102" s="17">
        <v>0.2</v>
      </c>
      <c r="H102" s="17">
        <v>0.03</v>
      </c>
      <c r="I102" s="17">
        <v>15.77</v>
      </c>
      <c r="J102" s="17">
        <f>SUM(F102:I102)</f>
        <v>-1882</v>
      </c>
      <c r="K102" s="17"/>
      <c r="L102" s="17"/>
      <c r="M102" s="17"/>
      <c r="N102" s="17"/>
      <c r="O102" s="17"/>
      <c r="P102" s="17"/>
      <c r="Q102" s="17"/>
      <c r="R102" s="17">
        <f t="shared" si="5"/>
        <v>3570.5800000000017</v>
      </c>
      <c r="T102" s="5"/>
    </row>
    <row r="103" spans="1:20" x14ac:dyDescent="0.25">
      <c r="A103" s="26">
        <v>41849</v>
      </c>
      <c r="B103" s="17"/>
      <c r="C103" s="7" t="s">
        <v>5</v>
      </c>
      <c r="D103" s="36">
        <v>-400</v>
      </c>
      <c r="E103" s="17"/>
      <c r="F103" s="17">
        <f t="shared" si="6"/>
        <v>0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>
        <f t="shared" si="5"/>
        <v>3570.5800000000017</v>
      </c>
      <c r="T103" s="5"/>
    </row>
    <row r="104" spans="1:20" x14ac:dyDescent="0.25">
      <c r="A104" s="26">
        <v>41850</v>
      </c>
      <c r="B104" s="17">
        <v>-3561.68</v>
      </c>
      <c r="D104" s="36"/>
      <c r="E104" s="17"/>
      <c r="F104" s="17"/>
      <c r="G104" s="17"/>
      <c r="H104" s="17"/>
      <c r="I104" s="17"/>
      <c r="J104" s="17"/>
      <c r="K104" s="17"/>
      <c r="L104" s="17">
        <v>8.9</v>
      </c>
      <c r="M104" s="17"/>
      <c r="N104" s="17"/>
      <c r="O104" s="17"/>
      <c r="P104" s="17"/>
      <c r="Q104" s="17"/>
      <c r="R104" s="17">
        <f t="shared" si="5"/>
        <v>1.9095836023552692E-12</v>
      </c>
      <c r="T104" s="5"/>
    </row>
    <row r="105" spans="1:20" x14ac:dyDescent="0.25">
      <c r="A105" s="26">
        <v>41850</v>
      </c>
      <c r="B105" s="17"/>
      <c r="D105" s="36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>
        <f t="shared" si="5"/>
        <v>1.9095836023552692E-12</v>
      </c>
      <c r="T105" s="5"/>
    </row>
    <row r="106" spans="1:20" x14ac:dyDescent="0.25">
      <c r="A106" s="26">
        <v>41870</v>
      </c>
      <c r="B106" s="17"/>
      <c r="C106" s="7" t="s">
        <v>31</v>
      </c>
      <c r="D106" s="36">
        <v>-200</v>
      </c>
      <c r="E106" s="17">
        <v>9.0500000000000007</v>
      </c>
      <c r="F106" s="17">
        <f t="shared" ref="F106:F107" si="7">D106*E106</f>
        <v>-1810.0000000000002</v>
      </c>
      <c r="G106" s="17">
        <v>0.43</v>
      </c>
      <c r="H106" s="17">
        <v>0.95</v>
      </c>
      <c r="I106" s="33">
        <v>14.9</v>
      </c>
      <c r="J106" s="17">
        <f>SUM(F106:I106)</f>
        <v>-1793.72</v>
      </c>
      <c r="K106" s="17"/>
      <c r="L106" s="17"/>
      <c r="M106" s="17"/>
      <c r="N106" s="32"/>
      <c r="O106" s="32"/>
      <c r="P106" s="32"/>
      <c r="Q106" s="32"/>
      <c r="R106" s="17">
        <f t="shared" si="5"/>
        <v>1793.7200000000018</v>
      </c>
      <c r="T106" s="5"/>
    </row>
    <row r="107" spans="1:20" x14ac:dyDescent="0.25">
      <c r="A107" s="26">
        <v>41870</v>
      </c>
      <c r="B107" s="33"/>
      <c r="C107" s="68" t="s">
        <v>16</v>
      </c>
      <c r="D107" s="36">
        <v>-100</v>
      </c>
      <c r="E107" s="33">
        <v>13.29</v>
      </c>
      <c r="F107" s="33">
        <f t="shared" si="7"/>
        <v>-1329</v>
      </c>
      <c r="G107" s="33">
        <v>0.43</v>
      </c>
      <c r="H107" s="33">
        <v>0.95</v>
      </c>
      <c r="I107" s="33">
        <v>14.9</v>
      </c>
      <c r="J107" s="33">
        <f>SUM(F107:I107)</f>
        <v>-1312.7199999999998</v>
      </c>
      <c r="K107" s="33"/>
      <c r="L107" s="33"/>
      <c r="M107" s="33"/>
      <c r="N107" s="33"/>
      <c r="O107" s="33"/>
      <c r="P107" s="33"/>
      <c r="Q107" s="33"/>
      <c r="R107" s="17">
        <f t="shared" si="5"/>
        <v>3106.4400000000014</v>
      </c>
      <c r="T107" s="5"/>
    </row>
    <row r="108" spans="1:20" x14ac:dyDescent="0.25">
      <c r="A108" s="26">
        <v>41871</v>
      </c>
      <c r="B108" s="33"/>
      <c r="C108" s="68"/>
      <c r="D108" s="36"/>
      <c r="E108" s="33"/>
      <c r="F108" s="33"/>
      <c r="G108" s="33"/>
      <c r="H108" s="33"/>
      <c r="I108" s="33"/>
      <c r="J108" s="33"/>
      <c r="K108" s="33">
        <v>6.9</v>
      </c>
      <c r="L108" s="33"/>
      <c r="M108" s="33"/>
      <c r="N108" s="33"/>
      <c r="O108" s="33"/>
      <c r="P108" s="33"/>
      <c r="Q108" s="33"/>
      <c r="R108" s="17">
        <f t="shared" si="5"/>
        <v>3099.5400000000013</v>
      </c>
      <c r="T108" s="5"/>
    </row>
    <row r="109" spans="1:20" x14ac:dyDescent="0.25">
      <c r="A109" s="26">
        <v>41873</v>
      </c>
      <c r="B109" s="33">
        <v>-3090.64</v>
      </c>
      <c r="C109" s="68"/>
      <c r="D109" s="36"/>
      <c r="E109" s="33"/>
      <c r="F109" s="33"/>
      <c r="G109" s="33"/>
      <c r="H109" s="33"/>
      <c r="I109" s="33"/>
      <c r="J109" s="33"/>
      <c r="K109" s="33"/>
      <c r="L109" s="33">
        <v>8.9</v>
      </c>
      <c r="M109" s="33"/>
      <c r="N109" s="33"/>
      <c r="O109" s="33"/>
      <c r="P109" s="33"/>
      <c r="Q109" s="33"/>
      <c r="R109" s="17">
        <f t="shared" si="5"/>
        <v>1.4548362514688051E-12</v>
      </c>
      <c r="T109" s="5"/>
    </row>
    <row r="110" spans="1:20" x14ac:dyDescent="0.25">
      <c r="A110" s="26">
        <v>41880</v>
      </c>
      <c r="B110" s="33"/>
      <c r="C110" s="68" t="s">
        <v>16</v>
      </c>
      <c r="D110" s="36"/>
      <c r="E110" s="33"/>
      <c r="F110" s="33"/>
      <c r="G110" s="33"/>
      <c r="H110" s="33"/>
      <c r="I110" s="33"/>
      <c r="J110" s="33"/>
      <c r="K110" s="33"/>
      <c r="L110" s="33"/>
      <c r="M110" s="33"/>
      <c r="N110" s="33">
        <v>10.93</v>
      </c>
      <c r="O110" s="33"/>
      <c r="P110" s="33"/>
      <c r="Q110" s="33"/>
      <c r="R110" s="17">
        <f t="shared" si="5"/>
        <v>10.930000000001455</v>
      </c>
      <c r="T110" s="5"/>
    </row>
    <row r="111" spans="1:20" x14ac:dyDescent="0.25">
      <c r="A111" s="26">
        <v>41883</v>
      </c>
      <c r="B111" s="33"/>
      <c r="C111" s="68"/>
      <c r="D111" s="36"/>
      <c r="E111" s="33"/>
      <c r="F111" s="33"/>
      <c r="G111" s="33"/>
      <c r="H111" s="33"/>
      <c r="I111" s="33"/>
      <c r="J111" s="33"/>
      <c r="K111" s="33">
        <v>6.9</v>
      </c>
      <c r="L111" s="33"/>
      <c r="M111" s="33"/>
      <c r="N111" s="33"/>
      <c r="O111" s="33"/>
      <c r="P111" s="33"/>
      <c r="Q111" s="33"/>
      <c r="R111" s="17">
        <f t="shared" si="5"/>
        <v>4.0300000000014542</v>
      </c>
      <c r="T111" s="5"/>
    </row>
    <row r="112" spans="1:20" x14ac:dyDescent="0.25">
      <c r="A112" s="26">
        <v>41899</v>
      </c>
      <c r="B112" s="33"/>
      <c r="C112" s="7" t="s">
        <v>17</v>
      </c>
      <c r="D112" s="36">
        <v>100</v>
      </c>
      <c r="E112" s="33">
        <v>17.100000000000001</v>
      </c>
      <c r="F112" s="33">
        <f t="shared" ref="F112" si="8">D112*E112</f>
        <v>1710.0000000000002</v>
      </c>
      <c r="G112" s="33">
        <v>0.47</v>
      </c>
      <c r="H112" s="33">
        <v>0.08</v>
      </c>
      <c r="I112" s="33">
        <v>15.77</v>
      </c>
      <c r="J112" s="33">
        <f>SUM(F112:I112)</f>
        <v>1726.3200000000002</v>
      </c>
      <c r="K112" s="33"/>
      <c r="L112" s="33"/>
      <c r="M112" s="33"/>
      <c r="N112" s="33"/>
      <c r="O112" s="33"/>
      <c r="P112" s="33"/>
      <c r="Q112" s="33"/>
      <c r="R112" s="17">
        <f t="shared" si="5"/>
        <v>-1722.2899999999986</v>
      </c>
      <c r="T112" s="5"/>
    </row>
    <row r="113" spans="1:21" x14ac:dyDescent="0.25">
      <c r="A113" s="26">
        <v>41901</v>
      </c>
      <c r="B113" s="33">
        <v>1730</v>
      </c>
      <c r="C113" s="68"/>
      <c r="D113" s="36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17">
        <f t="shared" si="5"/>
        <v>7.7100000000014006</v>
      </c>
      <c r="T113" s="5"/>
    </row>
    <row r="114" spans="1:21" x14ac:dyDescent="0.25">
      <c r="A114" s="26">
        <v>41912</v>
      </c>
      <c r="B114" s="33"/>
      <c r="C114" s="68" t="s">
        <v>17</v>
      </c>
      <c r="D114" s="36"/>
      <c r="E114" s="33"/>
      <c r="F114" s="33"/>
      <c r="G114" s="33"/>
      <c r="H114" s="33"/>
      <c r="I114" s="33"/>
      <c r="J114" s="33"/>
      <c r="K114" s="33"/>
      <c r="L114" s="33"/>
      <c r="M114" s="33"/>
      <c r="N114" s="33">
        <v>48</v>
      </c>
      <c r="O114" s="33"/>
      <c r="P114" s="33"/>
      <c r="Q114" s="33"/>
      <c r="R114" s="17">
        <f t="shared" si="5"/>
        <v>55.710000000001401</v>
      </c>
      <c r="T114" s="5"/>
    </row>
    <row r="115" spans="1:21" x14ac:dyDescent="0.25">
      <c r="A115" s="26">
        <v>41912</v>
      </c>
      <c r="B115" s="33"/>
      <c r="C115" s="68" t="s">
        <v>30</v>
      </c>
      <c r="D115" s="36"/>
      <c r="E115" s="33"/>
      <c r="F115" s="33"/>
      <c r="G115" s="33"/>
      <c r="H115" s="33"/>
      <c r="I115" s="33"/>
      <c r="J115" s="33"/>
      <c r="K115" s="33"/>
      <c r="L115" s="33"/>
      <c r="M115" s="33"/>
      <c r="N115" s="33">
        <v>14.4</v>
      </c>
      <c r="O115" s="33"/>
      <c r="P115" s="33"/>
      <c r="Q115" s="33"/>
      <c r="R115" s="17">
        <f t="shared" si="5"/>
        <v>70.110000000001406</v>
      </c>
      <c r="T115" s="5"/>
    </row>
    <row r="116" spans="1:21" x14ac:dyDescent="0.25">
      <c r="A116" s="26">
        <v>41915</v>
      </c>
      <c r="B116" s="33"/>
      <c r="C116" s="68"/>
      <c r="D116" s="36"/>
      <c r="E116" s="33"/>
      <c r="F116" s="33"/>
      <c r="G116" s="33"/>
      <c r="H116" s="33"/>
      <c r="I116" s="33"/>
      <c r="J116" s="33"/>
      <c r="K116" s="33">
        <v>6.9</v>
      </c>
      <c r="L116" s="33"/>
      <c r="M116" s="33"/>
      <c r="N116" s="33"/>
      <c r="O116" s="33"/>
      <c r="P116" s="33"/>
      <c r="Q116" s="33"/>
      <c r="R116" s="17">
        <f t="shared" si="5"/>
        <v>63.210000000001408</v>
      </c>
      <c r="T116" s="5"/>
    </row>
    <row r="117" spans="1:21" x14ac:dyDescent="0.25">
      <c r="A117" s="26">
        <v>41915</v>
      </c>
      <c r="B117" s="33">
        <v>1430</v>
      </c>
      <c r="C117" s="68"/>
      <c r="D117" s="36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17">
        <f t="shared" si="5"/>
        <v>1493.2100000000014</v>
      </c>
      <c r="T117" s="5"/>
    </row>
    <row r="118" spans="1:21" x14ac:dyDescent="0.25">
      <c r="A118" s="26">
        <v>41915</v>
      </c>
      <c r="B118" s="33"/>
      <c r="C118" s="7" t="s">
        <v>17</v>
      </c>
      <c r="D118" s="36">
        <v>100</v>
      </c>
      <c r="E118" s="33">
        <v>14.67</v>
      </c>
      <c r="F118" s="33">
        <f t="shared" ref="F118" si="9">D118*E118</f>
        <v>1467</v>
      </c>
      <c r="G118" s="33">
        <v>0.4</v>
      </c>
      <c r="H118" s="33">
        <v>7.0000000000000007E-2</v>
      </c>
      <c r="I118" s="33">
        <v>15.77</v>
      </c>
      <c r="J118" s="33">
        <f>SUM(F118:I118)</f>
        <v>1483.24</v>
      </c>
      <c r="K118" s="33"/>
      <c r="L118" s="33"/>
      <c r="M118" s="33"/>
      <c r="N118" s="33"/>
      <c r="O118" s="33"/>
      <c r="P118" s="33"/>
      <c r="Q118" s="33"/>
      <c r="R118" s="17">
        <f t="shared" si="5"/>
        <v>9.9700000000013915</v>
      </c>
      <c r="T118" s="5"/>
    </row>
    <row r="119" spans="1:21" x14ac:dyDescent="0.25">
      <c r="A119" s="26">
        <v>41929</v>
      </c>
      <c r="B119" s="33"/>
      <c r="C119" s="7" t="s">
        <v>35</v>
      </c>
      <c r="D119" s="36">
        <v>300</v>
      </c>
      <c r="E119" s="33">
        <v>3.62</v>
      </c>
      <c r="F119" s="33">
        <f t="shared" ref="F119" si="10">D119*E119</f>
        <v>1086</v>
      </c>
      <c r="G119" s="33">
        <v>0.28999999999999998</v>
      </c>
      <c r="H119" s="33">
        <v>0.05</v>
      </c>
      <c r="I119" s="33">
        <v>15.77</v>
      </c>
      <c r="J119" s="33">
        <f>SUM(F119:I119)</f>
        <v>1102.1099999999999</v>
      </c>
      <c r="K119" s="33"/>
      <c r="L119" s="33"/>
      <c r="M119" s="33"/>
      <c r="N119" s="33"/>
      <c r="O119" s="33"/>
      <c r="P119" s="33"/>
      <c r="Q119" s="33"/>
      <c r="R119" s="17">
        <f t="shared" si="5"/>
        <v>-1092.1399999999985</v>
      </c>
      <c r="T119" s="5"/>
    </row>
    <row r="120" spans="1:21" x14ac:dyDescent="0.25">
      <c r="A120" s="26">
        <v>41932</v>
      </c>
      <c r="B120" s="33">
        <v>1100</v>
      </c>
      <c r="D120" s="36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17">
        <f t="shared" si="5"/>
        <v>7.8600000000014916</v>
      </c>
      <c r="T120" s="5"/>
    </row>
    <row r="121" spans="1:21" x14ac:dyDescent="0.25">
      <c r="A121" s="26">
        <v>41936</v>
      </c>
      <c r="B121" s="33"/>
      <c r="C121" s="7" t="s">
        <v>17</v>
      </c>
      <c r="D121" s="36">
        <v>100</v>
      </c>
      <c r="E121" s="33">
        <v>14.51</v>
      </c>
      <c r="F121" s="33">
        <f t="shared" ref="F121" si="11">D121*E121</f>
        <v>1451</v>
      </c>
      <c r="G121" s="33">
        <v>0.39</v>
      </c>
      <c r="H121" s="33">
        <v>7.0000000000000007E-2</v>
      </c>
      <c r="I121" s="33">
        <v>15.77</v>
      </c>
      <c r="J121" s="33">
        <f>SUM(F121:I121)</f>
        <v>1467.23</v>
      </c>
      <c r="K121" s="33"/>
      <c r="L121" s="33"/>
      <c r="M121" s="33"/>
      <c r="N121" s="33"/>
      <c r="O121" s="33"/>
      <c r="P121" s="33"/>
      <c r="Q121" s="33"/>
      <c r="R121" s="17">
        <f>R120+B121-J121-K121-L121+M121+N121+O121+P121</f>
        <v>-1459.3699999999985</v>
      </c>
      <c r="T121" s="5"/>
    </row>
    <row r="122" spans="1:21" x14ac:dyDescent="0.25">
      <c r="A122" s="26">
        <v>41940</v>
      </c>
      <c r="B122" s="33">
        <v>1470</v>
      </c>
      <c r="D122" s="36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17">
        <f t="shared" si="5"/>
        <v>10.630000000001473</v>
      </c>
      <c r="T122" s="5"/>
    </row>
    <row r="123" spans="1:21" x14ac:dyDescent="0.25">
      <c r="A123" s="26">
        <v>41943</v>
      </c>
      <c r="B123" s="33"/>
      <c r="D123" s="36"/>
      <c r="E123" s="33"/>
      <c r="F123" s="33"/>
      <c r="G123" s="33"/>
      <c r="H123" s="33"/>
      <c r="I123" s="33"/>
      <c r="J123" s="33"/>
      <c r="K123" s="33">
        <v>6.9</v>
      </c>
      <c r="L123" s="33"/>
      <c r="M123" s="33"/>
      <c r="N123" s="33"/>
      <c r="O123" s="33"/>
      <c r="P123" s="33"/>
      <c r="Q123" s="33"/>
      <c r="R123" s="17">
        <f t="shared" si="5"/>
        <v>3.730000000001473</v>
      </c>
      <c r="T123" s="5"/>
    </row>
    <row r="124" spans="1:21" x14ac:dyDescent="0.25">
      <c r="A124" s="26">
        <v>41967</v>
      </c>
      <c r="B124" s="33"/>
      <c r="C124" s="7" t="s">
        <v>28</v>
      </c>
      <c r="D124" s="36"/>
      <c r="E124" s="33"/>
      <c r="F124" s="33"/>
      <c r="G124" s="33"/>
      <c r="H124" s="33"/>
      <c r="I124" s="33"/>
      <c r="J124" s="33"/>
      <c r="K124" s="33"/>
      <c r="L124" s="33"/>
      <c r="M124" s="33"/>
      <c r="N124" s="33">
        <v>171.14</v>
      </c>
      <c r="O124" s="33"/>
      <c r="P124" s="33"/>
      <c r="Q124" s="33"/>
      <c r="R124" s="17">
        <f t="shared" si="5"/>
        <v>174.87000000000145</v>
      </c>
      <c r="T124" s="5"/>
    </row>
    <row r="125" spans="1:21" x14ac:dyDescent="0.25">
      <c r="A125" s="26">
        <v>41969</v>
      </c>
      <c r="B125" s="33"/>
      <c r="C125" s="7" t="s">
        <v>35</v>
      </c>
      <c r="D125" s="36"/>
      <c r="E125" s="33"/>
      <c r="F125" s="33"/>
      <c r="G125" s="33"/>
      <c r="H125" s="33"/>
      <c r="I125" s="33"/>
      <c r="J125" s="33"/>
      <c r="K125" s="33"/>
      <c r="L125" s="33"/>
      <c r="M125" s="33"/>
      <c r="N125" s="33">
        <v>19.95</v>
      </c>
      <c r="O125" s="33">
        <v>8.5500000000000007</v>
      </c>
      <c r="P125" s="33"/>
      <c r="Q125" s="33"/>
      <c r="R125" s="17">
        <f t="shared" si="5"/>
        <v>203.37000000000145</v>
      </c>
      <c r="T125" s="5"/>
      <c r="U125" s="20"/>
    </row>
    <row r="126" spans="1:21" x14ac:dyDescent="0.25">
      <c r="A126" s="26">
        <v>41970</v>
      </c>
      <c r="B126" s="33"/>
      <c r="C126" s="7" t="s">
        <v>35</v>
      </c>
      <c r="D126" s="36">
        <v>300</v>
      </c>
      <c r="E126" s="33">
        <v>3.38</v>
      </c>
      <c r="F126" s="33">
        <f t="shared" ref="F126" si="12">D126*E126</f>
        <v>1014</v>
      </c>
      <c r="G126" s="33">
        <v>0.27</v>
      </c>
      <c r="H126" s="33">
        <v>0.04</v>
      </c>
      <c r="I126" s="33">
        <v>15.77</v>
      </c>
      <c r="J126" s="33">
        <f>SUM(F126:I126)</f>
        <v>1030.08</v>
      </c>
      <c r="K126" s="33"/>
      <c r="L126" s="33"/>
      <c r="M126" s="33"/>
      <c r="N126" s="33"/>
      <c r="O126" s="33"/>
      <c r="P126" s="33"/>
      <c r="Q126" s="33"/>
      <c r="R126" s="17">
        <f t="shared" si="5"/>
        <v>-826.70999999999844</v>
      </c>
      <c r="T126" s="5"/>
    </row>
    <row r="127" spans="1:21" x14ac:dyDescent="0.25">
      <c r="A127" s="26">
        <v>41974</v>
      </c>
      <c r="B127" s="33">
        <v>850</v>
      </c>
      <c r="D127" s="36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17">
        <f t="shared" si="5"/>
        <v>23.290000000001555</v>
      </c>
      <c r="T127" s="5"/>
    </row>
    <row r="128" spans="1:21" x14ac:dyDescent="0.25">
      <c r="A128" s="26">
        <v>41975</v>
      </c>
      <c r="B128" s="33"/>
      <c r="D128" s="36"/>
      <c r="E128" s="33"/>
      <c r="F128" s="33"/>
      <c r="G128" s="33"/>
      <c r="H128" s="33"/>
      <c r="I128" s="33"/>
      <c r="J128" s="33"/>
      <c r="K128" s="33">
        <v>6.9</v>
      </c>
      <c r="L128" s="33"/>
      <c r="M128" s="33"/>
      <c r="N128" s="33"/>
      <c r="O128" s="33"/>
      <c r="P128" s="33"/>
      <c r="Q128" s="33"/>
      <c r="R128" s="17">
        <f t="shared" si="5"/>
        <v>16.390000000001557</v>
      </c>
      <c r="T128" s="5"/>
    </row>
    <row r="129" spans="1:20" x14ac:dyDescent="0.25">
      <c r="A129" s="26">
        <v>41989</v>
      </c>
      <c r="B129" s="33"/>
      <c r="C129" s="7" t="s">
        <v>5</v>
      </c>
      <c r="D129" s="36">
        <v>100</v>
      </c>
      <c r="E129" s="33">
        <v>21.58</v>
      </c>
      <c r="F129" s="33">
        <f t="shared" ref="F129" si="13">D129*E129</f>
        <v>2158</v>
      </c>
      <c r="G129" s="33">
        <v>0.59</v>
      </c>
      <c r="H129" s="33">
        <v>0.1</v>
      </c>
      <c r="I129" s="33">
        <v>15.77</v>
      </c>
      <c r="J129" s="33">
        <f>SUM(F129:I129)</f>
        <v>2174.46</v>
      </c>
      <c r="K129" s="33"/>
      <c r="L129" s="33"/>
      <c r="M129" s="33"/>
      <c r="N129" s="33"/>
      <c r="O129" s="33"/>
      <c r="P129" s="33"/>
      <c r="Q129" s="33"/>
      <c r="R129" s="17">
        <f t="shared" ref="R129" si="14">R128+B129-J129-K129-L129+M129+N129+O129+P129</f>
        <v>-2158.0699999999983</v>
      </c>
      <c r="T129" s="5"/>
    </row>
    <row r="130" spans="1:20" x14ac:dyDescent="0.25">
      <c r="A130" s="26">
        <v>41991</v>
      </c>
      <c r="B130" s="33"/>
      <c r="C130" s="7" t="s">
        <v>17</v>
      </c>
      <c r="D130" s="36"/>
      <c r="E130" s="33"/>
      <c r="F130" s="33"/>
      <c r="G130" s="33"/>
      <c r="H130" s="33"/>
      <c r="I130" s="33"/>
      <c r="J130" s="33"/>
      <c r="K130" s="33"/>
      <c r="L130" s="33"/>
      <c r="M130" s="33"/>
      <c r="N130" s="33">
        <v>349.68</v>
      </c>
      <c r="O130" s="33"/>
      <c r="P130" s="33"/>
      <c r="Q130" s="33"/>
      <c r="R130" s="17">
        <f t="shared" si="5"/>
        <v>-1808.3899999999983</v>
      </c>
      <c r="T130" s="5"/>
    </row>
    <row r="131" spans="1:20" x14ac:dyDescent="0.25">
      <c r="A131" s="26">
        <v>41991</v>
      </c>
      <c r="B131" s="33">
        <v>1850</v>
      </c>
      <c r="D131" s="36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17">
        <f t="shared" si="5"/>
        <v>41.610000000001719</v>
      </c>
      <c r="T131" s="5"/>
    </row>
    <row r="132" spans="1:20" x14ac:dyDescent="0.25">
      <c r="A132" s="26">
        <v>42005</v>
      </c>
      <c r="B132" s="33"/>
      <c r="D132" s="36"/>
      <c r="E132" s="33"/>
      <c r="F132" s="33"/>
      <c r="G132" s="33"/>
      <c r="H132" s="33"/>
      <c r="I132" s="33"/>
      <c r="J132" s="33"/>
      <c r="K132" s="33">
        <v>6.9</v>
      </c>
      <c r="L132" s="33"/>
      <c r="M132" s="33"/>
      <c r="N132" s="33"/>
      <c r="O132" s="33"/>
      <c r="P132" s="33"/>
      <c r="Q132" s="33"/>
      <c r="R132" s="17">
        <f t="shared" si="5"/>
        <v>34.71000000000172</v>
      </c>
      <c r="T132" s="5"/>
    </row>
    <row r="133" spans="1:20" x14ac:dyDescent="0.25">
      <c r="A133" s="26">
        <v>42010</v>
      </c>
      <c r="B133" s="33"/>
      <c r="C133" s="7" t="s">
        <v>15</v>
      </c>
      <c r="D133" s="36">
        <v>-100</v>
      </c>
      <c r="E133" s="33">
        <v>7.38</v>
      </c>
      <c r="F133" s="33">
        <f t="shared" ref="F133" si="15">D133*E133</f>
        <v>-738</v>
      </c>
      <c r="G133" s="33">
        <v>0.2</v>
      </c>
      <c r="H133" s="33">
        <v>0.03</v>
      </c>
      <c r="I133" s="33">
        <v>15.77</v>
      </c>
      <c r="J133" s="33">
        <f>SUM(F133:I133)</f>
        <v>-722</v>
      </c>
      <c r="K133" s="33"/>
      <c r="L133" s="33"/>
      <c r="M133" s="33"/>
      <c r="N133" s="33"/>
      <c r="O133" s="33"/>
      <c r="P133" s="33"/>
      <c r="Q133" s="33"/>
      <c r="R133" s="17">
        <f t="shared" si="5"/>
        <v>756.71000000000174</v>
      </c>
      <c r="T133" s="5"/>
    </row>
    <row r="134" spans="1:20" x14ac:dyDescent="0.25">
      <c r="A134" s="26">
        <v>42012</v>
      </c>
      <c r="B134" s="33"/>
      <c r="C134" s="7" t="s">
        <v>30</v>
      </c>
      <c r="D134" s="36">
        <v>200</v>
      </c>
      <c r="E134" s="33">
        <v>11.86</v>
      </c>
      <c r="F134" s="33">
        <f t="shared" ref="F134" si="16">D134*E134</f>
        <v>2372</v>
      </c>
      <c r="G134" s="33">
        <v>0.65</v>
      </c>
      <c r="H134" s="33">
        <v>0.11</v>
      </c>
      <c r="I134" s="33">
        <v>15.77</v>
      </c>
      <c r="J134" s="33">
        <f>SUM(F134:I134)</f>
        <v>2388.5300000000002</v>
      </c>
      <c r="K134" s="33"/>
      <c r="L134" s="33"/>
      <c r="M134" s="33"/>
      <c r="N134" s="33"/>
      <c r="O134" s="33"/>
      <c r="P134" s="33"/>
      <c r="Q134" s="33"/>
      <c r="R134" s="17">
        <f t="shared" si="5"/>
        <v>-1631.8199999999983</v>
      </c>
      <c r="T134" s="5"/>
    </row>
    <row r="135" spans="1:20" x14ac:dyDescent="0.25">
      <c r="A135" s="26">
        <v>42016</v>
      </c>
      <c r="B135" s="33">
        <v>1650</v>
      </c>
      <c r="D135" s="36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17">
        <f t="shared" si="5"/>
        <v>18.180000000001655</v>
      </c>
      <c r="T135" s="5"/>
    </row>
    <row r="136" spans="1:20" x14ac:dyDescent="0.25">
      <c r="A136" s="26">
        <v>42033</v>
      </c>
      <c r="B136" s="33"/>
      <c r="C136" s="7" t="s">
        <v>5</v>
      </c>
      <c r="D136" s="36">
        <v>100</v>
      </c>
      <c r="E136" s="33">
        <v>20.91</v>
      </c>
      <c r="F136" s="33">
        <f t="shared" ref="F136" si="17">D136*E136</f>
        <v>2091</v>
      </c>
      <c r="G136" s="33">
        <v>0.56999999999999995</v>
      </c>
      <c r="H136" s="33">
        <v>0.1</v>
      </c>
      <c r="I136" s="33">
        <v>15.77</v>
      </c>
      <c r="J136" s="33">
        <f>SUM(F136:I136)</f>
        <v>2107.44</v>
      </c>
      <c r="K136" s="33"/>
      <c r="L136" s="33"/>
      <c r="M136" s="33"/>
      <c r="N136" s="33"/>
      <c r="O136" s="33"/>
      <c r="P136" s="33"/>
      <c r="Q136" s="33"/>
      <c r="R136" s="17">
        <f t="shared" si="5"/>
        <v>-2089.2599999999984</v>
      </c>
      <c r="T136" s="5"/>
    </row>
    <row r="137" spans="1:20" x14ac:dyDescent="0.25">
      <c r="A137" s="26">
        <v>42037</v>
      </c>
      <c r="B137" s="33">
        <v>2100</v>
      </c>
      <c r="D137" s="36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17">
        <f t="shared" si="5"/>
        <v>10.740000000001601</v>
      </c>
      <c r="T137" s="5"/>
    </row>
    <row r="138" spans="1:20" x14ac:dyDescent="0.25">
      <c r="A138" s="26">
        <v>42040</v>
      </c>
      <c r="B138" s="33"/>
      <c r="C138" s="7" t="s">
        <v>29</v>
      </c>
      <c r="D138" s="36">
        <v>200</v>
      </c>
      <c r="E138" s="33">
        <v>8.94</v>
      </c>
      <c r="F138" s="33">
        <f t="shared" ref="F138" si="18">D138*E138</f>
        <v>1788</v>
      </c>
      <c r="G138" s="33">
        <v>0.49</v>
      </c>
      <c r="H138" s="33">
        <v>0.08</v>
      </c>
      <c r="I138" s="33">
        <v>15.77</v>
      </c>
      <c r="J138" s="33">
        <f>SUM(F138:I138)</f>
        <v>1804.34</v>
      </c>
      <c r="K138" s="33"/>
      <c r="L138" s="33"/>
      <c r="M138" s="33"/>
      <c r="N138" s="33"/>
      <c r="O138" s="33"/>
      <c r="P138" s="33"/>
      <c r="Q138" s="33"/>
      <c r="R138" s="17">
        <f t="shared" si="5"/>
        <v>-1793.5999999999983</v>
      </c>
      <c r="T138" s="5"/>
    </row>
    <row r="139" spans="1:20" x14ac:dyDescent="0.25">
      <c r="A139" s="26">
        <v>42040</v>
      </c>
      <c r="B139" s="33"/>
      <c r="D139" s="36"/>
      <c r="E139" s="33"/>
      <c r="F139" s="33"/>
      <c r="G139" s="33"/>
      <c r="H139" s="33"/>
      <c r="I139" s="33"/>
      <c r="J139" s="33"/>
      <c r="K139" s="33">
        <v>6.9</v>
      </c>
      <c r="L139" s="33"/>
      <c r="M139" s="33"/>
      <c r="N139" s="33"/>
      <c r="O139" s="33"/>
      <c r="P139" s="33"/>
      <c r="Q139" s="33"/>
      <c r="R139" s="17">
        <f t="shared" si="5"/>
        <v>-1800.4999999999984</v>
      </c>
      <c r="T139" s="5"/>
    </row>
    <row r="140" spans="1:20" x14ac:dyDescent="0.25">
      <c r="A140" s="26">
        <v>42044</v>
      </c>
      <c r="B140" s="33">
        <v>1810</v>
      </c>
      <c r="D140" s="36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17">
        <f t="shared" si="5"/>
        <v>9.5000000000015916</v>
      </c>
      <c r="T140" s="5"/>
    </row>
    <row r="141" spans="1:20" x14ac:dyDescent="0.25">
      <c r="A141" s="26">
        <v>42046</v>
      </c>
      <c r="B141" s="33">
        <v>3110</v>
      </c>
      <c r="D141" s="36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17">
        <f t="shared" si="5"/>
        <v>3119.5000000000018</v>
      </c>
      <c r="T141" s="5"/>
    </row>
    <row r="142" spans="1:20" x14ac:dyDescent="0.25">
      <c r="A142" s="26">
        <v>42046</v>
      </c>
      <c r="B142" s="33"/>
      <c r="C142" s="7" t="s">
        <v>35</v>
      </c>
      <c r="D142" s="36">
        <v>1000</v>
      </c>
      <c r="E142" s="33">
        <v>3.1</v>
      </c>
      <c r="F142" s="33">
        <f t="shared" ref="F142" si="19">D142*E142</f>
        <v>3100</v>
      </c>
      <c r="G142" s="33">
        <v>0.85</v>
      </c>
      <c r="H142" s="33">
        <v>0.15</v>
      </c>
      <c r="I142" s="33">
        <v>15.77</v>
      </c>
      <c r="J142" s="33">
        <f>SUM(F142:I142)</f>
        <v>3116.77</v>
      </c>
      <c r="K142" s="33"/>
      <c r="L142" s="33"/>
      <c r="M142" s="33"/>
      <c r="N142" s="33"/>
      <c r="O142" s="33"/>
      <c r="P142" s="33"/>
      <c r="Q142" s="33"/>
      <c r="R142" s="17">
        <f t="shared" si="5"/>
        <v>2.7300000000018372</v>
      </c>
      <c r="T142" s="5"/>
    </row>
    <row r="143" spans="1:20" x14ac:dyDescent="0.25">
      <c r="A143" s="26">
        <v>42048</v>
      </c>
      <c r="B143" s="33"/>
      <c r="C143" s="7" t="s">
        <v>29</v>
      </c>
      <c r="D143" s="36">
        <v>-200</v>
      </c>
      <c r="E143" s="33">
        <v>9.94</v>
      </c>
      <c r="F143" s="33">
        <f t="shared" ref="F143" si="20">D143*E143</f>
        <v>-1988</v>
      </c>
      <c r="G143" s="33">
        <v>0.54</v>
      </c>
      <c r="H143" s="33">
        <v>0.09</v>
      </c>
      <c r="I143" s="33">
        <v>15.77</v>
      </c>
      <c r="J143" s="33">
        <f>SUM(F143:I143)</f>
        <v>-1971.6000000000001</v>
      </c>
      <c r="K143" s="33"/>
      <c r="L143" s="33"/>
      <c r="M143" s="33"/>
      <c r="N143" s="33"/>
      <c r="O143" s="33"/>
      <c r="P143" s="33"/>
      <c r="Q143" s="33"/>
      <c r="R143" s="17">
        <f>R142+B143-J143-K143-L143+M143+N143+O143+P143</f>
        <v>1974.330000000002</v>
      </c>
      <c r="T143" s="5"/>
    </row>
    <row r="144" spans="1:20" x14ac:dyDescent="0.25">
      <c r="A144" s="26">
        <v>42053</v>
      </c>
      <c r="B144" s="33"/>
      <c r="C144" s="7" t="s">
        <v>5</v>
      </c>
      <c r="D144" s="36">
        <v>-100</v>
      </c>
      <c r="E144" s="33">
        <v>25</v>
      </c>
      <c r="F144" s="33">
        <f t="shared" ref="F144" si="21">D144*E144</f>
        <v>-2500</v>
      </c>
      <c r="G144" s="33">
        <v>0.68</v>
      </c>
      <c r="H144" s="33">
        <v>0.12</v>
      </c>
      <c r="I144" s="33">
        <v>15.77</v>
      </c>
      <c r="J144" s="33">
        <f>SUM(F144:I144)</f>
        <v>-2483.4300000000003</v>
      </c>
      <c r="K144" s="33"/>
      <c r="L144" s="33"/>
      <c r="M144" s="33"/>
      <c r="N144" s="33"/>
      <c r="O144" s="33"/>
      <c r="P144" s="33"/>
      <c r="Q144" s="33"/>
      <c r="R144" s="17">
        <f t="shared" ref="R144:R152" si="22">R143+B144-J144-K144-L144+M144+N144+O144+P144</f>
        <v>4457.760000000002</v>
      </c>
      <c r="T144" s="5"/>
    </row>
    <row r="145" spans="1:20" x14ac:dyDescent="0.25">
      <c r="A145" s="26">
        <v>42061</v>
      </c>
      <c r="B145" s="33"/>
      <c r="C145" s="7" t="s">
        <v>30</v>
      </c>
      <c r="D145" s="36">
        <v>-200</v>
      </c>
      <c r="E145" s="33">
        <v>12.97</v>
      </c>
      <c r="F145" s="33">
        <f t="shared" ref="F145" si="23">D145*E145</f>
        <v>-2594</v>
      </c>
      <c r="G145" s="33">
        <v>0.71</v>
      </c>
      <c r="H145" s="33">
        <v>0.12</v>
      </c>
      <c r="I145" s="33">
        <v>15.77</v>
      </c>
      <c r="J145" s="33">
        <f>SUM(F145:I145)</f>
        <v>-2577.4</v>
      </c>
      <c r="K145" s="33"/>
      <c r="L145" s="33"/>
      <c r="M145" s="33"/>
      <c r="N145" s="33"/>
      <c r="O145" s="33"/>
      <c r="P145" s="33"/>
      <c r="Q145" s="33"/>
      <c r="R145" s="17">
        <f t="shared" si="22"/>
        <v>7035.1600000000017</v>
      </c>
      <c r="T145" s="5"/>
    </row>
    <row r="146" spans="1:20" x14ac:dyDescent="0.25">
      <c r="A146" s="26">
        <v>42062</v>
      </c>
      <c r="B146" s="33"/>
      <c r="C146" s="7" t="s">
        <v>5</v>
      </c>
      <c r="D146" s="36"/>
      <c r="E146" s="33"/>
      <c r="F146" s="33"/>
      <c r="G146" s="33"/>
      <c r="H146" s="33"/>
      <c r="I146" s="33"/>
      <c r="J146" s="33"/>
      <c r="K146" s="33"/>
      <c r="L146" s="33"/>
      <c r="M146" s="33"/>
      <c r="N146" s="33">
        <v>8.98</v>
      </c>
      <c r="O146" s="33"/>
      <c r="P146" s="33">
        <v>0.12</v>
      </c>
      <c r="Q146" s="33"/>
      <c r="R146" s="17">
        <f t="shared" si="22"/>
        <v>7044.2600000000011</v>
      </c>
      <c r="T146" s="5"/>
    </row>
    <row r="147" spans="1:20" x14ac:dyDescent="0.25">
      <c r="A147" s="26">
        <v>42062</v>
      </c>
      <c r="B147" s="33"/>
      <c r="C147" s="7" t="s">
        <v>5</v>
      </c>
      <c r="D147" s="36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17">
        <f t="shared" si="22"/>
        <v>7044.2600000000011</v>
      </c>
      <c r="T147" s="5"/>
    </row>
    <row r="148" spans="1:20" x14ac:dyDescent="0.25">
      <c r="A148" s="26">
        <v>42065</v>
      </c>
      <c r="B148" s="33"/>
      <c r="D148" s="36"/>
      <c r="E148" s="33"/>
      <c r="F148" s="33"/>
      <c r="G148" s="33"/>
      <c r="H148" s="33"/>
      <c r="I148" s="33"/>
      <c r="J148" s="33"/>
      <c r="K148" s="33">
        <v>6.9</v>
      </c>
      <c r="L148" s="33"/>
      <c r="M148" s="33"/>
      <c r="N148" s="33"/>
      <c r="O148" s="33"/>
      <c r="P148" s="33"/>
      <c r="Q148" s="33"/>
      <c r="R148" s="17">
        <f t="shared" si="22"/>
        <v>7037.3600000000015</v>
      </c>
      <c r="T148" s="5"/>
    </row>
    <row r="149" spans="1:20" x14ac:dyDescent="0.25">
      <c r="A149" s="26">
        <v>42073</v>
      </c>
      <c r="B149" s="33"/>
      <c r="C149" s="7" t="s">
        <v>29</v>
      </c>
      <c r="D149" s="36">
        <v>300</v>
      </c>
      <c r="E149" s="33">
        <v>8.4499999999999993</v>
      </c>
      <c r="F149" s="33">
        <f t="shared" ref="F149:F151" si="24">D149*E149</f>
        <v>2535</v>
      </c>
      <c r="G149" s="33">
        <v>0.69</v>
      </c>
      <c r="H149" s="33">
        <v>0.12</v>
      </c>
      <c r="I149" s="33">
        <v>15.77</v>
      </c>
      <c r="J149" s="33">
        <f>SUM(F149:I149)</f>
        <v>2551.58</v>
      </c>
      <c r="K149" s="33"/>
      <c r="L149" s="33"/>
      <c r="M149" s="33"/>
      <c r="N149" s="33"/>
      <c r="O149" s="33"/>
      <c r="P149" s="33"/>
      <c r="Q149" s="33"/>
      <c r="R149" s="17">
        <f t="shared" si="22"/>
        <v>4485.7800000000016</v>
      </c>
      <c r="T149" s="5"/>
    </row>
    <row r="150" spans="1:20" x14ac:dyDescent="0.25">
      <c r="A150" s="26">
        <v>42076</v>
      </c>
      <c r="B150" s="33"/>
      <c r="C150" s="7" t="s">
        <v>41</v>
      </c>
      <c r="D150" s="36">
        <v>200</v>
      </c>
      <c r="E150" s="33">
        <v>15.96</v>
      </c>
      <c r="F150" s="33">
        <f t="shared" si="24"/>
        <v>3192</v>
      </c>
      <c r="G150" s="33">
        <v>0.87</v>
      </c>
      <c r="H150" s="33">
        <v>0.15</v>
      </c>
      <c r="I150" s="33">
        <v>15.77</v>
      </c>
      <c r="J150" s="33">
        <f>SUM(F150:I150)</f>
        <v>3208.79</v>
      </c>
      <c r="K150" s="33"/>
      <c r="L150" s="33"/>
      <c r="M150" s="33"/>
      <c r="N150" s="33"/>
      <c r="O150" s="33"/>
      <c r="P150" s="33"/>
      <c r="Q150" s="33"/>
      <c r="R150" s="17">
        <f t="shared" si="22"/>
        <v>1276.9900000000016</v>
      </c>
      <c r="T150" s="5"/>
    </row>
    <row r="151" spans="1:20" x14ac:dyDescent="0.25">
      <c r="A151" s="26">
        <v>42088</v>
      </c>
      <c r="B151" s="33"/>
      <c r="C151" s="7" t="s">
        <v>29</v>
      </c>
      <c r="D151" s="36">
        <v>-300</v>
      </c>
      <c r="E151" s="33">
        <v>9.67</v>
      </c>
      <c r="F151" s="33">
        <f t="shared" si="24"/>
        <v>-2901</v>
      </c>
      <c r="G151" s="33">
        <v>0.79</v>
      </c>
      <c r="H151" s="33">
        <v>0.14000000000000001</v>
      </c>
      <c r="I151" s="33">
        <v>15.77</v>
      </c>
      <c r="J151" s="33">
        <f>SUM(F151:I151)</f>
        <v>-2884.3</v>
      </c>
      <c r="K151" s="33"/>
      <c r="L151" s="33"/>
      <c r="M151" s="33"/>
      <c r="N151" s="33"/>
      <c r="O151" s="33"/>
      <c r="P151" s="33"/>
      <c r="Q151" s="33"/>
      <c r="R151" s="17">
        <f t="shared" si="22"/>
        <v>4161.2900000000018</v>
      </c>
      <c r="T151" s="5"/>
    </row>
    <row r="152" spans="1:20" x14ac:dyDescent="0.25">
      <c r="A152" s="26">
        <v>42090</v>
      </c>
      <c r="B152" s="33"/>
      <c r="C152" s="7" t="s">
        <v>41</v>
      </c>
      <c r="D152" s="36">
        <v>200</v>
      </c>
      <c r="E152" s="33">
        <v>15.94</v>
      </c>
      <c r="F152" s="33">
        <f t="shared" ref="F152" si="25">D152*E152</f>
        <v>3188</v>
      </c>
      <c r="G152" s="33">
        <v>0.87</v>
      </c>
      <c r="H152" s="33">
        <v>0.15</v>
      </c>
      <c r="I152" s="33">
        <v>15.77</v>
      </c>
      <c r="J152" s="33">
        <f>SUM(F152:I152)</f>
        <v>3204.79</v>
      </c>
      <c r="K152" s="33"/>
      <c r="L152" s="33"/>
      <c r="M152" s="33"/>
      <c r="N152" s="33"/>
      <c r="O152" s="33"/>
      <c r="P152" s="33"/>
      <c r="Q152" s="33"/>
      <c r="R152" s="17">
        <f t="shared" si="22"/>
        <v>956.50000000000182</v>
      </c>
      <c r="T152" s="5"/>
    </row>
    <row r="153" spans="1:20" x14ac:dyDescent="0.25">
      <c r="A153" s="26">
        <v>42094</v>
      </c>
      <c r="B153" s="33"/>
      <c r="C153" s="7" t="s">
        <v>35</v>
      </c>
      <c r="D153" s="36"/>
      <c r="E153" s="33"/>
      <c r="F153" s="33"/>
      <c r="G153" s="33"/>
      <c r="H153" s="33"/>
      <c r="I153" s="33"/>
      <c r="J153" s="33"/>
      <c r="K153" s="33"/>
      <c r="L153" s="33"/>
      <c r="M153" s="33"/>
      <c r="N153" s="33">
        <v>107.2</v>
      </c>
      <c r="O153" s="33">
        <v>16.829999999999998</v>
      </c>
      <c r="P153" s="33"/>
      <c r="Q153" s="33"/>
      <c r="R153" s="17">
        <f t="shared" ref="R153:R161" si="26">R152+B153-J153-K153-L153+M153+N153+O153+P153</f>
        <v>1080.5300000000018</v>
      </c>
      <c r="T153" s="5"/>
    </row>
    <row r="154" spans="1:20" x14ac:dyDescent="0.25">
      <c r="A154" s="26">
        <v>42094</v>
      </c>
      <c r="B154" s="33"/>
      <c r="C154" s="7" t="s">
        <v>5</v>
      </c>
      <c r="D154" s="36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>
        <v>32.04</v>
      </c>
      <c r="P154" s="33"/>
      <c r="Q154" s="33"/>
      <c r="R154" s="17">
        <f t="shared" si="26"/>
        <v>1112.5700000000018</v>
      </c>
      <c r="T154" s="5"/>
    </row>
    <row r="155" spans="1:20" x14ac:dyDescent="0.25">
      <c r="A155" s="26">
        <v>42095</v>
      </c>
      <c r="B155" s="33"/>
      <c r="D155" s="36"/>
      <c r="E155" s="33"/>
      <c r="F155" s="33"/>
      <c r="G155" s="33"/>
      <c r="H155" s="33"/>
      <c r="I155" s="33"/>
      <c r="J155" s="33"/>
      <c r="K155" s="33">
        <v>6.9</v>
      </c>
      <c r="L155" s="33"/>
      <c r="M155" s="33"/>
      <c r="N155" s="33"/>
      <c r="O155" s="33"/>
      <c r="P155" s="33"/>
      <c r="Q155" s="33"/>
      <c r="R155" s="17">
        <f t="shared" si="26"/>
        <v>1105.6700000000017</v>
      </c>
      <c r="T155" s="5"/>
    </row>
    <row r="156" spans="1:20" x14ac:dyDescent="0.25">
      <c r="A156" s="26">
        <v>42100</v>
      </c>
      <c r="C156" s="7" t="s">
        <v>12</v>
      </c>
      <c r="D156" s="36">
        <v>-50</v>
      </c>
      <c r="E156" s="41">
        <v>6.1</v>
      </c>
      <c r="F156" s="33">
        <f t="shared" ref="F156" si="27">D156*E156</f>
        <v>-305</v>
      </c>
      <c r="G156" s="41">
        <v>0.08</v>
      </c>
      <c r="H156" s="41">
        <v>0.01</v>
      </c>
      <c r="I156" s="41">
        <v>6.45</v>
      </c>
      <c r="J156" s="33">
        <f>SUM(F156:I156)</f>
        <v>-298.46000000000004</v>
      </c>
      <c r="L156" s="33"/>
      <c r="M156" s="33"/>
      <c r="N156" s="33"/>
      <c r="O156" s="33"/>
      <c r="P156" s="33"/>
      <c r="Q156" s="33"/>
      <c r="R156" s="17">
        <f t="shared" si="26"/>
        <v>1404.1300000000017</v>
      </c>
      <c r="T156" s="5"/>
    </row>
    <row r="157" spans="1:20" x14ac:dyDescent="0.25">
      <c r="A157" s="26">
        <v>42109</v>
      </c>
      <c r="B157" s="33"/>
      <c r="C157" s="7" t="s">
        <v>29</v>
      </c>
      <c r="D157" s="36">
        <v>100</v>
      </c>
      <c r="E157" s="33">
        <v>13.35</v>
      </c>
      <c r="F157" s="33">
        <f t="shared" ref="F157:F164" si="28">D157*E157</f>
        <v>1335</v>
      </c>
      <c r="G157" s="33">
        <v>0.36</v>
      </c>
      <c r="H157" s="33">
        <v>0.06</v>
      </c>
      <c r="I157" s="33">
        <v>15.77</v>
      </c>
      <c r="J157" s="33">
        <f>SUM(F157:I157)</f>
        <v>1351.1899999999998</v>
      </c>
      <c r="K157" s="33"/>
      <c r="L157" s="33"/>
      <c r="M157" s="33"/>
      <c r="N157" s="33"/>
      <c r="O157" s="33"/>
      <c r="P157" s="33"/>
      <c r="Q157" s="33"/>
      <c r="R157" s="17">
        <f t="shared" si="26"/>
        <v>52.940000000001874</v>
      </c>
      <c r="T157" s="5"/>
    </row>
    <row r="158" spans="1:20" x14ac:dyDescent="0.25">
      <c r="A158" s="26">
        <v>42118</v>
      </c>
      <c r="B158" s="33"/>
      <c r="C158" s="7" t="s">
        <v>41</v>
      </c>
      <c r="D158" s="36">
        <v>400</v>
      </c>
      <c r="E158" s="33">
        <v>18.670000000000002</v>
      </c>
      <c r="F158" s="33">
        <f t="shared" si="28"/>
        <v>7468.0000000000009</v>
      </c>
      <c r="G158" s="33">
        <v>2.99</v>
      </c>
      <c r="H158" s="33">
        <v>0.74</v>
      </c>
      <c r="I158" s="33">
        <v>47.33</v>
      </c>
      <c r="J158" s="33">
        <f>SUM(F158:I158)</f>
        <v>7519.06</v>
      </c>
      <c r="K158" s="33"/>
      <c r="L158" s="33"/>
      <c r="M158" s="33"/>
      <c r="N158" s="33"/>
      <c r="O158" s="33"/>
      <c r="P158" s="33"/>
      <c r="Q158" s="33"/>
      <c r="R158" s="17">
        <f>R157+B158-J158-K158-L158+M158+N158+O158+P158</f>
        <v>-7466.119999999999</v>
      </c>
      <c r="T158" s="5"/>
    </row>
    <row r="159" spans="1:20" x14ac:dyDescent="0.25">
      <c r="A159" s="26">
        <v>42118</v>
      </c>
      <c r="B159" s="33"/>
      <c r="C159" s="7" t="s">
        <v>41</v>
      </c>
      <c r="D159" s="36">
        <v>-200</v>
      </c>
      <c r="E159" s="33">
        <v>18.829999999999998</v>
      </c>
      <c r="F159" s="33">
        <f t="shared" si="28"/>
        <v>-3765.9999999999995</v>
      </c>
      <c r="G159" s="33"/>
      <c r="H159" s="33"/>
      <c r="I159" s="33"/>
      <c r="J159" s="33">
        <f t="shared" ref="J159:J161" si="29">SUM(F159:I159)</f>
        <v>-3765.9999999999995</v>
      </c>
      <c r="K159" s="33"/>
      <c r="L159" s="33"/>
      <c r="M159" s="33"/>
      <c r="N159" s="33"/>
      <c r="O159" s="33"/>
      <c r="P159" s="33"/>
      <c r="Q159" s="33"/>
      <c r="R159" s="17">
        <f t="shared" si="26"/>
        <v>-3700.1199999999994</v>
      </c>
      <c r="T159" s="5"/>
    </row>
    <row r="160" spans="1:20" x14ac:dyDescent="0.25">
      <c r="A160" s="26">
        <v>42118</v>
      </c>
      <c r="B160" s="33"/>
      <c r="C160" s="7" t="s">
        <v>41</v>
      </c>
      <c r="D160" s="36">
        <v>-100</v>
      </c>
      <c r="E160" s="33">
        <v>18.7</v>
      </c>
      <c r="F160" s="33">
        <f t="shared" si="28"/>
        <v>-1870</v>
      </c>
      <c r="G160" s="33"/>
      <c r="H160" s="33"/>
      <c r="I160" s="33"/>
      <c r="J160" s="33">
        <f t="shared" si="29"/>
        <v>-1870</v>
      </c>
      <c r="K160" s="33"/>
      <c r="L160" s="33"/>
      <c r="M160" s="33"/>
      <c r="N160" s="33"/>
      <c r="O160" s="33"/>
      <c r="P160" s="33"/>
      <c r="Q160" s="33"/>
      <c r="R160" s="17">
        <f t="shared" si="26"/>
        <v>-1830.1199999999994</v>
      </c>
      <c r="T160" s="5"/>
    </row>
    <row r="161" spans="1:20" x14ac:dyDescent="0.25">
      <c r="A161" s="26">
        <v>42118</v>
      </c>
      <c r="B161" s="33"/>
      <c r="C161" s="7" t="s">
        <v>41</v>
      </c>
      <c r="D161" s="36">
        <v>-100</v>
      </c>
      <c r="E161" s="33">
        <v>18.7</v>
      </c>
      <c r="F161" s="33">
        <f t="shared" si="28"/>
        <v>-1870</v>
      </c>
      <c r="G161" s="33"/>
      <c r="H161" s="33"/>
      <c r="I161" s="33"/>
      <c r="J161" s="33">
        <f t="shared" si="29"/>
        <v>-1870</v>
      </c>
      <c r="K161" s="33"/>
      <c r="L161" s="33"/>
      <c r="M161" s="33"/>
      <c r="N161" s="33"/>
      <c r="O161" s="33"/>
      <c r="P161" s="33"/>
      <c r="Q161" s="33"/>
      <c r="R161" s="17">
        <f t="shared" si="26"/>
        <v>39.880000000000564</v>
      </c>
      <c r="T161" s="5"/>
    </row>
    <row r="162" spans="1:20" x14ac:dyDescent="0.25">
      <c r="A162" s="26">
        <v>42124</v>
      </c>
      <c r="B162" s="33"/>
      <c r="C162" s="7" t="s">
        <v>41</v>
      </c>
      <c r="D162" s="36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>
        <v>204.6</v>
      </c>
      <c r="P162" s="33"/>
      <c r="Q162" s="33"/>
      <c r="R162" s="17">
        <f t="shared" ref="R162:R207" si="30">R161+B162-J162-K162-L162+M162+N162+O162+P162</f>
        <v>244.48000000000056</v>
      </c>
      <c r="T162" s="5"/>
    </row>
    <row r="163" spans="1:20" x14ac:dyDescent="0.25">
      <c r="A163" s="26">
        <v>42135</v>
      </c>
      <c r="B163" s="33"/>
      <c r="C163" s="7" t="s">
        <v>28</v>
      </c>
      <c r="D163" s="36">
        <v>-500</v>
      </c>
      <c r="E163" s="33">
        <v>14.2</v>
      </c>
      <c r="F163" s="33">
        <f t="shared" si="28"/>
        <v>-7100</v>
      </c>
      <c r="G163" s="33">
        <v>1.95</v>
      </c>
      <c r="H163" s="33">
        <v>0.35</v>
      </c>
      <c r="I163" s="33">
        <v>16.91</v>
      </c>
      <c r="J163" s="33">
        <f>SUM(F163:I163)</f>
        <v>-7080.79</v>
      </c>
      <c r="K163" s="33"/>
      <c r="L163" s="33"/>
      <c r="M163" s="33"/>
      <c r="N163" s="33"/>
      <c r="O163" s="33"/>
      <c r="P163" s="33"/>
      <c r="Q163" s="33"/>
      <c r="R163" s="17">
        <f t="shared" si="30"/>
        <v>7325.27</v>
      </c>
      <c r="T163" s="5"/>
    </row>
    <row r="164" spans="1:20" x14ac:dyDescent="0.25">
      <c r="A164" s="26">
        <v>42137</v>
      </c>
      <c r="B164" s="33"/>
      <c r="C164" s="7" t="s">
        <v>35</v>
      </c>
      <c r="D164" s="36">
        <v>400</v>
      </c>
      <c r="E164" s="33">
        <v>3.35</v>
      </c>
      <c r="F164" s="33">
        <f t="shared" si="28"/>
        <v>1340</v>
      </c>
      <c r="G164" s="33">
        <v>0.36</v>
      </c>
      <c r="H164" s="33">
        <v>0.06</v>
      </c>
      <c r="I164" s="33">
        <v>16.91</v>
      </c>
      <c r="J164" s="33">
        <f>SUM(F164:I164)</f>
        <v>1357.33</v>
      </c>
      <c r="K164" s="33"/>
      <c r="L164" s="33"/>
      <c r="M164" s="33"/>
      <c r="N164" s="33"/>
      <c r="O164" s="33"/>
      <c r="P164" s="33"/>
      <c r="Q164" s="33"/>
      <c r="R164" s="17">
        <f t="shared" si="30"/>
        <v>5967.9400000000005</v>
      </c>
      <c r="T164" s="5"/>
    </row>
    <row r="165" spans="1:20" x14ac:dyDescent="0.25">
      <c r="A165" s="26">
        <v>42138</v>
      </c>
      <c r="B165" s="33"/>
      <c r="D165" s="36"/>
      <c r="E165" s="33"/>
      <c r="F165" s="33"/>
      <c r="G165" s="33"/>
      <c r="H165" s="33"/>
      <c r="I165" s="33"/>
      <c r="J165" s="33"/>
      <c r="K165" s="33">
        <v>6.9</v>
      </c>
      <c r="L165" s="33"/>
      <c r="M165" s="33"/>
      <c r="N165" s="33"/>
      <c r="O165" s="33"/>
      <c r="P165" s="33"/>
      <c r="Q165" s="33"/>
      <c r="R165" s="17">
        <f t="shared" si="30"/>
        <v>5961.0400000000009</v>
      </c>
      <c r="T165" s="5"/>
    </row>
    <row r="166" spans="1:20" x14ac:dyDescent="0.25">
      <c r="A166" s="26">
        <v>42144</v>
      </c>
      <c r="B166" s="33"/>
      <c r="C166" s="7" t="s">
        <v>79</v>
      </c>
      <c r="D166" s="36">
        <v>500</v>
      </c>
      <c r="E166" s="33">
        <v>5.33</v>
      </c>
      <c r="F166" s="33">
        <f t="shared" ref="F166" si="31">D166*E166</f>
        <v>2665</v>
      </c>
      <c r="G166" s="33">
        <v>0.73</v>
      </c>
      <c r="H166" s="33">
        <v>0.13</v>
      </c>
      <c r="I166" s="33">
        <v>16.91</v>
      </c>
      <c r="J166" s="33">
        <f>SUM(F166:I166)</f>
        <v>2682.77</v>
      </c>
      <c r="K166" s="33"/>
      <c r="L166" s="33"/>
      <c r="M166" s="33"/>
      <c r="N166" s="33"/>
      <c r="O166" s="33"/>
      <c r="P166" s="33"/>
      <c r="Q166" s="33"/>
      <c r="R166" s="17">
        <f t="shared" si="30"/>
        <v>3278.2700000000009</v>
      </c>
      <c r="T166" s="5" t="s">
        <v>80</v>
      </c>
    </row>
    <row r="167" spans="1:20" x14ac:dyDescent="0.25">
      <c r="A167" s="26">
        <v>42152</v>
      </c>
      <c r="B167" s="33"/>
      <c r="C167" s="7" t="s">
        <v>77</v>
      </c>
      <c r="D167" s="36">
        <v>200</v>
      </c>
      <c r="E167" s="33">
        <v>14.58</v>
      </c>
      <c r="F167" s="33">
        <f t="shared" ref="F167" si="32">D167*E167</f>
        <v>2916</v>
      </c>
      <c r="G167" s="33">
        <v>0.8</v>
      </c>
      <c r="H167" s="33">
        <v>0.14000000000000001</v>
      </c>
      <c r="I167" s="33">
        <v>16.91</v>
      </c>
      <c r="J167" s="33">
        <f>SUM(F167:I167)</f>
        <v>2933.85</v>
      </c>
      <c r="K167" s="33"/>
      <c r="L167" s="33"/>
      <c r="M167" s="33"/>
      <c r="N167" s="33"/>
      <c r="O167" s="33"/>
      <c r="P167" s="33"/>
      <c r="Q167" s="33"/>
      <c r="R167" s="17">
        <f t="shared" si="30"/>
        <v>344.42000000000098</v>
      </c>
      <c r="T167" s="5"/>
    </row>
    <row r="168" spans="1:20" x14ac:dyDescent="0.25">
      <c r="A168" s="26">
        <v>42153</v>
      </c>
      <c r="B168" s="33"/>
      <c r="C168" s="7" t="s">
        <v>5</v>
      </c>
      <c r="D168" s="36"/>
      <c r="E168" s="33"/>
      <c r="F168" s="33"/>
      <c r="G168" s="33"/>
      <c r="H168" s="33"/>
      <c r="I168" s="33"/>
      <c r="J168" s="33"/>
      <c r="K168" s="33"/>
      <c r="L168" s="33"/>
      <c r="M168" s="33"/>
      <c r="N168" s="33">
        <v>45.11</v>
      </c>
      <c r="O168" s="33"/>
      <c r="P168" s="33"/>
      <c r="Q168" s="33"/>
      <c r="R168" s="17">
        <f t="shared" si="30"/>
        <v>389.530000000001</v>
      </c>
      <c r="T168" s="5"/>
    </row>
    <row r="169" spans="1:20" x14ac:dyDescent="0.25">
      <c r="A169" s="26">
        <v>42153</v>
      </c>
      <c r="B169" s="33"/>
      <c r="C169" s="7" t="s">
        <v>35</v>
      </c>
      <c r="D169" s="36">
        <v>500</v>
      </c>
      <c r="E169" s="33">
        <v>2.76</v>
      </c>
      <c r="F169" s="33">
        <f t="shared" ref="F169" si="33">D169*E169</f>
        <v>1380</v>
      </c>
      <c r="G169" s="33">
        <v>0.37</v>
      </c>
      <c r="H169" s="33">
        <v>0.09</v>
      </c>
      <c r="I169" s="33">
        <v>16.91</v>
      </c>
      <c r="J169" s="33">
        <f>SUM(F169:I169)</f>
        <v>1397.37</v>
      </c>
      <c r="K169" s="33"/>
      <c r="L169" s="33"/>
      <c r="M169" s="33"/>
      <c r="N169" s="33"/>
      <c r="O169" s="33"/>
      <c r="P169" s="33"/>
      <c r="Q169" s="33"/>
      <c r="R169" s="17">
        <f t="shared" si="30"/>
        <v>-1007.8399999999989</v>
      </c>
      <c r="T169" s="5"/>
    </row>
    <row r="170" spans="1:20" x14ac:dyDescent="0.25">
      <c r="A170" s="26">
        <v>42523</v>
      </c>
      <c r="B170" s="33">
        <v>1100</v>
      </c>
      <c r="D170" s="36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17">
        <f t="shared" si="30"/>
        <v>92.160000000001105</v>
      </c>
      <c r="T170" s="5"/>
    </row>
    <row r="171" spans="1:20" x14ac:dyDescent="0.25">
      <c r="A171" s="26">
        <v>42158</v>
      </c>
      <c r="B171" s="33"/>
      <c r="D171" s="36"/>
      <c r="E171" s="33"/>
      <c r="F171" s="33"/>
      <c r="G171" s="33"/>
      <c r="H171" s="33"/>
      <c r="I171" s="33"/>
      <c r="J171" s="33"/>
      <c r="K171" s="33"/>
      <c r="L171" s="33"/>
      <c r="M171" s="33"/>
      <c r="N171" s="33">
        <v>126</v>
      </c>
      <c r="O171" s="33">
        <v>74</v>
      </c>
      <c r="P171" s="33"/>
      <c r="Q171" s="33"/>
      <c r="R171" s="17">
        <f t="shared" si="30"/>
        <v>292.16000000000111</v>
      </c>
      <c r="T171" s="5"/>
    </row>
    <row r="172" spans="1:20" x14ac:dyDescent="0.25">
      <c r="A172" s="26">
        <v>42171</v>
      </c>
      <c r="B172" s="33"/>
      <c r="D172" s="36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17">
        <f t="shared" si="30"/>
        <v>292.16000000000111</v>
      </c>
      <c r="T172" s="5"/>
    </row>
    <row r="173" spans="1:20" x14ac:dyDescent="0.25">
      <c r="A173" s="26">
        <v>42158</v>
      </c>
      <c r="B173" s="33"/>
      <c r="C173" s="7" t="s">
        <v>35</v>
      </c>
      <c r="D173" s="36"/>
      <c r="E173" s="33"/>
      <c r="F173" s="33"/>
      <c r="G173" s="33"/>
      <c r="H173" s="33"/>
      <c r="I173" s="33"/>
      <c r="J173" s="33"/>
      <c r="K173" s="33"/>
      <c r="L173" s="33"/>
      <c r="M173" s="33"/>
      <c r="N173" s="33">
        <v>126</v>
      </c>
      <c r="O173" s="33">
        <v>74</v>
      </c>
      <c r="P173" s="33"/>
      <c r="Q173" s="33"/>
      <c r="R173" s="17">
        <f t="shared" si="30"/>
        <v>492.16000000000111</v>
      </c>
      <c r="T173" s="5"/>
    </row>
    <row r="174" spans="1:20" x14ac:dyDescent="0.25">
      <c r="A174" s="26">
        <v>42158</v>
      </c>
      <c r="B174" s="33"/>
      <c r="C174" s="7" t="s">
        <v>35</v>
      </c>
      <c r="D174" s="36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>
        <v>62.9</v>
      </c>
      <c r="P174" s="33"/>
      <c r="Q174" s="33"/>
      <c r="R174" s="17">
        <f t="shared" si="30"/>
        <v>555.06000000000108</v>
      </c>
      <c r="T174" s="5"/>
    </row>
    <row r="175" spans="1:20" x14ac:dyDescent="0.25">
      <c r="A175" s="26">
        <v>42158</v>
      </c>
      <c r="B175" s="33"/>
      <c r="D175" s="36"/>
      <c r="E175" s="33"/>
      <c r="F175" s="33"/>
      <c r="G175" s="33"/>
      <c r="H175" s="33"/>
      <c r="I175" s="33"/>
      <c r="J175" s="33"/>
      <c r="K175" s="33">
        <v>6.9</v>
      </c>
      <c r="L175" s="33"/>
      <c r="M175" s="33"/>
      <c r="N175" s="33"/>
      <c r="O175" s="33"/>
      <c r="P175" s="33"/>
      <c r="Q175" s="33"/>
      <c r="R175" s="17">
        <f t="shared" si="30"/>
        <v>548.16000000000111</v>
      </c>
      <c r="T175" s="5"/>
    </row>
    <row r="176" spans="1:20" x14ac:dyDescent="0.25">
      <c r="A176" s="26">
        <v>42167</v>
      </c>
      <c r="B176" s="33"/>
      <c r="D176" s="36"/>
      <c r="E176" s="33"/>
      <c r="F176" s="33"/>
      <c r="G176" s="33"/>
      <c r="H176" s="33"/>
      <c r="I176" s="33"/>
      <c r="J176" s="33"/>
      <c r="K176" s="33">
        <v>9</v>
      </c>
      <c r="L176" s="33"/>
      <c r="M176" s="33"/>
      <c r="N176" s="33"/>
      <c r="O176" s="33"/>
      <c r="P176" s="33"/>
      <c r="Q176" s="33"/>
      <c r="R176" s="17">
        <f t="shared" si="30"/>
        <v>539.16000000000111</v>
      </c>
      <c r="T176" s="5"/>
    </row>
    <row r="177" spans="1:21" x14ac:dyDescent="0.25">
      <c r="A177" s="26">
        <v>42171</v>
      </c>
      <c r="B177" s="33"/>
      <c r="C177" s="7" t="s">
        <v>77</v>
      </c>
      <c r="D177" s="36">
        <v>-200</v>
      </c>
      <c r="E177" s="33">
        <v>16.079999999999998</v>
      </c>
      <c r="F177" s="33">
        <f t="shared" ref="F177:F178" si="34">D177*E177</f>
        <v>-3215.9999999999995</v>
      </c>
      <c r="G177" s="33">
        <v>0.8</v>
      </c>
      <c r="H177" s="33">
        <v>0.14000000000000001</v>
      </c>
      <c r="I177" s="33">
        <v>16.91</v>
      </c>
      <c r="J177" s="33">
        <f>SUM(F177:I177)</f>
        <v>-3198.1499999999996</v>
      </c>
      <c r="K177" s="33"/>
      <c r="L177" s="33"/>
      <c r="M177" s="33"/>
      <c r="N177" s="33"/>
      <c r="O177" s="33"/>
      <c r="P177" s="33"/>
      <c r="Q177" s="33"/>
      <c r="R177" s="17">
        <f t="shared" si="30"/>
        <v>3737.3100000000009</v>
      </c>
      <c r="T177" s="5"/>
    </row>
    <row r="178" spans="1:21" x14ac:dyDescent="0.25">
      <c r="A178" s="26">
        <v>42171</v>
      </c>
      <c r="B178" s="33"/>
      <c r="C178" s="7" t="s">
        <v>29</v>
      </c>
      <c r="D178" s="36">
        <v>-100</v>
      </c>
      <c r="E178" s="33">
        <v>14.58</v>
      </c>
      <c r="F178" s="33">
        <f t="shared" si="34"/>
        <v>-1458</v>
      </c>
      <c r="G178" s="33">
        <v>0.8</v>
      </c>
      <c r="H178" s="33">
        <v>0.14000000000000001</v>
      </c>
      <c r="I178" s="33">
        <v>16.91</v>
      </c>
      <c r="J178" s="33">
        <f>SUM(F178:I178)</f>
        <v>-1440.1499999999999</v>
      </c>
      <c r="K178" s="33"/>
      <c r="L178" s="33"/>
      <c r="M178" s="33"/>
      <c r="N178" s="33"/>
      <c r="O178" s="33"/>
      <c r="P178" s="33"/>
      <c r="Q178" s="33"/>
      <c r="R178" s="17">
        <f t="shared" si="30"/>
        <v>5177.4600000000009</v>
      </c>
      <c r="T178" s="5"/>
    </row>
    <row r="179" spans="1:21" x14ac:dyDescent="0.25">
      <c r="A179" s="26">
        <v>42174</v>
      </c>
      <c r="B179" s="33">
        <v>-4850</v>
      </c>
      <c r="D179" s="36"/>
      <c r="E179" s="33"/>
      <c r="F179" s="33"/>
      <c r="G179" s="33"/>
      <c r="H179" s="33"/>
      <c r="I179" s="33"/>
      <c r="J179" s="33"/>
      <c r="K179" s="33"/>
      <c r="L179" s="33">
        <v>8.9</v>
      </c>
      <c r="M179" s="33"/>
      <c r="N179" s="33"/>
      <c r="O179" s="33"/>
      <c r="P179" s="33"/>
      <c r="Q179" s="33"/>
      <c r="R179" s="17">
        <f t="shared" si="30"/>
        <v>318.56000000000097</v>
      </c>
      <c r="T179" s="5"/>
    </row>
    <row r="180" spans="1:21" x14ac:dyDescent="0.25">
      <c r="A180" s="26">
        <v>42185</v>
      </c>
      <c r="B180" s="33"/>
      <c r="C180" s="7" t="s">
        <v>5</v>
      </c>
      <c r="D180" s="36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>
        <v>24.64</v>
      </c>
      <c r="P180" s="33"/>
      <c r="Q180" s="33"/>
      <c r="R180" s="17">
        <f t="shared" si="30"/>
        <v>343.20000000000095</v>
      </c>
      <c r="T180" s="5"/>
    </row>
    <row r="181" spans="1:21" x14ac:dyDescent="0.25">
      <c r="A181" s="26">
        <v>42185</v>
      </c>
      <c r="B181" s="33"/>
      <c r="C181" s="7" t="s">
        <v>17</v>
      </c>
      <c r="D181" s="36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>
        <v>31.07</v>
      </c>
      <c r="P181" s="33"/>
      <c r="Q181" s="33"/>
      <c r="R181" s="17">
        <f t="shared" si="30"/>
        <v>374.27000000000095</v>
      </c>
      <c r="T181" s="5"/>
    </row>
    <row r="182" spans="1:21" x14ac:dyDescent="0.25">
      <c r="A182" s="26">
        <v>42186</v>
      </c>
      <c r="B182" s="33"/>
      <c r="D182" s="36"/>
      <c r="E182" s="33"/>
      <c r="F182" s="33"/>
      <c r="G182" s="33"/>
      <c r="H182" s="33"/>
      <c r="I182" s="33"/>
      <c r="J182" s="33"/>
      <c r="K182" s="33">
        <v>15.9</v>
      </c>
      <c r="L182" s="33"/>
      <c r="M182" s="33"/>
      <c r="N182" s="33"/>
      <c r="O182" s="33"/>
      <c r="P182" s="33"/>
      <c r="Q182" s="33"/>
      <c r="R182" s="17">
        <f t="shared" si="30"/>
        <v>358.37000000000097</v>
      </c>
      <c r="T182" s="5"/>
    </row>
    <row r="183" spans="1:21" x14ac:dyDescent="0.25">
      <c r="A183" s="26">
        <v>42220</v>
      </c>
      <c r="B183" s="33"/>
      <c r="D183" s="36"/>
      <c r="E183" s="33"/>
      <c r="F183" s="33"/>
      <c r="G183" s="33"/>
      <c r="H183" s="33"/>
      <c r="I183" s="33"/>
      <c r="J183" s="33"/>
      <c r="K183" s="33">
        <v>15.9</v>
      </c>
      <c r="L183" s="33"/>
      <c r="M183" s="33"/>
      <c r="N183" s="33"/>
      <c r="O183" s="33"/>
      <c r="P183" s="33"/>
      <c r="Q183" s="33"/>
      <c r="R183" s="17">
        <f t="shared" si="30"/>
        <v>342.47000000000099</v>
      </c>
      <c r="T183" s="5"/>
    </row>
    <row r="184" spans="1:21" x14ac:dyDescent="0.25">
      <c r="A184" s="26">
        <v>42220</v>
      </c>
      <c r="B184" s="33"/>
      <c r="C184" s="7" t="s">
        <v>41</v>
      </c>
      <c r="D184" s="36">
        <v>-400</v>
      </c>
      <c r="E184" s="33">
        <v>14.73</v>
      </c>
      <c r="F184" s="33">
        <f t="shared" ref="F184" si="35">D184*E184</f>
        <v>-5892</v>
      </c>
      <c r="G184" s="33">
        <v>1.62</v>
      </c>
      <c r="H184" s="33">
        <v>0.28999999999999998</v>
      </c>
      <c r="I184" s="33">
        <v>16.91</v>
      </c>
      <c r="J184" s="33">
        <f>SUM(F184:I184)</f>
        <v>-5873.18</v>
      </c>
      <c r="K184" s="33"/>
      <c r="L184" s="33"/>
      <c r="M184" s="33"/>
      <c r="N184" s="33"/>
      <c r="O184" s="33"/>
      <c r="P184" s="33"/>
      <c r="Q184" s="33"/>
      <c r="R184" s="17">
        <f t="shared" si="30"/>
        <v>6215.6500000000015</v>
      </c>
      <c r="T184" s="5"/>
    </row>
    <row r="185" spans="1:21" x14ac:dyDescent="0.25">
      <c r="A185" s="26">
        <v>42223</v>
      </c>
      <c r="B185" s="33">
        <v>-5900</v>
      </c>
      <c r="D185" s="36"/>
      <c r="E185" s="33"/>
      <c r="F185" s="33"/>
      <c r="G185" s="33"/>
      <c r="H185" s="33"/>
      <c r="I185" s="33"/>
      <c r="J185" s="33"/>
      <c r="K185" s="33"/>
      <c r="L185" s="33">
        <v>8.9</v>
      </c>
      <c r="M185" s="33"/>
      <c r="N185" s="33"/>
      <c r="O185" s="33"/>
      <c r="P185" s="33"/>
      <c r="Q185" s="33"/>
      <c r="R185" s="17">
        <f t="shared" si="30"/>
        <v>306.75000000000148</v>
      </c>
      <c r="T185" s="5"/>
    </row>
    <row r="186" spans="1:21" x14ac:dyDescent="0.25">
      <c r="A186" s="26">
        <v>42234</v>
      </c>
      <c r="B186" s="33"/>
      <c r="C186" s="7" t="s">
        <v>35</v>
      </c>
      <c r="D186" s="36"/>
      <c r="E186" s="33"/>
      <c r="F186" s="33"/>
      <c r="G186" s="33"/>
      <c r="H186" s="33"/>
      <c r="I186" s="33"/>
      <c r="J186" s="33"/>
      <c r="K186" s="33"/>
      <c r="L186" s="33"/>
      <c r="M186" s="33"/>
      <c r="N186" s="33">
        <v>22.5</v>
      </c>
      <c r="O186" s="33">
        <v>87.13</v>
      </c>
      <c r="P186" s="33"/>
      <c r="Q186" s="33"/>
      <c r="R186" s="17">
        <f t="shared" si="30"/>
        <v>416.38000000000147</v>
      </c>
      <c r="T186" s="5"/>
      <c r="U186" s="20"/>
    </row>
    <row r="187" spans="1:21" x14ac:dyDescent="0.25">
      <c r="A187" s="26">
        <v>42248</v>
      </c>
      <c r="B187" s="33"/>
      <c r="D187" s="36"/>
      <c r="E187" s="33"/>
      <c r="F187" s="33"/>
      <c r="G187" s="33"/>
      <c r="H187" s="33"/>
      <c r="I187" s="33"/>
      <c r="J187" s="33"/>
      <c r="K187" s="33">
        <v>15.9</v>
      </c>
      <c r="L187" s="33"/>
      <c r="M187" s="33"/>
      <c r="N187" s="33"/>
      <c r="O187" s="33"/>
      <c r="P187" s="33"/>
      <c r="Q187" s="33"/>
      <c r="R187" s="17">
        <f t="shared" si="30"/>
        <v>400.4800000000015</v>
      </c>
      <c r="T187" s="5"/>
    </row>
    <row r="188" spans="1:21" x14ac:dyDescent="0.25">
      <c r="A188" s="26">
        <v>42248</v>
      </c>
      <c r="B188" s="33"/>
      <c r="C188" s="7" t="s">
        <v>5</v>
      </c>
      <c r="D188" s="36"/>
      <c r="E188" s="33"/>
      <c r="F188" s="33"/>
      <c r="G188" s="33"/>
      <c r="H188" s="33"/>
      <c r="I188" s="33"/>
      <c r="J188" s="33"/>
      <c r="K188" s="33"/>
      <c r="L188" s="33"/>
      <c r="M188" s="33"/>
      <c r="N188" s="33">
        <v>1.39</v>
      </c>
      <c r="O188" s="33">
        <v>33.18</v>
      </c>
      <c r="P188" s="33">
        <v>0.26</v>
      </c>
      <c r="Q188" s="33"/>
      <c r="R188" s="17">
        <f t="shared" si="30"/>
        <v>435.31000000000148</v>
      </c>
      <c r="T188" s="5"/>
      <c r="U188" s="20"/>
    </row>
    <row r="189" spans="1:21" x14ac:dyDescent="0.25">
      <c r="A189" s="26">
        <v>42279</v>
      </c>
      <c r="B189" s="33"/>
      <c r="D189" s="36"/>
      <c r="E189" s="33"/>
      <c r="F189" s="33"/>
      <c r="G189" s="33"/>
      <c r="H189" s="33"/>
      <c r="I189" s="33"/>
      <c r="J189" s="33"/>
      <c r="K189" s="33">
        <v>15.9</v>
      </c>
      <c r="L189" s="33"/>
      <c r="M189" s="33"/>
      <c r="N189" s="33"/>
      <c r="O189" s="33"/>
      <c r="P189" s="33"/>
      <c r="Q189" s="33"/>
      <c r="R189" s="17">
        <f t="shared" si="30"/>
        <v>419.4100000000015</v>
      </c>
      <c r="T189" s="5"/>
    </row>
    <row r="190" spans="1:21" x14ac:dyDescent="0.25">
      <c r="A190" s="26">
        <v>42284</v>
      </c>
      <c r="B190" s="33">
        <v>1350</v>
      </c>
      <c r="D190" s="36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17">
        <f t="shared" si="30"/>
        <v>1769.4100000000014</v>
      </c>
      <c r="T190" s="5"/>
    </row>
    <row r="191" spans="1:21" x14ac:dyDescent="0.25">
      <c r="A191" s="26">
        <v>42283</v>
      </c>
      <c r="B191" s="33"/>
      <c r="C191" s="7" t="s">
        <v>17</v>
      </c>
      <c r="D191" s="36">
        <v>200</v>
      </c>
      <c r="E191" s="33">
        <v>7.14</v>
      </c>
      <c r="F191" s="33">
        <f t="shared" ref="F191" si="36">D191*E191</f>
        <v>1428</v>
      </c>
      <c r="G191" s="33">
        <v>0.39</v>
      </c>
      <c r="H191" s="33">
        <v>7.0000000000000007E-2</v>
      </c>
      <c r="I191" s="33">
        <v>16.91</v>
      </c>
      <c r="J191" s="33">
        <f>SUM(F191:I191)</f>
        <v>1445.3700000000001</v>
      </c>
      <c r="K191" s="33"/>
      <c r="L191" s="33"/>
      <c r="M191" s="33"/>
      <c r="N191" s="33"/>
      <c r="O191" s="33"/>
      <c r="P191" s="33"/>
      <c r="Q191" s="33"/>
      <c r="R191" s="17">
        <f t="shared" si="30"/>
        <v>324.04000000000133</v>
      </c>
      <c r="T191" s="5"/>
    </row>
    <row r="192" spans="1:21" x14ac:dyDescent="0.25">
      <c r="A192" s="26">
        <v>42311</v>
      </c>
      <c r="B192" s="33"/>
      <c r="D192" s="36"/>
      <c r="E192" s="33"/>
      <c r="F192" s="33"/>
      <c r="G192" s="33"/>
      <c r="H192" s="33"/>
      <c r="I192" s="33"/>
      <c r="J192" s="33"/>
      <c r="K192" s="33">
        <v>15.9</v>
      </c>
      <c r="L192" s="33"/>
      <c r="M192" s="33"/>
      <c r="N192" s="33"/>
      <c r="O192" s="33"/>
      <c r="P192" s="33"/>
      <c r="Q192" s="33"/>
      <c r="R192" s="17">
        <f t="shared" si="30"/>
        <v>308.14000000000135</v>
      </c>
      <c r="T192" s="5"/>
    </row>
    <row r="193" spans="1:21" x14ac:dyDescent="0.25">
      <c r="A193" s="26">
        <v>42325</v>
      </c>
      <c r="B193" s="33"/>
      <c r="C193" s="7" t="s">
        <v>35</v>
      </c>
      <c r="D193" s="36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>
        <v>93.5</v>
      </c>
      <c r="P193" s="33"/>
      <c r="Q193" s="33"/>
      <c r="R193" s="17">
        <f t="shared" si="30"/>
        <v>401.64000000000135</v>
      </c>
      <c r="T193" s="5"/>
    </row>
    <row r="194" spans="1:21" x14ac:dyDescent="0.25">
      <c r="A194" s="26">
        <v>42339</v>
      </c>
      <c r="B194" s="33"/>
      <c r="D194" s="36"/>
      <c r="E194" s="33"/>
      <c r="F194" s="33"/>
      <c r="G194" s="33"/>
      <c r="H194" s="33"/>
      <c r="I194" s="33"/>
      <c r="J194" s="33"/>
      <c r="K194" s="33">
        <v>15.9</v>
      </c>
      <c r="L194" s="33"/>
      <c r="M194" s="33"/>
      <c r="N194" s="33"/>
      <c r="O194" s="33"/>
      <c r="P194" s="33"/>
      <c r="Q194" s="33"/>
      <c r="R194" s="17">
        <f t="shared" si="30"/>
        <v>385.74000000000137</v>
      </c>
      <c r="T194" s="5"/>
    </row>
    <row r="195" spans="1:21" x14ac:dyDescent="0.25">
      <c r="A195" s="26">
        <v>42340</v>
      </c>
      <c r="B195" s="33"/>
      <c r="C195" s="7" t="s">
        <v>5</v>
      </c>
      <c r="D195" s="36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>
        <v>14.52</v>
      </c>
      <c r="P195" s="33"/>
      <c r="Q195" s="33"/>
      <c r="R195" s="17">
        <f t="shared" si="30"/>
        <v>400.26000000000136</v>
      </c>
      <c r="T195" s="5"/>
      <c r="U195" s="20"/>
    </row>
    <row r="196" spans="1:21" x14ac:dyDescent="0.25">
      <c r="A196" s="26">
        <v>42366</v>
      </c>
      <c r="B196" s="33"/>
      <c r="C196" s="7" t="s">
        <v>17</v>
      </c>
      <c r="D196" s="36"/>
      <c r="E196" s="33"/>
      <c r="F196" s="33"/>
      <c r="G196" s="33"/>
      <c r="H196" s="33"/>
      <c r="I196" s="33"/>
      <c r="J196" s="33"/>
      <c r="K196" s="33"/>
      <c r="L196" s="33"/>
      <c r="M196" s="33"/>
      <c r="N196" s="33">
        <v>180.34</v>
      </c>
      <c r="O196" s="33">
        <v>31.07</v>
      </c>
      <c r="P196" s="33"/>
      <c r="Q196" s="33"/>
      <c r="R196" s="17">
        <f t="shared" si="30"/>
        <v>611.67000000000144</v>
      </c>
      <c r="T196" s="5"/>
    </row>
    <row r="197" spans="1:21" x14ac:dyDescent="0.25">
      <c r="A197" s="26">
        <v>42368</v>
      </c>
      <c r="B197" s="33"/>
      <c r="C197" s="7" t="s">
        <v>5</v>
      </c>
      <c r="D197" s="36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>
        <v>23.33</v>
      </c>
      <c r="P197" s="33"/>
      <c r="Q197" s="33"/>
      <c r="R197" s="17">
        <f t="shared" si="30"/>
        <v>635.00000000000148</v>
      </c>
      <c r="T197" s="5"/>
    </row>
    <row r="198" spans="1:21" x14ac:dyDescent="0.25">
      <c r="A198" s="26">
        <v>42373</v>
      </c>
      <c r="B198" s="33"/>
      <c r="D198" s="36"/>
      <c r="E198" s="33"/>
      <c r="F198" s="33"/>
      <c r="G198" s="33"/>
      <c r="H198" s="33"/>
      <c r="I198" s="33"/>
      <c r="J198" s="33"/>
      <c r="K198" s="33">
        <v>15.9</v>
      </c>
      <c r="L198" s="33"/>
      <c r="M198" s="33"/>
      <c r="N198" s="33"/>
      <c r="O198" s="33"/>
      <c r="P198" s="33"/>
      <c r="Q198" s="33"/>
      <c r="R198" s="17">
        <f t="shared" si="30"/>
        <v>619.1000000000015</v>
      </c>
      <c r="T198" s="5"/>
    </row>
    <row r="199" spans="1:21" x14ac:dyDescent="0.25">
      <c r="A199" s="26">
        <v>42388</v>
      </c>
      <c r="B199" s="33"/>
      <c r="C199" s="7" t="s">
        <v>17</v>
      </c>
      <c r="D199" s="36">
        <v>200</v>
      </c>
      <c r="E199" s="33">
        <v>4.76</v>
      </c>
      <c r="F199" s="33">
        <f t="shared" ref="F199" si="37">D199*E199</f>
        <v>952</v>
      </c>
      <c r="G199" s="33">
        <v>0.26</v>
      </c>
      <c r="H199" s="33">
        <v>0.04</v>
      </c>
      <c r="I199" s="33">
        <v>16.91</v>
      </c>
      <c r="J199" s="33">
        <f>SUM(F199:I199)</f>
        <v>969.20999999999992</v>
      </c>
      <c r="K199" s="33"/>
      <c r="L199" s="33"/>
      <c r="M199" s="33"/>
      <c r="N199" s="33"/>
      <c r="O199" s="33"/>
      <c r="P199" s="33"/>
      <c r="Q199" s="33"/>
      <c r="R199" s="17">
        <f t="shared" si="30"/>
        <v>-350.10999999999842</v>
      </c>
      <c r="T199" s="5"/>
    </row>
    <row r="200" spans="1:21" x14ac:dyDescent="0.25">
      <c r="A200" s="26">
        <v>42391</v>
      </c>
      <c r="B200" s="33">
        <v>650</v>
      </c>
      <c r="D200" s="36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17">
        <f t="shared" si="30"/>
        <v>299.89000000000158</v>
      </c>
      <c r="T200" s="5"/>
    </row>
    <row r="201" spans="1:21" x14ac:dyDescent="0.25">
      <c r="A201" s="26">
        <v>42401</v>
      </c>
      <c r="B201" s="33"/>
      <c r="D201" s="36"/>
      <c r="E201" s="33"/>
      <c r="F201" s="33"/>
      <c r="G201" s="33"/>
      <c r="H201" s="33"/>
      <c r="I201" s="33"/>
      <c r="J201" s="33"/>
      <c r="K201" s="33">
        <v>19.899999999999999</v>
      </c>
      <c r="L201" s="33"/>
      <c r="M201" s="33"/>
      <c r="N201" s="33"/>
      <c r="O201" s="33"/>
      <c r="P201" s="33"/>
      <c r="Q201" s="33"/>
      <c r="R201" s="17">
        <f t="shared" si="30"/>
        <v>279.9900000000016</v>
      </c>
      <c r="T201" s="5"/>
    </row>
    <row r="202" spans="1:21" x14ac:dyDescent="0.25">
      <c r="A202" s="26">
        <v>42433</v>
      </c>
      <c r="B202" s="33"/>
      <c r="C202" s="7" t="s">
        <v>17</v>
      </c>
      <c r="D202" s="36">
        <v>-100</v>
      </c>
      <c r="E202" s="33">
        <v>7.44</v>
      </c>
      <c r="F202" s="33">
        <f t="shared" ref="F202:F203" si="38">D202*E202</f>
        <v>-744</v>
      </c>
      <c r="G202" s="33">
        <v>0.4</v>
      </c>
      <c r="H202" s="33">
        <v>7.0000000000000007E-2</v>
      </c>
      <c r="I202" s="33">
        <v>16.91</v>
      </c>
      <c r="J202" s="33">
        <f t="shared" ref="J202:J203" si="39">SUM(F202:I202)</f>
        <v>-726.62</v>
      </c>
      <c r="K202" s="33"/>
      <c r="L202" s="33"/>
      <c r="M202" s="33"/>
      <c r="N202" s="33"/>
      <c r="O202" s="33"/>
      <c r="P202" s="33"/>
      <c r="Q202" s="33"/>
      <c r="R202" s="17">
        <f t="shared" si="30"/>
        <v>1006.6100000000016</v>
      </c>
      <c r="T202" s="5"/>
    </row>
    <row r="203" spans="1:21" x14ac:dyDescent="0.25">
      <c r="A203" s="26">
        <v>42433</v>
      </c>
      <c r="B203" s="33"/>
      <c r="C203" s="7" t="s">
        <v>17</v>
      </c>
      <c r="D203" s="36">
        <v>-100</v>
      </c>
      <c r="E203" s="33">
        <v>7.43</v>
      </c>
      <c r="F203" s="33">
        <f t="shared" si="38"/>
        <v>-743</v>
      </c>
      <c r="G203" s="33">
        <v>0</v>
      </c>
      <c r="H203" s="33">
        <v>0</v>
      </c>
      <c r="I203" s="33"/>
      <c r="J203" s="33">
        <f t="shared" si="39"/>
        <v>-743</v>
      </c>
      <c r="K203" s="33"/>
      <c r="L203" s="33"/>
      <c r="M203" s="33"/>
      <c r="N203" s="33"/>
      <c r="O203" s="33"/>
      <c r="P203" s="33"/>
      <c r="Q203" s="33"/>
      <c r="R203" s="17">
        <f t="shared" si="30"/>
        <v>1749.6100000000015</v>
      </c>
      <c r="T203" s="5"/>
    </row>
    <row r="204" spans="1:21" x14ac:dyDescent="0.25">
      <c r="A204" s="26">
        <v>42439</v>
      </c>
      <c r="B204" s="33">
        <v>-1400</v>
      </c>
      <c r="D204" s="36"/>
      <c r="E204" s="33"/>
      <c r="F204" s="33"/>
      <c r="G204" s="33"/>
      <c r="H204" s="33"/>
      <c r="I204" s="33"/>
      <c r="J204" s="33"/>
      <c r="K204" s="33"/>
      <c r="L204" s="33">
        <v>8.9</v>
      </c>
      <c r="M204" s="33"/>
      <c r="N204" s="33"/>
      <c r="O204" s="33"/>
      <c r="P204" s="33"/>
      <c r="Q204" s="33"/>
      <c r="R204" s="17">
        <f t="shared" si="30"/>
        <v>340.71000000000151</v>
      </c>
      <c r="T204" s="5"/>
    </row>
    <row r="205" spans="1:21" x14ac:dyDescent="0.25">
      <c r="A205" s="26">
        <v>42440</v>
      </c>
      <c r="B205" s="33"/>
      <c r="C205" s="7" t="s">
        <v>5</v>
      </c>
      <c r="D205" s="36">
        <v>-100</v>
      </c>
      <c r="E205" s="33">
        <v>22.6</v>
      </c>
      <c r="F205" s="33">
        <f t="shared" ref="F205" si="40">D205*E205</f>
        <v>-2260</v>
      </c>
      <c r="G205" s="33">
        <v>0.62</v>
      </c>
      <c r="H205" s="33">
        <v>0.11</v>
      </c>
      <c r="I205" s="33">
        <v>16.91</v>
      </c>
      <c r="J205" s="33">
        <f t="shared" ref="J205" si="41">SUM(F205:I205)</f>
        <v>-2242.36</v>
      </c>
      <c r="K205" s="33"/>
      <c r="L205" s="33"/>
      <c r="M205" s="33"/>
      <c r="N205" s="33"/>
      <c r="O205" s="33"/>
      <c r="P205" s="33"/>
      <c r="Q205" s="33"/>
      <c r="R205" s="17">
        <f t="shared" si="30"/>
        <v>2583.0700000000015</v>
      </c>
      <c r="T205" s="5"/>
    </row>
    <row r="206" spans="1:21" x14ac:dyDescent="0.25">
      <c r="A206" s="26">
        <v>42440</v>
      </c>
      <c r="B206" s="33"/>
      <c r="C206" s="7" t="s">
        <v>5</v>
      </c>
      <c r="D206" s="36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>
        <v>7.51</v>
      </c>
      <c r="P206" s="33">
        <v>0.18</v>
      </c>
      <c r="Q206" s="33"/>
      <c r="R206" s="17">
        <f t="shared" si="30"/>
        <v>2590.7600000000016</v>
      </c>
      <c r="T206" s="5"/>
    </row>
    <row r="207" spans="1:21" x14ac:dyDescent="0.25">
      <c r="A207" s="26">
        <v>42445</v>
      </c>
      <c r="B207" s="33">
        <v>-2300</v>
      </c>
      <c r="D207" s="36"/>
      <c r="E207" s="33"/>
      <c r="F207" s="33"/>
      <c r="G207" s="33"/>
      <c r="H207" s="33"/>
      <c r="I207" s="33"/>
      <c r="J207" s="33"/>
      <c r="K207" s="33"/>
      <c r="L207" s="33">
        <v>8.9</v>
      </c>
      <c r="M207" s="33"/>
      <c r="N207" s="33"/>
      <c r="O207" s="33"/>
      <c r="P207" s="33"/>
      <c r="Q207" s="33"/>
      <c r="R207" s="17">
        <f t="shared" si="30"/>
        <v>281.86000000000161</v>
      </c>
      <c r="T207" s="5"/>
    </row>
    <row r="208" spans="1:21" x14ac:dyDescent="0.25">
      <c r="A208" s="26">
        <v>42473</v>
      </c>
      <c r="B208" s="33"/>
      <c r="C208" s="7" t="s">
        <v>35</v>
      </c>
      <c r="D208" s="36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>
        <v>93.5</v>
      </c>
      <c r="P208" s="33"/>
      <c r="Q208" s="33"/>
      <c r="R208" s="17">
        <f t="shared" ref="R208:R210" si="42">R207+B208-J208-K208-L208+M208+N208+O208+P208</f>
        <v>375.36000000000161</v>
      </c>
      <c r="T208" s="5"/>
    </row>
    <row r="209" spans="1:20" x14ac:dyDescent="0.25">
      <c r="A209" s="26">
        <v>42522</v>
      </c>
      <c r="B209" s="33"/>
      <c r="D209" s="36"/>
      <c r="E209" s="33"/>
      <c r="F209" s="33"/>
      <c r="G209" s="33"/>
      <c r="H209" s="33"/>
      <c r="I209" s="33"/>
      <c r="J209" s="33"/>
      <c r="K209" s="33">
        <v>19.899999999999999</v>
      </c>
      <c r="L209" s="33"/>
      <c r="M209" s="33"/>
      <c r="N209" s="33"/>
      <c r="O209" s="33"/>
      <c r="P209" s="33"/>
      <c r="Q209" s="33"/>
      <c r="R209" s="17">
        <f t="shared" si="42"/>
        <v>355.46000000000163</v>
      </c>
      <c r="T209" s="5"/>
    </row>
    <row r="210" spans="1:20" x14ac:dyDescent="0.25">
      <c r="A210" s="26">
        <v>42535</v>
      </c>
      <c r="B210" s="33"/>
      <c r="C210" s="7" t="s">
        <v>79</v>
      </c>
      <c r="D210" s="36">
        <v>-500</v>
      </c>
      <c r="E210" s="33">
        <v>1.75</v>
      </c>
      <c r="F210" s="33">
        <f t="shared" ref="F210" si="43">D210*E210</f>
        <v>-875</v>
      </c>
      <c r="G210" s="33">
        <v>1.29</v>
      </c>
      <c r="H210" s="33">
        <v>1</v>
      </c>
      <c r="I210" s="33">
        <v>14.9</v>
      </c>
      <c r="J210" s="33">
        <f t="shared" ref="J210" si="44">SUM(F210:I210)</f>
        <v>-857.81000000000006</v>
      </c>
      <c r="K210" s="33"/>
      <c r="L210" s="33"/>
      <c r="M210" s="33"/>
      <c r="N210" s="33"/>
      <c r="O210" s="33"/>
      <c r="P210" s="33"/>
      <c r="Q210" s="33"/>
      <c r="R210" s="17">
        <f t="shared" si="42"/>
        <v>1213.2700000000018</v>
      </c>
      <c r="T210" s="5"/>
    </row>
    <row r="211" spans="1:20" x14ac:dyDescent="0.25">
      <c r="A211" s="26">
        <v>42538</v>
      </c>
      <c r="B211" s="33">
        <v>-900</v>
      </c>
      <c r="D211" s="36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17">
        <f t="shared" ref="R211" si="45">R210+B211-J211-K211-L211+M211+N211+O211+P211</f>
        <v>313.2700000000018</v>
      </c>
      <c r="T211" s="5"/>
    </row>
    <row r="212" spans="1:20" x14ac:dyDescent="0.25">
      <c r="A212" s="26">
        <v>42538</v>
      </c>
      <c r="B212" s="33"/>
      <c r="D212" s="36"/>
      <c r="E212" s="33"/>
      <c r="F212" s="33"/>
      <c r="G212" s="33"/>
      <c r="H212" s="33"/>
      <c r="I212" s="33"/>
      <c r="J212" s="33"/>
      <c r="K212" s="33"/>
      <c r="L212" s="33">
        <v>8.9</v>
      </c>
      <c r="M212" s="33"/>
      <c r="N212" s="33"/>
      <c r="O212" s="33"/>
      <c r="P212" s="33"/>
      <c r="Q212" s="33"/>
      <c r="R212" s="17">
        <f t="shared" ref="R212" si="46">R211+B212-J212-K212-L212+M212+N212+O212+P212</f>
        <v>304.37000000000182</v>
      </c>
      <c r="T212" s="5"/>
    </row>
    <row r="213" spans="1:20" x14ac:dyDescent="0.25">
      <c r="A213" s="26">
        <v>42542</v>
      </c>
      <c r="B213" s="33"/>
      <c r="C213" s="7" t="s">
        <v>17</v>
      </c>
      <c r="D213" s="36">
        <v>-600</v>
      </c>
      <c r="E213" s="33">
        <v>5.94</v>
      </c>
      <c r="F213" s="33">
        <f t="shared" ref="F213" si="47">D213*E213</f>
        <v>-3564.0000000000005</v>
      </c>
      <c r="G213" s="33">
        <v>0.98</v>
      </c>
      <c r="H213" s="33">
        <v>0.18</v>
      </c>
      <c r="I213" s="33">
        <v>14.9</v>
      </c>
      <c r="J213" s="33">
        <f t="shared" ref="J213" si="48">SUM(F213:I213)</f>
        <v>-3547.9400000000005</v>
      </c>
      <c r="K213" s="33"/>
      <c r="L213" s="33"/>
      <c r="M213" s="33"/>
      <c r="N213" s="33"/>
      <c r="O213" s="33"/>
      <c r="P213" s="33"/>
      <c r="Q213" s="33"/>
      <c r="R213" s="17">
        <f t="shared" ref="R213" si="49">R212+B213-J213-K213-L213+M213+N213+O213+P213</f>
        <v>3852.3100000000022</v>
      </c>
      <c r="T213" s="5"/>
    </row>
    <row r="214" spans="1:20" x14ac:dyDescent="0.25">
      <c r="A214" s="26">
        <v>42545</v>
      </c>
      <c r="B214" s="33">
        <v>-3560</v>
      </c>
      <c r="D214" s="36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17">
        <f t="shared" ref="R214:R215" si="50">R213+B214-J214-K214-L214+M214+N214+O214+P214</f>
        <v>292.31000000000222</v>
      </c>
      <c r="T214" s="5"/>
    </row>
    <row r="215" spans="1:20" x14ac:dyDescent="0.25">
      <c r="A215" s="26">
        <v>42545</v>
      </c>
      <c r="B215" s="33"/>
      <c r="D215" s="36"/>
      <c r="E215" s="33"/>
      <c r="F215" s="33"/>
      <c r="G215" s="33"/>
      <c r="H215" s="33"/>
      <c r="I215" s="33"/>
      <c r="J215" s="33"/>
      <c r="K215" s="33"/>
      <c r="L215" s="33">
        <v>8.9</v>
      </c>
      <c r="M215" s="33"/>
      <c r="N215" s="33"/>
      <c r="O215" s="33"/>
      <c r="P215" s="33"/>
      <c r="Q215" s="33"/>
      <c r="R215" s="17">
        <f t="shared" si="50"/>
        <v>283.41000000000224</v>
      </c>
      <c r="T215" s="5"/>
    </row>
    <row r="216" spans="1:20" x14ac:dyDescent="0.25">
      <c r="A216" s="26">
        <v>42551</v>
      </c>
      <c r="B216" s="33"/>
      <c r="C216" s="7" t="s">
        <v>17</v>
      </c>
      <c r="D216" s="36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>
        <v>40.53</v>
      </c>
      <c r="P216" s="33"/>
      <c r="Q216" s="33"/>
      <c r="R216" s="17">
        <f t="shared" ref="R216:R217" si="51">R215+B216-J216-K216-L216+M216+N216+O216+P216</f>
        <v>323.94000000000221</v>
      </c>
      <c r="T216" s="5"/>
    </row>
    <row r="217" spans="1:20" x14ac:dyDescent="0.25">
      <c r="A217" s="26">
        <v>42552</v>
      </c>
      <c r="B217" s="33"/>
      <c r="D217" s="36"/>
      <c r="E217" s="33"/>
      <c r="F217" s="33"/>
      <c r="G217" s="33"/>
      <c r="H217" s="33"/>
      <c r="I217" s="33"/>
      <c r="J217" s="33"/>
      <c r="K217" s="33">
        <v>19.899999999999999</v>
      </c>
      <c r="L217" s="33"/>
      <c r="M217" s="33"/>
      <c r="N217" s="33"/>
      <c r="O217" s="33"/>
      <c r="P217" s="33"/>
      <c r="Q217" s="33"/>
      <c r="R217" s="17">
        <f t="shared" si="51"/>
        <v>304.04000000000224</v>
      </c>
      <c r="T217" s="5"/>
    </row>
    <row r="218" spans="1:20" x14ac:dyDescent="0.25">
      <c r="A218" s="26">
        <v>42583</v>
      </c>
      <c r="B218" s="33"/>
      <c r="D218" s="36"/>
      <c r="E218" s="33"/>
      <c r="F218" s="33"/>
      <c r="G218" s="33"/>
      <c r="H218" s="33"/>
      <c r="I218" s="33"/>
      <c r="J218" s="33"/>
      <c r="K218" s="33">
        <v>19.899999999999999</v>
      </c>
      <c r="L218" s="33"/>
      <c r="M218" s="33"/>
      <c r="N218" s="33"/>
      <c r="O218" s="33"/>
      <c r="P218" s="33"/>
      <c r="Q218" s="33"/>
      <c r="R218" s="17">
        <v>8.5</v>
      </c>
      <c r="S218" t="s">
        <v>94</v>
      </c>
      <c r="T218" s="5"/>
    </row>
    <row r="219" spans="1:20" x14ac:dyDescent="0.25">
      <c r="A219" s="26"/>
      <c r="B219" s="33"/>
      <c r="C219" s="68"/>
      <c r="D219" s="36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T219" s="5"/>
    </row>
    <row r="220" spans="1:20" x14ac:dyDescent="0.25">
      <c r="A220" s="23" t="s">
        <v>4</v>
      </c>
      <c r="B220" s="24">
        <f>SUM(B3:B218)</f>
        <v>18567.68</v>
      </c>
      <c r="C220" s="24"/>
      <c r="D220" s="35">
        <f>SUM(D3:D218)</f>
        <v>3400</v>
      </c>
      <c r="E220" s="40"/>
      <c r="F220" s="28"/>
      <c r="G220" s="28">
        <f>SUM(G3:G218)</f>
        <v>35.54999999999999</v>
      </c>
      <c r="H220" s="28">
        <f>SUM(H3:H218)</f>
        <v>12.280000000000001</v>
      </c>
      <c r="I220" s="28">
        <f>SUM(I3:I218)</f>
        <v>1121.3299999999997</v>
      </c>
      <c r="J220" s="44"/>
      <c r="K220" s="28">
        <f>SUM(K3:K218)</f>
        <v>388.94999999999993</v>
      </c>
      <c r="L220" s="28">
        <f t="shared" ref="L220:Q220" si="52">SUM(L3:L218)</f>
        <v>71.2</v>
      </c>
      <c r="M220" s="28">
        <f t="shared" si="52"/>
        <v>83.309999999999988</v>
      </c>
      <c r="N220" s="28">
        <f t="shared" si="52"/>
        <v>2268.1800000000003</v>
      </c>
      <c r="O220" s="28">
        <f t="shared" si="52"/>
        <v>1113.6099999999999</v>
      </c>
      <c r="P220" s="28">
        <f t="shared" si="52"/>
        <v>2.27</v>
      </c>
      <c r="Q220" s="28">
        <f t="shared" si="52"/>
        <v>28.86</v>
      </c>
      <c r="R220" s="40"/>
    </row>
    <row r="221" spans="1:20" x14ac:dyDescent="0.25">
      <c r="A221" s="6"/>
      <c r="C221" s="11"/>
      <c r="H221" s="43"/>
      <c r="T221" s="5"/>
    </row>
    <row r="222" spans="1:20" x14ac:dyDescent="0.25">
      <c r="A222" s="6"/>
      <c r="C222" s="11"/>
      <c r="H222" s="43"/>
      <c r="T222" s="5"/>
    </row>
    <row r="223" spans="1:20" x14ac:dyDescent="0.25">
      <c r="A223" s="6"/>
      <c r="C223" s="11"/>
      <c r="T223" s="5"/>
    </row>
    <row r="224" spans="1:20" x14ac:dyDescent="0.25">
      <c r="A224" s="6"/>
      <c r="C224" s="11"/>
      <c r="F224" s="17"/>
      <c r="J224" s="17"/>
    </row>
    <row r="225" spans="1:23" x14ac:dyDescent="0.25">
      <c r="A225" s="6"/>
      <c r="C225" s="11"/>
      <c r="N225" s="12"/>
      <c r="O225" s="12"/>
      <c r="P225" s="12"/>
      <c r="Q225" s="12"/>
    </row>
    <row r="226" spans="1:23" x14ac:dyDescent="0.25">
      <c r="A226" s="6"/>
      <c r="I226" s="12"/>
      <c r="U226" s="5"/>
      <c r="V226" s="5"/>
      <c r="W226" s="5"/>
    </row>
    <row r="227" spans="1:23" x14ac:dyDescent="0.25">
      <c r="A227" s="6"/>
    </row>
    <row r="228" spans="1:23" x14ac:dyDescent="0.25">
      <c r="A228" s="6"/>
    </row>
    <row r="234" spans="1:23" x14ac:dyDescent="0.25">
      <c r="A234"/>
      <c r="B234"/>
      <c r="C234"/>
      <c r="D234" s="38"/>
      <c r="E234" s="43"/>
      <c r="H234"/>
      <c r="I234"/>
      <c r="J234"/>
      <c r="K234"/>
      <c r="L234"/>
      <c r="M234"/>
      <c r="N234"/>
      <c r="O234"/>
      <c r="P234"/>
      <c r="Q234"/>
      <c r="R234"/>
    </row>
    <row r="242" spans="4:7" customFormat="1" x14ac:dyDescent="0.25">
      <c r="D242" s="37"/>
      <c r="E242" s="41"/>
      <c r="F242" s="41"/>
      <c r="G242" s="4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96A7-86DE-467A-AD1A-2A868425F8A3}">
  <dimension ref="A1:V93"/>
  <sheetViews>
    <sheetView topLeftCell="A68" workbookViewId="0">
      <selection activeCell="B85" sqref="B85"/>
    </sheetView>
  </sheetViews>
  <sheetFormatPr defaultRowHeight="15" x14ac:dyDescent="0.25"/>
  <cols>
    <col min="1" max="1" width="11.7109375" style="2" customWidth="1"/>
    <col min="2" max="2" width="11.5703125" style="7" bestFit="1" customWidth="1"/>
    <col min="3" max="3" width="10" style="7" bestFit="1" customWidth="1"/>
    <col min="4" max="4" width="9.140625" style="37" bestFit="1"/>
    <col min="5" max="5" width="9.5703125" style="41" bestFit="1" customWidth="1"/>
    <col min="6" max="6" width="10.28515625" style="41" customWidth="1"/>
    <col min="7" max="7" width="9.140625" style="41" bestFit="1"/>
    <col min="8" max="8" width="11.85546875" style="41" bestFit="1" customWidth="1"/>
    <col min="9" max="9" width="13.7109375" style="41" customWidth="1"/>
    <col min="10" max="10" width="10.5703125" style="41" customWidth="1"/>
    <col min="11" max="11" width="10.140625" style="41" bestFit="1" customWidth="1"/>
    <col min="12" max="12" width="4.5703125" style="41" bestFit="1" customWidth="1"/>
    <col min="13" max="13" width="9.140625" style="41" bestFit="1"/>
    <col min="14" max="14" width="12.140625" style="41" bestFit="1" customWidth="1"/>
    <col min="15" max="15" width="9.42578125" style="41" customWidth="1"/>
    <col min="16" max="16" width="16.7109375" style="41" bestFit="1" customWidth="1"/>
    <col min="17" max="17" width="13.85546875" bestFit="1" customWidth="1"/>
    <col min="18" max="18" width="13.85546875" customWidth="1"/>
    <col min="19" max="19" width="11.5703125" customWidth="1"/>
    <col min="20" max="20" width="9" customWidth="1"/>
    <col min="21" max="21" width="10.140625" customWidth="1"/>
    <col min="22" max="22" width="11.85546875" customWidth="1"/>
    <col min="23" max="23" width="14.28515625" customWidth="1"/>
  </cols>
  <sheetData>
    <row r="1" spans="1:22" ht="21" customHeight="1" x14ac:dyDescent="0.35">
      <c r="A1" s="30" t="s">
        <v>54</v>
      </c>
      <c r="B1" s="21"/>
      <c r="C1" s="21"/>
      <c r="D1" s="34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1"/>
    </row>
    <row r="2" spans="1:22" x14ac:dyDescent="0.25">
      <c r="A2" s="27" t="s">
        <v>0</v>
      </c>
      <c r="B2" s="24" t="s">
        <v>48</v>
      </c>
      <c r="C2" s="24" t="s">
        <v>1</v>
      </c>
      <c r="D2" s="35" t="s">
        <v>3</v>
      </c>
      <c r="E2" s="40" t="s">
        <v>50</v>
      </c>
      <c r="F2" s="40" t="s">
        <v>4</v>
      </c>
      <c r="G2" s="40" t="s">
        <v>90</v>
      </c>
      <c r="H2" s="40" t="s">
        <v>89</v>
      </c>
      <c r="I2" s="40" t="s">
        <v>10</v>
      </c>
      <c r="J2" s="40" t="s">
        <v>7</v>
      </c>
      <c r="K2" s="40" t="s">
        <v>51</v>
      </c>
      <c r="L2" s="40" t="s">
        <v>53</v>
      </c>
      <c r="M2" s="40" t="s">
        <v>93</v>
      </c>
      <c r="N2" s="40" t="s">
        <v>14</v>
      </c>
      <c r="O2" s="40" t="s">
        <v>34</v>
      </c>
      <c r="P2" s="40" t="s">
        <v>49</v>
      </c>
      <c r="Q2" s="2"/>
      <c r="S2" s="2" t="s">
        <v>278</v>
      </c>
      <c r="T2" s="15" t="s">
        <v>247</v>
      </c>
      <c r="U2" s="15" t="s">
        <v>279</v>
      </c>
      <c r="V2" s="15" t="s">
        <v>4</v>
      </c>
    </row>
    <row r="3" spans="1:22" x14ac:dyDescent="0.25">
      <c r="A3" s="26">
        <v>43164</v>
      </c>
      <c r="B3" s="17">
        <v>50</v>
      </c>
      <c r="D3" s="3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f>B3-J3-K3-L3+M3+N3+O3</f>
        <v>50</v>
      </c>
      <c r="Q3" s="2"/>
      <c r="S3" s="2" t="s">
        <v>233</v>
      </c>
      <c r="T3">
        <v>1</v>
      </c>
      <c r="U3" s="3">
        <v>96.27</v>
      </c>
      <c r="V3" s="5">
        <f>T3*U3</f>
        <v>96.27</v>
      </c>
    </row>
    <row r="4" spans="1:22" x14ac:dyDescent="0.25">
      <c r="A4" s="26">
        <v>43165</v>
      </c>
      <c r="B4" s="17"/>
      <c r="C4" s="7" t="s">
        <v>233</v>
      </c>
      <c r="D4" s="36">
        <v>2</v>
      </c>
      <c r="E4" s="17">
        <v>16.559999999999999</v>
      </c>
      <c r="F4" s="17">
        <f>D4*E4</f>
        <v>33.119999999999997</v>
      </c>
      <c r="G4" s="17">
        <v>0</v>
      </c>
      <c r="H4" s="17">
        <v>0</v>
      </c>
      <c r="I4" s="17">
        <v>0</v>
      </c>
      <c r="J4" s="17">
        <f>SUM(F4:I4)</f>
        <v>33.119999999999997</v>
      </c>
      <c r="K4" s="17"/>
      <c r="L4" s="17"/>
      <c r="M4" s="17"/>
      <c r="N4" s="17"/>
      <c r="O4" s="17"/>
      <c r="P4" s="17">
        <f>P3+B4-J4-K4-L4+M4+N4+O4</f>
        <v>16.880000000000003</v>
      </c>
      <c r="Q4" s="2"/>
      <c r="S4" s="2" t="s">
        <v>173</v>
      </c>
      <c r="T4">
        <v>8</v>
      </c>
      <c r="U4" s="3">
        <v>82.98</v>
      </c>
      <c r="V4" s="5">
        <f t="shared" ref="V4:V8" si="0">T4*U4</f>
        <v>663.84</v>
      </c>
    </row>
    <row r="5" spans="1:22" x14ac:dyDescent="0.25">
      <c r="A5" s="26">
        <v>43196</v>
      </c>
      <c r="B5" s="17"/>
      <c r="C5" s="7" t="s">
        <v>233</v>
      </c>
      <c r="D5" s="36"/>
      <c r="E5" s="17"/>
      <c r="F5" s="17"/>
      <c r="G5" s="17"/>
      <c r="H5" s="17"/>
      <c r="I5" s="17"/>
      <c r="J5" s="17"/>
      <c r="K5" s="17"/>
      <c r="L5" s="17"/>
      <c r="M5" s="17">
        <v>0.16</v>
      </c>
      <c r="N5" s="17"/>
      <c r="O5" s="17"/>
      <c r="P5" s="17">
        <f t="shared" ref="P5:P62" si="1">P4+B5-J5-K5-L5+M5+N5+O5</f>
        <v>17.040000000000003</v>
      </c>
      <c r="Q5" s="2"/>
      <c r="S5" s="2" t="s">
        <v>180</v>
      </c>
      <c r="T5">
        <v>14</v>
      </c>
      <c r="U5" s="3">
        <v>49.69</v>
      </c>
      <c r="V5" s="5">
        <f t="shared" si="0"/>
        <v>695.66</v>
      </c>
    </row>
    <row r="6" spans="1:22" x14ac:dyDescent="0.25">
      <c r="A6" s="26">
        <v>43228</v>
      </c>
      <c r="B6" s="17"/>
      <c r="C6" s="7" t="s">
        <v>233</v>
      </c>
      <c r="D6" s="36"/>
      <c r="E6" s="17"/>
      <c r="F6" s="17"/>
      <c r="G6" s="17"/>
      <c r="H6" s="17"/>
      <c r="I6" s="17"/>
      <c r="J6" s="17"/>
      <c r="K6" s="17"/>
      <c r="L6" s="17"/>
      <c r="M6" s="17">
        <v>0.16</v>
      </c>
      <c r="N6" s="17"/>
      <c r="O6" s="17"/>
      <c r="P6" s="17">
        <f t="shared" si="1"/>
        <v>17.200000000000003</v>
      </c>
      <c r="Q6" s="2"/>
      <c r="S6" s="2" t="s">
        <v>221</v>
      </c>
      <c r="T6">
        <v>105</v>
      </c>
      <c r="U6" s="3">
        <v>10.58</v>
      </c>
      <c r="V6" s="5">
        <f t="shared" si="0"/>
        <v>1110.9000000000001</v>
      </c>
    </row>
    <row r="7" spans="1:22" x14ac:dyDescent="0.25">
      <c r="A7" s="26">
        <v>43258</v>
      </c>
      <c r="B7" s="17"/>
      <c r="C7" s="7" t="s">
        <v>233</v>
      </c>
      <c r="D7" s="36"/>
      <c r="E7" s="17"/>
      <c r="F7" s="17"/>
      <c r="G7" s="17"/>
      <c r="H7" s="17"/>
      <c r="I7" s="17"/>
      <c r="J7" s="17"/>
      <c r="K7" s="17"/>
      <c r="L7" s="17"/>
      <c r="M7" s="17">
        <v>0.17</v>
      </c>
      <c r="N7" s="17"/>
      <c r="O7" s="17"/>
      <c r="P7" s="17">
        <f t="shared" si="1"/>
        <v>17.370000000000005</v>
      </c>
      <c r="Q7" s="2"/>
      <c r="S7" s="2" t="s">
        <v>186</v>
      </c>
      <c r="T7">
        <v>5</v>
      </c>
      <c r="U7" s="3">
        <v>81</v>
      </c>
      <c r="V7" s="5">
        <f t="shared" si="0"/>
        <v>405</v>
      </c>
    </row>
    <row r="8" spans="1:22" x14ac:dyDescent="0.25">
      <c r="A8" s="26">
        <v>43287</v>
      </c>
      <c r="B8" s="17"/>
      <c r="C8" s="7" t="s">
        <v>233</v>
      </c>
      <c r="D8" s="36"/>
      <c r="E8" s="17"/>
      <c r="F8" s="17"/>
      <c r="G8" s="17"/>
      <c r="H8" s="17"/>
      <c r="I8" s="17"/>
      <c r="J8" s="17"/>
      <c r="K8" s="17"/>
      <c r="L8" s="17"/>
      <c r="M8" s="17">
        <v>0.17</v>
      </c>
      <c r="N8" s="17"/>
      <c r="O8" s="17"/>
      <c r="P8" s="17">
        <f t="shared" si="1"/>
        <v>17.540000000000006</v>
      </c>
      <c r="Q8" s="2"/>
      <c r="S8" s="2" t="s">
        <v>169</v>
      </c>
      <c r="T8">
        <v>3</v>
      </c>
      <c r="U8" s="3">
        <v>107.56</v>
      </c>
      <c r="V8" s="5">
        <f t="shared" si="0"/>
        <v>322.68</v>
      </c>
    </row>
    <row r="9" spans="1:22" x14ac:dyDescent="0.25">
      <c r="A9" s="26">
        <v>43319</v>
      </c>
      <c r="B9" s="17"/>
      <c r="C9" s="7" t="s">
        <v>233</v>
      </c>
      <c r="D9" s="36"/>
      <c r="E9" s="17"/>
      <c r="F9" s="17"/>
      <c r="G9" s="17"/>
      <c r="H9" s="17"/>
      <c r="I9" s="17"/>
      <c r="J9" s="17"/>
      <c r="K9" s="17"/>
      <c r="L9" s="17"/>
      <c r="M9" s="17">
        <v>0.17</v>
      </c>
      <c r="N9" s="17"/>
      <c r="O9" s="17"/>
      <c r="P9" s="17">
        <f t="shared" si="1"/>
        <v>17.710000000000008</v>
      </c>
      <c r="Q9" s="2"/>
    </row>
    <row r="10" spans="1:22" x14ac:dyDescent="0.25">
      <c r="A10" s="26">
        <v>43353</v>
      </c>
      <c r="B10" s="17"/>
      <c r="C10" s="7" t="s">
        <v>233</v>
      </c>
      <c r="D10" s="36"/>
      <c r="E10" s="17"/>
      <c r="F10" s="17"/>
      <c r="G10" s="17"/>
      <c r="H10" s="17"/>
      <c r="I10" s="17"/>
      <c r="J10" s="17"/>
      <c r="K10" s="17"/>
      <c r="L10" s="17"/>
      <c r="M10" s="17">
        <v>0.17</v>
      </c>
      <c r="N10" s="17"/>
      <c r="O10" s="17"/>
      <c r="P10" s="17">
        <f t="shared" si="1"/>
        <v>17.88000000000001</v>
      </c>
      <c r="Q10" s="2"/>
      <c r="U10" t="s">
        <v>4</v>
      </c>
      <c r="V10" s="5">
        <f>SUM(V3:V8)</f>
        <v>3294.35</v>
      </c>
    </row>
    <row r="11" spans="1:22" x14ac:dyDescent="0.25">
      <c r="A11" s="26">
        <v>43361</v>
      </c>
      <c r="B11" s="17">
        <v>800</v>
      </c>
      <c r="D11" s="3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>
        <f t="shared" si="1"/>
        <v>817.88</v>
      </c>
      <c r="Q11" s="2"/>
    </row>
    <row r="12" spans="1:22" x14ac:dyDescent="0.25">
      <c r="A12" s="26">
        <v>43362</v>
      </c>
      <c r="B12" s="17">
        <v>950</v>
      </c>
      <c r="D12" s="3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>
        <f t="shared" si="1"/>
        <v>1767.88</v>
      </c>
      <c r="Q12" s="2"/>
    </row>
    <row r="13" spans="1:22" x14ac:dyDescent="0.25">
      <c r="A13" s="26">
        <v>43361</v>
      </c>
      <c r="B13" s="17"/>
      <c r="C13" s="7" t="s">
        <v>221</v>
      </c>
      <c r="D13" s="36">
        <v>50</v>
      </c>
      <c r="E13" s="17">
        <v>9.9600000000000009</v>
      </c>
      <c r="F13" s="17">
        <f>D13*E13</f>
        <v>498.00000000000006</v>
      </c>
      <c r="G13" s="17">
        <v>0.1</v>
      </c>
      <c r="H13" s="17">
        <v>0.02</v>
      </c>
      <c r="I13" s="17">
        <v>0</v>
      </c>
      <c r="J13" s="17">
        <f>SUM(F13:I13)</f>
        <v>498.12000000000006</v>
      </c>
      <c r="K13" s="17"/>
      <c r="L13" s="17"/>
      <c r="M13" s="17"/>
      <c r="N13" s="17"/>
      <c r="O13" s="17"/>
      <c r="P13" s="17">
        <f t="shared" si="1"/>
        <v>1269.76</v>
      </c>
      <c r="Q13" s="2"/>
    </row>
    <row r="14" spans="1:22" x14ac:dyDescent="0.25">
      <c r="A14" s="26">
        <v>43361</v>
      </c>
      <c r="B14" s="17"/>
      <c r="C14" s="7" t="s">
        <v>169</v>
      </c>
      <c r="D14" s="36">
        <v>3</v>
      </c>
      <c r="E14" s="17">
        <v>96.59</v>
      </c>
      <c r="F14" s="17">
        <f>D14*E14</f>
        <v>289.77</v>
      </c>
      <c r="G14" s="17">
        <v>0.11</v>
      </c>
      <c r="H14" s="17">
        <v>0.01</v>
      </c>
      <c r="I14" s="17">
        <v>0</v>
      </c>
      <c r="J14" s="17">
        <f>SUM(F14:I14)</f>
        <v>289.89</v>
      </c>
      <c r="K14" s="17"/>
      <c r="L14" s="17"/>
      <c r="M14" s="17"/>
      <c r="N14" s="17"/>
      <c r="O14" s="17"/>
      <c r="P14" s="17">
        <f t="shared" si="1"/>
        <v>979.87</v>
      </c>
      <c r="Q14" s="2"/>
    </row>
    <row r="15" spans="1:22" x14ac:dyDescent="0.25">
      <c r="A15" s="26">
        <v>43362</v>
      </c>
      <c r="B15" s="17"/>
      <c r="C15" s="7" t="s">
        <v>180</v>
      </c>
      <c r="D15" s="36">
        <v>10</v>
      </c>
      <c r="E15" s="17">
        <v>37.01</v>
      </c>
      <c r="F15" s="17">
        <f>D15*E15</f>
        <v>370.09999999999997</v>
      </c>
      <c r="G15" s="17">
        <v>0.1</v>
      </c>
      <c r="H15" s="17">
        <v>0.02</v>
      </c>
      <c r="I15" s="17">
        <v>0</v>
      </c>
      <c r="J15" s="17">
        <f>SUM(F15:I15)</f>
        <v>370.21999999999997</v>
      </c>
      <c r="K15" s="17"/>
      <c r="L15" s="17"/>
      <c r="M15" s="17"/>
      <c r="N15" s="17"/>
      <c r="O15" s="17"/>
      <c r="P15" s="17">
        <f t="shared" si="1"/>
        <v>609.65000000000009</v>
      </c>
      <c r="Q15" s="2"/>
    </row>
    <row r="16" spans="1:22" x14ac:dyDescent="0.25">
      <c r="A16" s="26">
        <v>43362</v>
      </c>
      <c r="B16" s="17"/>
      <c r="C16" s="7" t="s">
        <v>221</v>
      </c>
      <c r="D16" s="36">
        <v>20</v>
      </c>
      <c r="E16" s="17">
        <v>9.93</v>
      </c>
      <c r="F16" s="17">
        <f>D16*E16</f>
        <v>198.6</v>
      </c>
      <c r="G16" s="17">
        <v>0.05</v>
      </c>
      <c r="H16" s="17">
        <v>0.02</v>
      </c>
      <c r="I16" s="17">
        <v>0</v>
      </c>
      <c r="J16" s="17">
        <f>SUM(F16:I16)</f>
        <v>198.67000000000002</v>
      </c>
      <c r="K16" s="17"/>
      <c r="L16" s="17"/>
      <c r="M16" s="17"/>
      <c r="N16" s="17"/>
      <c r="O16" s="17"/>
      <c r="P16" s="17">
        <f t="shared" si="1"/>
        <v>410.98000000000008</v>
      </c>
      <c r="Q16" s="2"/>
    </row>
    <row r="17" spans="1:17" x14ac:dyDescent="0.25">
      <c r="A17" s="26">
        <v>43362</v>
      </c>
      <c r="B17" s="17"/>
      <c r="C17" s="7" t="s">
        <v>186</v>
      </c>
      <c r="D17" s="36">
        <v>5</v>
      </c>
      <c r="E17" s="17">
        <v>72.349999999999994</v>
      </c>
      <c r="F17" s="17">
        <f>D17*E17</f>
        <v>361.75</v>
      </c>
      <c r="G17" s="17">
        <v>0.1</v>
      </c>
      <c r="H17" s="17">
        <v>0.02</v>
      </c>
      <c r="I17" s="17">
        <v>0</v>
      </c>
      <c r="J17" s="17">
        <f>SUM(F17:I17)</f>
        <v>361.87</v>
      </c>
      <c r="K17" s="17"/>
      <c r="L17" s="17"/>
      <c r="M17" s="17"/>
      <c r="N17" s="17"/>
      <c r="O17" s="17"/>
      <c r="P17" s="17">
        <f t="shared" si="1"/>
        <v>49.11000000000007</v>
      </c>
      <c r="Q17" s="2"/>
    </row>
    <row r="18" spans="1:17" x14ac:dyDescent="0.25">
      <c r="A18" s="26">
        <v>43006</v>
      </c>
      <c r="B18" s="17"/>
      <c r="D18" s="36"/>
      <c r="E18" s="17"/>
      <c r="F18" s="17"/>
      <c r="G18" s="17"/>
      <c r="H18" s="17"/>
      <c r="I18" s="17"/>
      <c r="J18" s="17"/>
      <c r="K18" s="17"/>
      <c r="L18" s="17"/>
      <c r="M18" s="17">
        <v>1.76</v>
      </c>
      <c r="N18" s="17"/>
      <c r="O18" s="17"/>
      <c r="P18" s="17">
        <f t="shared" si="1"/>
        <v>50.870000000000068</v>
      </c>
      <c r="Q18" s="2"/>
    </row>
    <row r="19" spans="1:17" x14ac:dyDescent="0.25">
      <c r="A19" s="26">
        <v>43378</v>
      </c>
      <c r="B19" s="17"/>
      <c r="C19" s="7" t="s">
        <v>233</v>
      </c>
      <c r="D19" s="36"/>
      <c r="E19" s="17"/>
      <c r="F19" s="17"/>
      <c r="G19" s="17"/>
      <c r="H19" s="17"/>
      <c r="I19" s="17"/>
      <c r="J19" s="17"/>
      <c r="K19" s="17"/>
      <c r="L19" s="17"/>
      <c r="M19" s="17">
        <v>0.17</v>
      </c>
      <c r="N19" s="17"/>
      <c r="O19" s="17"/>
      <c r="P19" s="17">
        <f t="shared" si="1"/>
        <v>51.04000000000007</v>
      </c>
      <c r="Q19" s="2"/>
    </row>
    <row r="20" spans="1:17" x14ac:dyDescent="0.25">
      <c r="A20" s="26">
        <v>43378</v>
      </c>
      <c r="B20" s="17"/>
      <c r="C20" s="7" t="s">
        <v>186</v>
      </c>
      <c r="D20" s="36"/>
      <c r="E20" s="17"/>
      <c r="F20" s="17"/>
      <c r="G20" s="17"/>
      <c r="H20" s="17"/>
      <c r="I20" s="17"/>
      <c r="J20" s="17"/>
      <c r="K20" s="17"/>
      <c r="L20" s="17"/>
      <c r="M20" s="17">
        <v>2.75</v>
      </c>
      <c r="N20" s="17"/>
      <c r="O20" s="17"/>
      <c r="P20" s="17">
        <f t="shared" si="1"/>
        <v>53.79000000000007</v>
      </c>
      <c r="Q20" s="2"/>
    </row>
    <row r="21" spans="1:17" x14ac:dyDescent="0.25">
      <c r="A21" s="26">
        <v>43388</v>
      </c>
      <c r="B21" s="17"/>
      <c r="C21" s="7" t="s">
        <v>169</v>
      </c>
      <c r="D21" s="36"/>
      <c r="E21" s="17"/>
      <c r="F21" s="17"/>
      <c r="G21" s="17"/>
      <c r="H21" s="17"/>
      <c r="I21" s="17"/>
      <c r="J21" s="17"/>
      <c r="K21" s="17"/>
      <c r="L21" s="17"/>
      <c r="M21" s="17">
        <v>1.83</v>
      </c>
      <c r="N21" s="17"/>
      <c r="O21" s="17"/>
      <c r="P21" s="17">
        <f t="shared" si="1"/>
        <v>55.620000000000068</v>
      </c>
      <c r="Q21" s="2"/>
    </row>
    <row r="22" spans="1:17" x14ac:dyDescent="0.25">
      <c r="A22" s="26">
        <v>43388</v>
      </c>
      <c r="B22" s="17"/>
      <c r="C22" s="7" t="s">
        <v>221</v>
      </c>
      <c r="D22" s="36"/>
      <c r="E22" s="17"/>
      <c r="F22" s="17"/>
      <c r="G22" s="17"/>
      <c r="H22" s="17"/>
      <c r="I22" s="17"/>
      <c r="J22" s="17"/>
      <c r="K22" s="17"/>
      <c r="L22" s="17"/>
      <c r="M22" s="17">
        <v>4.9000000000000004</v>
      </c>
      <c r="N22" s="17"/>
      <c r="O22" s="17"/>
      <c r="P22" s="17">
        <f t="shared" si="1"/>
        <v>60.520000000000067</v>
      </c>
      <c r="Q22" s="2"/>
    </row>
    <row r="23" spans="1:17" x14ac:dyDescent="0.25">
      <c r="A23" s="26">
        <v>43388</v>
      </c>
      <c r="B23" s="17">
        <v>500</v>
      </c>
      <c r="D23" s="3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f t="shared" si="1"/>
        <v>560.5200000000001</v>
      </c>
      <c r="Q23" s="2"/>
    </row>
    <row r="24" spans="1:17" x14ac:dyDescent="0.25">
      <c r="A24" s="26">
        <v>43388</v>
      </c>
      <c r="B24" s="17"/>
      <c r="C24" s="7" t="s">
        <v>221</v>
      </c>
      <c r="D24" s="36">
        <v>30</v>
      </c>
      <c r="E24" s="17">
        <v>9.86</v>
      </c>
      <c r="F24" s="17">
        <f>D24*E24</f>
        <v>295.79999999999995</v>
      </c>
      <c r="G24" s="17">
        <v>0.06</v>
      </c>
      <c r="H24" s="17">
        <v>0.01</v>
      </c>
      <c r="I24" s="17">
        <v>0</v>
      </c>
      <c r="J24" s="17">
        <f>SUM(F24:I24)</f>
        <v>295.86999999999995</v>
      </c>
      <c r="K24" s="17"/>
      <c r="L24" s="17"/>
      <c r="M24" s="17"/>
      <c r="N24" s="17"/>
      <c r="O24" s="17"/>
      <c r="P24" s="17">
        <f t="shared" si="1"/>
        <v>264.65000000000015</v>
      </c>
      <c r="Q24" s="2"/>
    </row>
    <row r="25" spans="1:17" x14ac:dyDescent="0.25">
      <c r="A25" s="26">
        <v>43388</v>
      </c>
      <c r="B25" s="17"/>
      <c r="C25" s="7" t="s">
        <v>180</v>
      </c>
      <c r="D25" s="36">
        <v>4</v>
      </c>
      <c r="E25" s="17">
        <v>38.94</v>
      </c>
      <c r="F25" s="17">
        <f>D25*E25</f>
        <v>155.76</v>
      </c>
      <c r="G25" s="17">
        <v>0.06</v>
      </c>
      <c r="H25" s="17">
        <v>0.01</v>
      </c>
      <c r="I25" s="17">
        <v>0</v>
      </c>
      <c r="J25" s="17">
        <f>SUM(F25:I25)</f>
        <v>155.82999999999998</v>
      </c>
      <c r="K25" s="17"/>
      <c r="L25" s="17"/>
      <c r="M25" s="17"/>
      <c r="N25" s="17"/>
      <c r="O25" s="17"/>
      <c r="P25" s="17">
        <f t="shared" si="1"/>
        <v>108.82000000000016</v>
      </c>
      <c r="Q25" s="2"/>
    </row>
    <row r="26" spans="1:17" x14ac:dyDescent="0.25">
      <c r="A26" s="26">
        <v>43404</v>
      </c>
      <c r="B26" s="17"/>
      <c r="C26" s="7" t="s">
        <v>180</v>
      </c>
      <c r="D26" s="36"/>
      <c r="E26" s="17"/>
      <c r="F26" s="17"/>
      <c r="G26" s="17"/>
      <c r="H26" s="17"/>
      <c r="I26" s="17"/>
      <c r="J26" s="17"/>
      <c r="K26" s="17"/>
      <c r="L26" s="17"/>
      <c r="M26" s="17">
        <v>3.07</v>
      </c>
      <c r="N26" s="17"/>
      <c r="O26" s="17"/>
      <c r="P26" s="17">
        <f t="shared" si="1"/>
        <v>111.89000000000016</v>
      </c>
      <c r="Q26" s="2"/>
    </row>
    <row r="27" spans="1:17" x14ac:dyDescent="0.25">
      <c r="A27" s="26">
        <v>43412</v>
      </c>
      <c r="B27" s="17"/>
      <c r="C27" s="7" t="s">
        <v>233</v>
      </c>
      <c r="D27" s="36"/>
      <c r="E27" s="17"/>
      <c r="F27" s="17"/>
      <c r="G27" s="17"/>
      <c r="H27" s="17"/>
      <c r="I27" s="17"/>
      <c r="J27" s="17"/>
      <c r="K27" s="17"/>
      <c r="L27" s="17"/>
      <c r="M27" s="17">
        <v>0.17</v>
      </c>
      <c r="N27" s="17"/>
      <c r="O27" s="17"/>
      <c r="P27" s="17">
        <f t="shared" si="1"/>
        <v>112.06000000000016</v>
      </c>
      <c r="Q27" s="2"/>
    </row>
    <row r="28" spans="1:17" x14ac:dyDescent="0.25">
      <c r="A28" s="26">
        <v>43412</v>
      </c>
      <c r="B28" s="17"/>
      <c r="C28" s="7" t="s">
        <v>186</v>
      </c>
      <c r="D28" s="36"/>
      <c r="E28" s="17"/>
      <c r="F28" s="17"/>
      <c r="G28" s="17"/>
      <c r="H28" s="17"/>
      <c r="I28" s="17"/>
      <c r="J28" s="17"/>
      <c r="K28" s="17"/>
      <c r="L28" s="17"/>
      <c r="M28" s="17">
        <v>2.75</v>
      </c>
      <c r="N28" s="17"/>
      <c r="O28" s="17"/>
      <c r="P28" s="17">
        <f t="shared" si="1"/>
        <v>114.81000000000016</v>
      </c>
      <c r="Q28" s="2"/>
    </row>
    <row r="29" spans="1:17" x14ac:dyDescent="0.25">
      <c r="A29" s="26">
        <v>43417</v>
      </c>
      <c r="B29" s="17">
        <v>500</v>
      </c>
      <c r="D29" s="3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>
        <f t="shared" si="1"/>
        <v>614.81000000000017</v>
      </c>
      <c r="Q29" s="2"/>
    </row>
    <row r="30" spans="1:17" x14ac:dyDescent="0.25">
      <c r="A30" s="26">
        <v>43417</v>
      </c>
      <c r="B30" s="17"/>
      <c r="C30" s="7" t="s">
        <v>173</v>
      </c>
      <c r="D30" s="36">
        <v>7</v>
      </c>
      <c r="E30" s="17">
        <v>80.75</v>
      </c>
      <c r="F30" s="17">
        <f>D30*E30</f>
        <v>565.25</v>
      </c>
      <c r="G30" s="17">
        <v>0.15</v>
      </c>
      <c r="H30" s="17">
        <v>0.02</v>
      </c>
      <c r="I30" s="17">
        <v>0</v>
      </c>
      <c r="J30" s="17">
        <f>SUM(F30:I30)</f>
        <v>565.41999999999996</v>
      </c>
      <c r="K30" s="17"/>
      <c r="L30" s="17"/>
      <c r="M30" s="17"/>
      <c r="N30" s="17"/>
      <c r="O30" s="17"/>
      <c r="P30" s="17">
        <f t="shared" si="1"/>
        <v>49.390000000000214</v>
      </c>
      <c r="Q30" s="2"/>
    </row>
    <row r="31" spans="1:17" x14ac:dyDescent="0.25">
      <c r="A31" s="26">
        <v>43420</v>
      </c>
      <c r="B31" s="17"/>
      <c r="C31" s="7" t="s">
        <v>169</v>
      </c>
      <c r="D31" s="36"/>
      <c r="E31" s="17"/>
      <c r="F31" s="17"/>
      <c r="G31" s="17"/>
      <c r="H31" s="17"/>
      <c r="I31" s="17"/>
      <c r="J31" s="17"/>
      <c r="K31" s="17"/>
      <c r="L31" s="17"/>
      <c r="M31" s="17">
        <v>1.83</v>
      </c>
      <c r="N31" s="17"/>
      <c r="O31" s="17"/>
      <c r="P31" s="17">
        <f t="shared" si="1"/>
        <v>51.220000000000212</v>
      </c>
      <c r="Q31" s="2"/>
    </row>
    <row r="32" spans="1:17" x14ac:dyDescent="0.25">
      <c r="A32" s="26">
        <v>43420</v>
      </c>
      <c r="B32" s="17"/>
      <c r="C32" s="7" t="s">
        <v>221</v>
      </c>
      <c r="D32" s="36"/>
      <c r="E32" s="17"/>
      <c r="F32" s="17"/>
      <c r="G32" s="17"/>
      <c r="H32" s="17"/>
      <c r="I32" s="17"/>
      <c r="J32" s="17"/>
      <c r="K32" s="17"/>
      <c r="L32" s="17"/>
      <c r="M32" s="17">
        <v>6</v>
      </c>
      <c r="N32" s="17"/>
      <c r="O32" s="17"/>
      <c r="P32" s="17">
        <f t="shared" si="1"/>
        <v>57.220000000000212</v>
      </c>
      <c r="Q32" s="2"/>
    </row>
    <row r="33" spans="1:17" x14ac:dyDescent="0.25">
      <c r="A33" s="26">
        <v>43434</v>
      </c>
      <c r="B33" s="17"/>
      <c r="C33" s="7" t="s">
        <v>180</v>
      </c>
      <c r="D33" s="36"/>
      <c r="E33" s="17"/>
      <c r="F33" s="17"/>
      <c r="G33" s="17"/>
      <c r="H33" s="17"/>
      <c r="I33" s="17"/>
      <c r="J33" s="17"/>
      <c r="K33" s="17"/>
      <c r="L33" s="17"/>
      <c r="M33" s="17">
        <v>4.22</v>
      </c>
      <c r="N33" s="17"/>
      <c r="O33" s="17"/>
      <c r="P33" s="17">
        <f t="shared" si="1"/>
        <v>61.440000000000211</v>
      </c>
      <c r="Q33" s="2"/>
    </row>
    <row r="34" spans="1:17" x14ac:dyDescent="0.25">
      <c r="A34" s="26">
        <v>43439</v>
      </c>
      <c r="B34" s="17"/>
      <c r="C34" s="7" t="s">
        <v>221</v>
      </c>
      <c r="D34" s="36">
        <v>5</v>
      </c>
      <c r="E34" s="17">
        <v>10.09</v>
      </c>
      <c r="F34" s="17">
        <f>D34*E34</f>
        <v>50.45</v>
      </c>
      <c r="G34" s="17">
        <v>0.01</v>
      </c>
      <c r="H34" s="17">
        <v>0</v>
      </c>
      <c r="I34" s="17">
        <v>0</v>
      </c>
      <c r="J34" s="17">
        <f>SUM(F34:I34)</f>
        <v>50.46</v>
      </c>
      <c r="K34" s="17"/>
      <c r="L34" s="17"/>
      <c r="M34" s="17"/>
      <c r="N34" s="17"/>
      <c r="O34" s="17"/>
      <c r="P34" s="17">
        <f t="shared" si="1"/>
        <v>10.98000000000021</v>
      </c>
      <c r="Q34" s="2"/>
    </row>
    <row r="35" spans="1:17" x14ac:dyDescent="0.25">
      <c r="A35" s="26">
        <v>43441</v>
      </c>
      <c r="B35" s="17"/>
      <c r="C35" s="7" t="s">
        <v>233</v>
      </c>
      <c r="D35" s="36"/>
      <c r="E35" s="17"/>
      <c r="F35" s="17"/>
      <c r="G35" s="17"/>
      <c r="H35" s="17"/>
      <c r="I35" s="17"/>
      <c r="J35" s="17"/>
      <c r="K35" s="17"/>
      <c r="L35" s="17"/>
      <c r="M35" s="17">
        <v>0.18</v>
      </c>
      <c r="N35" s="17"/>
      <c r="O35" s="17"/>
      <c r="P35" s="17">
        <f t="shared" si="1"/>
        <v>11.16000000000021</v>
      </c>
      <c r="Q35" s="2"/>
    </row>
    <row r="36" spans="1:17" x14ac:dyDescent="0.25">
      <c r="A36" s="26">
        <v>43441</v>
      </c>
      <c r="B36" s="17"/>
      <c r="C36" s="7" t="s">
        <v>186</v>
      </c>
      <c r="D36" s="36"/>
      <c r="E36" s="17"/>
      <c r="F36" s="17"/>
      <c r="G36" s="17"/>
      <c r="H36" s="17"/>
      <c r="I36" s="17"/>
      <c r="J36" s="17"/>
      <c r="K36" s="17"/>
      <c r="L36" s="17"/>
      <c r="M36" s="17">
        <v>3.05</v>
      </c>
      <c r="N36" s="17"/>
      <c r="O36" s="17"/>
      <c r="P36" s="17">
        <f t="shared" si="1"/>
        <v>14.21000000000021</v>
      </c>
      <c r="Q36" s="2"/>
    </row>
    <row r="37" spans="1:17" x14ac:dyDescent="0.25">
      <c r="A37" s="26">
        <v>43448</v>
      </c>
      <c r="B37" s="17"/>
      <c r="C37" s="7" t="s">
        <v>169</v>
      </c>
      <c r="D37" s="36"/>
      <c r="E37" s="17"/>
      <c r="F37" s="17"/>
      <c r="G37" s="17"/>
      <c r="H37" s="17"/>
      <c r="I37" s="17"/>
      <c r="J37" s="17"/>
      <c r="K37" s="17"/>
      <c r="L37" s="17"/>
      <c r="M37" s="17">
        <v>1.81</v>
      </c>
      <c r="N37" s="17"/>
      <c r="O37" s="17"/>
      <c r="P37" s="17">
        <f t="shared" si="1"/>
        <v>16.020000000000209</v>
      </c>
      <c r="Q37" s="2"/>
    </row>
    <row r="38" spans="1:17" x14ac:dyDescent="0.25">
      <c r="A38" s="26">
        <v>43448</v>
      </c>
      <c r="B38" s="17"/>
      <c r="C38" s="7" t="s">
        <v>173</v>
      </c>
      <c r="D38" s="36"/>
      <c r="E38" s="17"/>
      <c r="F38" s="17"/>
      <c r="G38" s="17"/>
      <c r="H38" s="17"/>
      <c r="I38" s="17"/>
      <c r="J38" s="17"/>
      <c r="K38" s="17"/>
      <c r="L38" s="17"/>
      <c r="M38" s="17">
        <v>4.0599999999999996</v>
      </c>
      <c r="N38" s="17"/>
      <c r="O38" s="17"/>
      <c r="P38" s="17">
        <f t="shared" si="1"/>
        <v>20.080000000000208</v>
      </c>
      <c r="Q38" s="2"/>
    </row>
    <row r="39" spans="1:17" x14ac:dyDescent="0.25">
      <c r="A39" s="26">
        <v>43451</v>
      </c>
      <c r="B39" s="17"/>
      <c r="C39" s="7" t="s">
        <v>221</v>
      </c>
      <c r="D39" s="36"/>
      <c r="E39" s="17"/>
      <c r="F39" s="17"/>
      <c r="G39" s="17"/>
      <c r="H39" s="17"/>
      <c r="I39" s="17"/>
      <c r="J39" s="17"/>
      <c r="K39" s="17"/>
      <c r="L39" s="17"/>
      <c r="M39" s="17">
        <v>6</v>
      </c>
      <c r="N39" s="17"/>
      <c r="O39" s="17"/>
      <c r="P39" s="17">
        <f t="shared" si="1"/>
        <v>26.080000000000208</v>
      </c>
      <c r="Q39" s="2"/>
    </row>
    <row r="40" spans="1:17" x14ac:dyDescent="0.25">
      <c r="A40" s="26">
        <v>43462</v>
      </c>
      <c r="B40" s="17"/>
      <c r="C40" s="7" t="s">
        <v>180</v>
      </c>
      <c r="D40" s="36"/>
      <c r="E40" s="17"/>
      <c r="F40" s="17"/>
      <c r="G40" s="17"/>
      <c r="H40" s="17"/>
      <c r="I40" s="17"/>
      <c r="J40" s="17"/>
      <c r="K40" s="17"/>
      <c r="L40" s="17"/>
      <c r="M40" s="17">
        <v>4.72</v>
      </c>
      <c r="N40" s="17"/>
      <c r="O40" s="17"/>
      <c r="P40" s="17">
        <f t="shared" si="1"/>
        <v>30.800000000000207</v>
      </c>
      <c r="Q40" s="2"/>
    </row>
    <row r="41" spans="1:17" x14ac:dyDescent="0.25">
      <c r="A41" s="26">
        <v>43473</v>
      </c>
      <c r="B41" s="17"/>
      <c r="C41" s="7" t="s">
        <v>233</v>
      </c>
      <c r="D41" s="36"/>
      <c r="E41" s="17"/>
      <c r="F41" s="17"/>
      <c r="G41" s="17"/>
      <c r="H41" s="17"/>
      <c r="I41" s="17"/>
      <c r="J41" s="17"/>
      <c r="K41" s="17"/>
      <c r="L41" s="17"/>
      <c r="M41" s="17">
        <v>0.18</v>
      </c>
      <c r="N41" s="17"/>
      <c r="O41" s="17"/>
      <c r="P41" s="17">
        <f t="shared" si="1"/>
        <v>30.980000000000206</v>
      </c>
      <c r="Q41" s="2"/>
    </row>
    <row r="42" spans="1:17" x14ac:dyDescent="0.25">
      <c r="A42" s="26">
        <v>43473</v>
      </c>
      <c r="B42" s="17"/>
      <c r="C42" s="7" t="s">
        <v>186</v>
      </c>
      <c r="D42" s="36"/>
      <c r="E42" s="17"/>
      <c r="F42" s="17"/>
      <c r="G42" s="17"/>
      <c r="H42" s="17"/>
      <c r="I42" s="17"/>
      <c r="J42" s="17"/>
      <c r="K42" s="17"/>
      <c r="L42" s="17"/>
      <c r="M42" s="17">
        <v>3.05</v>
      </c>
      <c r="N42" s="17"/>
      <c r="O42" s="17"/>
      <c r="P42" s="17">
        <f t="shared" si="1"/>
        <v>34.030000000000207</v>
      </c>
      <c r="Q42" s="2"/>
    </row>
    <row r="43" spans="1:17" x14ac:dyDescent="0.25">
      <c r="A43" s="26">
        <v>43480</v>
      </c>
      <c r="B43" s="17"/>
      <c r="C43" s="7" t="s">
        <v>221</v>
      </c>
      <c r="D43" s="36"/>
      <c r="E43" s="17"/>
      <c r="F43" s="17"/>
      <c r="G43" s="17"/>
      <c r="H43" s="17"/>
      <c r="I43" s="17"/>
      <c r="J43" s="17"/>
      <c r="K43" s="17"/>
      <c r="L43" s="17"/>
      <c r="M43" s="17">
        <v>6.3</v>
      </c>
      <c r="N43" s="17"/>
      <c r="O43" s="17"/>
      <c r="P43" s="17">
        <f t="shared" si="1"/>
        <v>40.330000000000204</v>
      </c>
      <c r="Q43" s="2"/>
    </row>
    <row r="44" spans="1:17" x14ac:dyDescent="0.25">
      <c r="A44" s="26">
        <v>43480</v>
      </c>
      <c r="B44" s="17"/>
      <c r="C44" s="7" t="s">
        <v>173</v>
      </c>
      <c r="D44" s="36"/>
      <c r="E44" s="17"/>
      <c r="F44" s="17"/>
      <c r="G44" s="17"/>
      <c r="H44" s="17"/>
      <c r="I44" s="17"/>
      <c r="J44" s="17"/>
      <c r="K44" s="17"/>
      <c r="L44" s="17"/>
      <c r="M44" s="17">
        <v>4.0599999999999996</v>
      </c>
      <c r="N44" s="17"/>
      <c r="O44" s="17"/>
      <c r="P44" s="17">
        <f t="shared" si="1"/>
        <v>44.390000000000207</v>
      </c>
      <c r="Q44" s="2"/>
    </row>
    <row r="45" spans="1:17" x14ac:dyDescent="0.25">
      <c r="A45" s="26">
        <v>43480</v>
      </c>
      <c r="B45" s="17"/>
      <c r="C45" s="7" t="s">
        <v>169</v>
      </c>
      <c r="D45" s="36"/>
      <c r="E45" s="17"/>
      <c r="F45" s="17"/>
      <c r="G45" s="17"/>
      <c r="H45" s="17"/>
      <c r="I45" s="17"/>
      <c r="J45" s="17"/>
      <c r="K45" s="17"/>
      <c r="L45" s="17"/>
      <c r="M45" s="17">
        <v>1.81</v>
      </c>
      <c r="N45" s="17"/>
      <c r="O45" s="17"/>
      <c r="P45" s="17">
        <f t="shared" si="1"/>
        <v>46.200000000000209</v>
      </c>
      <c r="Q45" s="2"/>
    </row>
    <row r="46" spans="1:17" x14ac:dyDescent="0.25">
      <c r="A46" s="26">
        <v>43487</v>
      </c>
      <c r="B46" s="17">
        <v>100</v>
      </c>
      <c r="D46" s="36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f t="shared" si="1"/>
        <v>146.20000000000022</v>
      </c>
      <c r="Q46" s="2"/>
    </row>
    <row r="47" spans="1:17" x14ac:dyDescent="0.25">
      <c r="A47" s="26">
        <v>43487</v>
      </c>
      <c r="B47" s="17"/>
      <c r="C47" s="7" t="s">
        <v>233</v>
      </c>
      <c r="D47" s="36">
        <v>3</v>
      </c>
      <c r="E47" s="17">
        <v>18.96</v>
      </c>
      <c r="F47" s="17">
        <f>D47*E47</f>
        <v>56.88</v>
      </c>
      <c r="G47" s="17">
        <v>0.01</v>
      </c>
      <c r="H47" s="17">
        <v>0</v>
      </c>
      <c r="I47" s="17">
        <v>0</v>
      </c>
      <c r="J47" s="17">
        <f>SUM(F47:I47)</f>
        <v>56.89</v>
      </c>
      <c r="K47" s="17"/>
      <c r="L47" s="17"/>
      <c r="M47" s="17"/>
      <c r="N47" s="17"/>
      <c r="O47" s="17"/>
      <c r="P47" s="17">
        <f t="shared" si="1"/>
        <v>89.310000000000215</v>
      </c>
      <c r="Q47" s="2"/>
    </row>
    <row r="48" spans="1:17" x14ac:dyDescent="0.25">
      <c r="A48" s="26">
        <v>43487</v>
      </c>
      <c r="B48" s="17"/>
      <c r="C48" s="7" t="s">
        <v>173</v>
      </c>
      <c r="D48" s="36">
        <v>1</v>
      </c>
      <c r="E48" s="17">
        <v>83.78</v>
      </c>
      <c r="F48" s="17">
        <f>D48*E48</f>
        <v>83.78</v>
      </c>
      <c r="G48" s="17">
        <v>0.03</v>
      </c>
      <c r="H48" s="17">
        <v>0</v>
      </c>
      <c r="I48" s="17">
        <v>0</v>
      </c>
      <c r="J48" s="17">
        <f>SUM(F48:I48)</f>
        <v>83.81</v>
      </c>
      <c r="K48" s="17"/>
      <c r="L48" s="17"/>
      <c r="M48" s="17"/>
      <c r="N48" s="17"/>
      <c r="O48" s="17"/>
      <c r="P48" s="17">
        <f t="shared" si="1"/>
        <v>5.5000000000002132</v>
      </c>
      <c r="Q48" s="2"/>
    </row>
    <row r="49" spans="1:17" x14ac:dyDescent="0.25">
      <c r="A49" s="26">
        <v>43496</v>
      </c>
      <c r="B49" s="17"/>
      <c r="C49" s="7" t="s">
        <v>180</v>
      </c>
      <c r="D49" s="36"/>
      <c r="E49" s="17"/>
      <c r="F49" s="17"/>
      <c r="G49" s="17"/>
      <c r="H49" s="17"/>
      <c r="I49" s="17"/>
      <c r="J49" s="17"/>
      <c r="K49" s="17"/>
      <c r="L49" s="17"/>
      <c r="M49" s="17">
        <v>5.51</v>
      </c>
      <c r="N49" s="17"/>
      <c r="O49" s="17"/>
      <c r="P49" s="17">
        <f t="shared" si="1"/>
        <v>11.010000000000213</v>
      </c>
      <c r="Q49" s="2"/>
    </row>
    <row r="50" spans="1:17" x14ac:dyDescent="0.25">
      <c r="A50" s="26">
        <v>43503</v>
      </c>
      <c r="B50" s="17"/>
      <c r="C50" s="7" t="s">
        <v>233</v>
      </c>
      <c r="D50" s="36"/>
      <c r="E50" s="17"/>
      <c r="F50" s="17"/>
      <c r="G50" s="17"/>
      <c r="H50" s="17"/>
      <c r="I50" s="17"/>
      <c r="J50" s="17"/>
      <c r="K50" s="17"/>
      <c r="L50" s="17"/>
      <c r="M50" s="17">
        <v>0.65</v>
      </c>
      <c r="N50" s="17"/>
      <c r="O50" s="17"/>
      <c r="P50" s="17">
        <f t="shared" si="1"/>
        <v>11.660000000000213</v>
      </c>
      <c r="Q50" s="2"/>
    </row>
    <row r="51" spans="1:17" x14ac:dyDescent="0.25">
      <c r="A51" s="26">
        <v>43503</v>
      </c>
      <c r="B51" s="17"/>
      <c r="C51" s="7" t="s">
        <v>186</v>
      </c>
      <c r="D51" s="36"/>
      <c r="E51" s="17"/>
      <c r="F51" s="17"/>
      <c r="G51" s="17"/>
      <c r="H51" s="17"/>
      <c r="I51" s="17"/>
      <c r="J51" s="17"/>
      <c r="K51" s="17"/>
      <c r="L51" s="17"/>
      <c r="M51" s="17">
        <v>3.05</v>
      </c>
      <c r="N51" s="17"/>
      <c r="O51" s="17"/>
      <c r="P51" s="17">
        <f t="shared" si="1"/>
        <v>14.710000000000214</v>
      </c>
      <c r="Q51" s="2"/>
    </row>
    <row r="52" spans="1:17" x14ac:dyDescent="0.25">
      <c r="A52" s="26">
        <v>43510</v>
      </c>
      <c r="B52" s="17"/>
      <c r="C52" s="7" t="s">
        <v>169</v>
      </c>
      <c r="D52" s="36"/>
      <c r="E52" s="17"/>
      <c r="F52" s="17"/>
      <c r="G52" s="17"/>
      <c r="H52" s="17"/>
      <c r="I52" s="17"/>
      <c r="J52" s="17"/>
      <c r="K52" s="17"/>
      <c r="L52" s="17"/>
      <c r="M52" s="17">
        <v>1.81</v>
      </c>
      <c r="N52" s="17"/>
      <c r="O52" s="17"/>
      <c r="P52" s="17">
        <f t="shared" si="1"/>
        <v>16.520000000000213</v>
      </c>
      <c r="Q52" s="2"/>
    </row>
    <row r="53" spans="1:17" x14ac:dyDescent="0.25">
      <c r="A53" s="26">
        <v>43510</v>
      </c>
      <c r="B53" s="17"/>
      <c r="C53" s="7" t="s">
        <v>173</v>
      </c>
      <c r="D53" s="36"/>
      <c r="E53" s="17"/>
      <c r="F53" s="17"/>
      <c r="G53" s="17"/>
      <c r="H53" s="17"/>
      <c r="I53" s="17"/>
      <c r="J53" s="17"/>
      <c r="K53" s="17"/>
      <c r="L53" s="17"/>
      <c r="M53" s="17">
        <v>4.24</v>
      </c>
      <c r="N53" s="17"/>
      <c r="O53" s="17"/>
      <c r="P53" s="17">
        <f t="shared" si="1"/>
        <v>20.760000000000211</v>
      </c>
      <c r="Q53" s="2"/>
    </row>
    <row r="54" spans="1:17" x14ac:dyDescent="0.25">
      <c r="A54" s="26">
        <v>43510</v>
      </c>
      <c r="B54" s="17"/>
      <c r="C54" s="7" t="s">
        <v>221</v>
      </c>
      <c r="D54" s="36"/>
      <c r="E54" s="17"/>
      <c r="F54" s="17"/>
      <c r="G54" s="17"/>
      <c r="H54" s="17"/>
      <c r="I54" s="17"/>
      <c r="J54" s="17"/>
      <c r="K54" s="17"/>
      <c r="L54" s="17"/>
      <c r="M54" s="17">
        <v>6.3</v>
      </c>
      <c r="N54" s="17"/>
      <c r="O54" s="17"/>
      <c r="P54" s="17">
        <f t="shared" si="1"/>
        <v>27.060000000000212</v>
      </c>
      <c r="Q54" s="2"/>
    </row>
    <row r="55" spans="1:17" x14ac:dyDescent="0.25">
      <c r="A55" s="26">
        <v>43524</v>
      </c>
      <c r="B55" s="17"/>
      <c r="C55" s="7" t="s">
        <v>180</v>
      </c>
      <c r="D55" s="36"/>
      <c r="E55" s="17"/>
      <c r="F55" s="17"/>
      <c r="G55" s="17"/>
      <c r="H55" s="17"/>
      <c r="I55" s="17"/>
      <c r="J55" s="17"/>
      <c r="K55" s="17"/>
      <c r="L55" s="17"/>
      <c r="M55" s="17">
        <v>3.7</v>
      </c>
      <c r="N55" s="17"/>
      <c r="O55" s="17"/>
      <c r="P55" s="17">
        <f t="shared" si="1"/>
        <v>30.760000000000211</v>
      </c>
      <c r="Q55" s="2"/>
    </row>
    <row r="56" spans="1:17" x14ac:dyDescent="0.25">
      <c r="A56" s="26">
        <v>43535</v>
      </c>
      <c r="B56" s="17"/>
      <c r="C56" s="7" t="s">
        <v>233</v>
      </c>
      <c r="D56" s="36"/>
      <c r="E56" s="17"/>
      <c r="F56" s="17"/>
      <c r="G56" s="17"/>
      <c r="H56" s="17"/>
      <c r="I56" s="17"/>
      <c r="J56" s="17"/>
      <c r="K56" s="17"/>
      <c r="L56" s="17"/>
      <c r="M56" s="17">
        <v>0.45</v>
      </c>
      <c r="N56" s="17"/>
      <c r="O56" s="17"/>
      <c r="P56" s="17">
        <f t="shared" si="1"/>
        <v>31.21000000000021</v>
      </c>
      <c r="Q56" s="2"/>
    </row>
    <row r="57" spans="1:17" x14ac:dyDescent="0.25">
      <c r="A57" s="26">
        <v>43535</v>
      </c>
      <c r="B57" s="17"/>
      <c r="C57" s="7" t="s">
        <v>186</v>
      </c>
      <c r="D57" s="36"/>
      <c r="E57" s="17"/>
      <c r="F57" s="17"/>
      <c r="G57" s="17"/>
      <c r="H57" s="17"/>
      <c r="I57" s="17"/>
      <c r="J57" s="17"/>
      <c r="K57" s="17"/>
      <c r="L57" s="17"/>
      <c r="M57" s="17">
        <v>3.05</v>
      </c>
      <c r="N57" s="17"/>
      <c r="O57" s="17"/>
      <c r="P57" s="17">
        <f t="shared" si="1"/>
        <v>34.260000000000211</v>
      </c>
      <c r="Q57" s="2"/>
    </row>
    <row r="58" spans="1:17" x14ac:dyDescent="0.25">
      <c r="A58" s="26">
        <v>43539</v>
      </c>
      <c r="B58" s="17"/>
      <c r="C58" s="7" t="s">
        <v>221</v>
      </c>
      <c r="D58" s="36"/>
      <c r="E58" s="17"/>
      <c r="F58" s="17"/>
      <c r="G58" s="17"/>
      <c r="H58" s="17"/>
      <c r="I58" s="17"/>
      <c r="J58" s="17"/>
      <c r="K58" s="17"/>
      <c r="L58" s="17"/>
      <c r="M58" s="17">
        <v>7.35</v>
      </c>
      <c r="N58" s="17"/>
      <c r="O58" s="17"/>
      <c r="P58" s="17">
        <f t="shared" si="1"/>
        <v>41.610000000000213</v>
      </c>
      <c r="Q58" s="2"/>
    </row>
    <row r="59" spans="1:17" x14ac:dyDescent="0.25">
      <c r="A59" s="26">
        <v>43542</v>
      </c>
      <c r="B59" s="17"/>
      <c r="C59" s="7" t="s">
        <v>169</v>
      </c>
      <c r="D59" s="36"/>
      <c r="E59" s="17"/>
      <c r="F59" s="17"/>
      <c r="G59" s="17"/>
      <c r="H59" s="17"/>
      <c r="I59" s="17"/>
      <c r="J59" s="17"/>
      <c r="K59" s="17"/>
      <c r="L59" s="17"/>
      <c r="M59" s="17">
        <v>1.81</v>
      </c>
      <c r="N59" s="17"/>
      <c r="O59" s="17"/>
      <c r="P59" s="17">
        <f t="shared" si="1"/>
        <v>43.420000000000215</v>
      </c>
      <c r="Q59" s="2"/>
    </row>
    <row r="60" spans="1:17" x14ac:dyDescent="0.25">
      <c r="A60" s="26">
        <v>43542</v>
      </c>
      <c r="B60" s="17"/>
      <c r="C60" s="7" t="s">
        <v>173</v>
      </c>
      <c r="D60" s="36"/>
      <c r="E60" s="17"/>
      <c r="F60" s="17"/>
      <c r="G60" s="17"/>
      <c r="H60" s="17"/>
      <c r="I60" s="17"/>
      <c r="J60" s="17"/>
      <c r="K60" s="17"/>
      <c r="L60" s="17"/>
      <c r="M60" s="17">
        <v>3.44</v>
      </c>
      <c r="N60" s="17"/>
      <c r="O60" s="17"/>
      <c r="P60" s="17">
        <f t="shared" si="1"/>
        <v>46.860000000000213</v>
      </c>
      <c r="Q60" s="2"/>
    </row>
    <row r="61" spans="1:17" x14ac:dyDescent="0.25">
      <c r="A61" s="26">
        <v>43553</v>
      </c>
      <c r="B61" s="17"/>
      <c r="C61" s="7" t="s">
        <v>180</v>
      </c>
      <c r="D61" s="36"/>
      <c r="E61" s="17"/>
      <c r="F61" s="17"/>
      <c r="G61" s="17"/>
      <c r="H61" s="17"/>
      <c r="I61" s="17"/>
      <c r="J61" s="17"/>
      <c r="K61" s="17"/>
      <c r="L61" s="17"/>
      <c r="M61" s="17">
        <v>2.4300000000000002</v>
      </c>
      <c r="N61" s="17"/>
      <c r="O61" s="17"/>
      <c r="P61" s="17">
        <f t="shared" si="1"/>
        <v>49.290000000000212</v>
      </c>
      <c r="Q61" s="2"/>
    </row>
    <row r="62" spans="1:17" x14ac:dyDescent="0.25">
      <c r="A62" s="26">
        <v>43560</v>
      </c>
      <c r="B62" s="17"/>
      <c r="C62" s="7" t="s">
        <v>233</v>
      </c>
      <c r="D62" s="36"/>
      <c r="E62" s="17"/>
      <c r="F62" s="17"/>
      <c r="G62" s="17"/>
      <c r="H62" s="17"/>
      <c r="I62" s="17"/>
      <c r="J62" s="17"/>
      <c r="K62" s="17"/>
      <c r="L62" s="17"/>
      <c r="M62" s="17">
        <v>0.45</v>
      </c>
      <c r="N62" s="17"/>
      <c r="O62" s="17"/>
      <c r="P62" s="17">
        <f t="shared" si="1"/>
        <v>49.740000000000215</v>
      </c>
      <c r="Q62" s="2"/>
    </row>
    <row r="63" spans="1:17" x14ac:dyDescent="0.25">
      <c r="A63" s="26">
        <v>43560</v>
      </c>
      <c r="B63" s="17"/>
      <c r="C63" s="7" t="s">
        <v>186</v>
      </c>
      <c r="D63" s="36"/>
      <c r="E63" s="17"/>
      <c r="F63" s="17"/>
      <c r="G63" s="17"/>
      <c r="H63" s="17"/>
      <c r="I63" s="17"/>
      <c r="J63" s="17"/>
      <c r="K63" s="17"/>
      <c r="L63" s="17"/>
      <c r="M63" s="17">
        <v>3.05</v>
      </c>
      <c r="N63" s="17"/>
      <c r="O63" s="17"/>
      <c r="P63" s="17">
        <f t="shared" ref="P63:P81" si="2">P62+B63-J63-K63-L63+M63+N63+O63</f>
        <v>52.790000000000212</v>
      </c>
      <c r="Q63" s="2"/>
    </row>
    <row r="64" spans="1:17" x14ac:dyDescent="0.25">
      <c r="A64" s="26">
        <v>43567</v>
      </c>
      <c r="B64" s="17"/>
      <c r="C64" s="7" t="s">
        <v>173</v>
      </c>
      <c r="D64" s="36"/>
      <c r="E64" s="17"/>
      <c r="F64" s="17"/>
      <c r="G64" s="17"/>
      <c r="H64" s="17"/>
      <c r="I64" s="17"/>
      <c r="J64" s="17"/>
      <c r="K64" s="17"/>
      <c r="L64" s="17"/>
      <c r="M64" s="17">
        <v>4.24</v>
      </c>
      <c r="N64" s="17"/>
      <c r="O64" s="17"/>
      <c r="P64" s="17">
        <f t="shared" si="2"/>
        <v>57.030000000000214</v>
      </c>
      <c r="Q64" s="2"/>
    </row>
    <row r="65" spans="1:17" x14ac:dyDescent="0.25">
      <c r="A65" s="26">
        <v>43567</v>
      </c>
      <c r="B65" s="17"/>
      <c r="C65" s="7" t="s">
        <v>169</v>
      </c>
      <c r="D65" s="36"/>
      <c r="E65" s="17"/>
      <c r="F65" s="17"/>
      <c r="G65" s="17"/>
      <c r="H65" s="17"/>
      <c r="I65" s="17"/>
      <c r="J65" s="17"/>
      <c r="K65" s="17"/>
      <c r="L65" s="17"/>
      <c r="M65" s="17">
        <v>1.81</v>
      </c>
      <c r="N65" s="17"/>
      <c r="O65" s="17"/>
      <c r="P65" s="17">
        <f t="shared" si="2"/>
        <v>58.840000000000217</v>
      </c>
      <c r="Q65" s="2"/>
    </row>
    <row r="66" spans="1:17" x14ac:dyDescent="0.25">
      <c r="A66" s="26">
        <v>43570</v>
      </c>
      <c r="B66" s="17"/>
      <c r="C66" s="7" t="s">
        <v>221</v>
      </c>
      <c r="D66" s="36"/>
      <c r="E66" s="17"/>
      <c r="F66" s="17"/>
      <c r="G66" s="17"/>
      <c r="H66" s="17"/>
      <c r="I66" s="17"/>
      <c r="J66" s="17"/>
      <c r="K66" s="17"/>
      <c r="L66" s="17"/>
      <c r="M66" s="17">
        <v>7.35</v>
      </c>
      <c r="N66" s="17"/>
      <c r="O66" s="17"/>
      <c r="P66" s="17">
        <f t="shared" si="2"/>
        <v>66.190000000000211</v>
      </c>
      <c r="Q66" s="2"/>
    </row>
    <row r="67" spans="1:17" x14ac:dyDescent="0.25">
      <c r="A67" s="26">
        <v>43585</v>
      </c>
      <c r="B67" s="17"/>
      <c r="C67" s="7" t="s">
        <v>180</v>
      </c>
      <c r="D67" s="36"/>
      <c r="E67" s="17"/>
      <c r="F67" s="17"/>
      <c r="G67" s="17"/>
      <c r="H67" s="17"/>
      <c r="I67" s="17"/>
      <c r="J67" s="17"/>
      <c r="K67" s="17"/>
      <c r="L67" s="17"/>
      <c r="M67" s="17">
        <v>2.65</v>
      </c>
      <c r="N67" s="17"/>
      <c r="O67" s="17"/>
      <c r="P67" s="17">
        <f t="shared" si="2"/>
        <v>68.840000000000217</v>
      </c>
      <c r="Q67" s="2"/>
    </row>
    <row r="68" spans="1:17" x14ac:dyDescent="0.25">
      <c r="A68" s="26">
        <v>43593</v>
      </c>
      <c r="B68" s="17"/>
      <c r="C68" s="7" t="s">
        <v>233</v>
      </c>
      <c r="D68" s="36"/>
      <c r="E68" s="17"/>
      <c r="F68" s="17"/>
      <c r="G68" s="17"/>
      <c r="H68" s="17"/>
      <c r="I68" s="17"/>
      <c r="J68" s="17"/>
      <c r="K68" s="17"/>
      <c r="L68" s="17"/>
      <c r="M68" s="17">
        <v>0.45</v>
      </c>
      <c r="N68" s="17"/>
      <c r="O68" s="17"/>
      <c r="P68" s="17">
        <f t="shared" si="2"/>
        <v>69.290000000000219</v>
      </c>
      <c r="Q68" s="2"/>
    </row>
    <row r="69" spans="1:17" x14ac:dyDescent="0.25">
      <c r="A69" s="26">
        <v>43593</v>
      </c>
      <c r="B69" s="17"/>
      <c r="C69" s="7" t="s">
        <v>186</v>
      </c>
      <c r="D69" s="36"/>
      <c r="E69" s="17"/>
      <c r="F69" s="17"/>
      <c r="G69" s="17"/>
      <c r="H69" s="17"/>
      <c r="I69" s="17"/>
      <c r="J69" s="17"/>
      <c r="K69" s="17"/>
      <c r="L69" s="17"/>
      <c r="M69" s="17">
        <v>3.06</v>
      </c>
      <c r="N69" s="17"/>
      <c r="O69" s="17"/>
      <c r="P69" s="17">
        <f t="shared" si="2"/>
        <v>72.350000000000222</v>
      </c>
      <c r="Q69" s="2"/>
    </row>
    <row r="70" spans="1:17" x14ac:dyDescent="0.25">
      <c r="A70" s="26">
        <v>43594</v>
      </c>
      <c r="B70" s="17">
        <v>500</v>
      </c>
      <c r="D70" s="36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>
        <f t="shared" si="2"/>
        <v>572.35000000000025</v>
      </c>
      <c r="Q70" s="2"/>
    </row>
    <row r="71" spans="1:17" x14ac:dyDescent="0.25">
      <c r="A71" s="26">
        <v>43595</v>
      </c>
      <c r="B71" s="17"/>
      <c r="C71" s="7" t="s">
        <v>173</v>
      </c>
      <c r="D71" s="36">
        <v>6</v>
      </c>
      <c r="E71" s="17">
        <v>85.2</v>
      </c>
      <c r="F71" s="17">
        <f>D71*E71</f>
        <v>511.20000000000005</v>
      </c>
      <c r="G71" s="17">
        <v>0.14000000000000001</v>
      </c>
      <c r="H71" s="17">
        <v>0.02</v>
      </c>
      <c r="I71" s="17">
        <v>0</v>
      </c>
      <c r="J71" s="17">
        <f>SUM(F71:I71)</f>
        <v>511.36</v>
      </c>
      <c r="K71" s="17"/>
      <c r="L71" s="17"/>
      <c r="M71" s="17"/>
      <c r="N71" s="17"/>
      <c r="O71" s="17"/>
      <c r="P71" s="17">
        <f t="shared" si="2"/>
        <v>60.990000000000236</v>
      </c>
      <c r="Q71" s="2"/>
    </row>
    <row r="72" spans="1:17" x14ac:dyDescent="0.25">
      <c r="A72" s="26">
        <v>43600</v>
      </c>
      <c r="B72" s="17"/>
      <c r="C72" s="7" t="s">
        <v>173</v>
      </c>
      <c r="D72" s="36"/>
      <c r="E72" s="17"/>
      <c r="F72" s="17"/>
      <c r="G72" s="17"/>
      <c r="H72" s="17"/>
      <c r="I72" s="17"/>
      <c r="J72" s="17"/>
      <c r="K72" s="17"/>
      <c r="L72" s="17"/>
      <c r="M72" s="17">
        <v>4.24</v>
      </c>
      <c r="N72" s="17"/>
      <c r="O72" s="17"/>
      <c r="P72" s="17">
        <f t="shared" si="2"/>
        <v>65.230000000000231</v>
      </c>
      <c r="Q72" s="2"/>
    </row>
    <row r="73" spans="1:17" x14ac:dyDescent="0.25">
      <c r="A73" s="26">
        <v>43600</v>
      </c>
      <c r="B73" s="17"/>
      <c r="C73" s="7" t="s">
        <v>221</v>
      </c>
      <c r="D73" s="36"/>
      <c r="E73" s="17"/>
      <c r="F73" s="17"/>
      <c r="G73" s="17"/>
      <c r="H73" s="17"/>
      <c r="I73" s="17"/>
      <c r="J73" s="17"/>
      <c r="K73" s="17"/>
      <c r="L73" s="17"/>
      <c r="M73" s="17">
        <v>7.35</v>
      </c>
      <c r="N73" s="17"/>
      <c r="O73" s="17"/>
      <c r="P73" s="17">
        <f t="shared" si="2"/>
        <v>72.580000000000226</v>
      </c>
      <c r="Q73" s="2"/>
    </row>
    <row r="74" spans="1:17" x14ac:dyDescent="0.25">
      <c r="A74" s="26">
        <v>43600</v>
      </c>
      <c r="B74" s="17"/>
      <c r="C74" s="7" t="s">
        <v>169</v>
      </c>
      <c r="D74" s="36"/>
      <c r="E74" s="17"/>
      <c r="F74" s="17"/>
      <c r="G74" s="17"/>
      <c r="H74" s="17"/>
      <c r="I74" s="17"/>
      <c r="J74" s="17"/>
      <c r="K74" s="17"/>
      <c r="L74" s="17"/>
      <c r="M74" s="17">
        <v>1.47</v>
      </c>
      <c r="N74" s="17"/>
      <c r="O74" s="17"/>
      <c r="P74" s="17">
        <f t="shared" si="2"/>
        <v>74.050000000000225</v>
      </c>
      <c r="Q74" s="2"/>
    </row>
    <row r="75" spans="1:17" x14ac:dyDescent="0.25">
      <c r="A75" s="26">
        <v>43607</v>
      </c>
      <c r="B75" s="17"/>
      <c r="C75" s="7" t="s">
        <v>221</v>
      </c>
      <c r="D75" s="36">
        <v>6</v>
      </c>
      <c r="E75" s="17">
        <v>11.46</v>
      </c>
      <c r="F75" s="17">
        <f>D75*E75</f>
        <v>68.760000000000005</v>
      </c>
      <c r="G75" s="17">
        <v>0</v>
      </c>
      <c r="H75" s="17">
        <v>0</v>
      </c>
      <c r="I75" s="17">
        <v>0</v>
      </c>
      <c r="J75" s="17">
        <f>SUM(F75:I75)</f>
        <v>68.760000000000005</v>
      </c>
      <c r="K75" s="17"/>
      <c r="L75" s="17"/>
      <c r="M75" s="17"/>
      <c r="N75" s="17"/>
      <c r="O75" s="17"/>
      <c r="P75" s="17">
        <f t="shared" si="2"/>
        <v>5.2900000000002194</v>
      </c>
      <c r="Q75" s="2"/>
    </row>
    <row r="76" spans="1:17" x14ac:dyDescent="0.25">
      <c r="A76" s="26"/>
      <c r="B76" s="17"/>
      <c r="D76" s="36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>
        <f t="shared" si="2"/>
        <v>5.2900000000002194</v>
      </c>
      <c r="Q76" s="2"/>
    </row>
    <row r="77" spans="1:17" x14ac:dyDescent="0.25">
      <c r="A77" s="26">
        <v>43684</v>
      </c>
      <c r="B77" s="17"/>
      <c r="C77" s="7" t="s">
        <v>366</v>
      </c>
      <c r="D77" s="36">
        <v>4</v>
      </c>
      <c r="E77" s="17">
        <v>11.32</v>
      </c>
      <c r="F77" s="17">
        <f>D77*E77</f>
        <v>45.28</v>
      </c>
      <c r="G77" s="17">
        <v>0</v>
      </c>
      <c r="H77" s="17">
        <v>0</v>
      </c>
      <c r="I77" s="17">
        <v>0</v>
      </c>
      <c r="J77" s="17">
        <f>SUM(F77:I77)</f>
        <v>45.28</v>
      </c>
      <c r="K77" s="17"/>
      <c r="L77" s="17"/>
      <c r="M77" s="17"/>
      <c r="N77" s="17"/>
      <c r="O77" s="17"/>
      <c r="P77" s="17">
        <f t="shared" si="2"/>
        <v>-39.989999999999782</v>
      </c>
      <c r="Q77" s="2"/>
    </row>
    <row r="78" spans="1:17" x14ac:dyDescent="0.25">
      <c r="A78" s="26"/>
      <c r="B78" s="17"/>
      <c r="D78" s="36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>
        <f t="shared" si="2"/>
        <v>-39.989999999999782</v>
      </c>
      <c r="Q78" s="2"/>
    </row>
    <row r="79" spans="1:17" x14ac:dyDescent="0.25">
      <c r="A79" s="26"/>
      <c r="B79" s="17"/>
      <c r="D79" s="36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>
        <f t="shared" si="2"/>
        <v>-39.989999999999782</v>
      </c>
      <c r="Q79" s="2"/>
    </row>
    <row r="80" spans="1:17" x14ac:dyDescent="0.25">
      <c r="A80" s="26">
        <v>43858</v>
      </c>
      <c r="B80" s="17"/>
      <c r="C80" s="7" t="s">
        <v>408</v>
      </c>
      <c r="D80" s="36">
        <v>2</v>
      </c>
      <c r="E80" s="17">
        <v>66.66</v>
      </c>
      <c r="F80" s="17">
        <f>D80*E80</f>
        <v>133.32</v>
      </c>
      <c r="G80" s="17">
        <v>0</v>
      </c>
      <c r="H80" s="17">
        <v>0</v>
      </c>
      <c r="I80" s="17">
        <v>0</v>
      </c>
      <c r="J80" s="17">
        <f>SUM(F80:I80)</f>
        <v>133.32</v>
      </c>
      <c r="K80" s="17"/>
      <c r="L80" s="17"/>
      <c r="M80" s="17"/>
      <c r="N80" s="17"/>
      <c r="O80" s="17"/>
      <c r="P80" s="17">
        <f t="shared" si="2"/>
        <v>-173.30999999999977</v>
      </c>
      <c r="Q80" s="2"/>
    </row>
    <row r="81" spans="1:18" x14ac:dyDescent="0.25">
      <c r="A81" s="26">
        <v>44048</v>
      </c>
      <c r="B81" s="17"/>
      <c r="C81" s="7" t="s">
        <v>221</v>
      </c>
      <c r="D81" s="36">
        <v>6</v>
      </c>
      <c r="E81" s="17">
        <v>10.62</v>
      </c>
      <c r="F81" s="17">
        <f>D81*E81</f>
        <v>63.72</v>
      </c>
      <c r="G81" s="17">
        <v>0</v>
      </c>
      <c r="H81" s="17">
        <v>0</v>
      </c>
      <c r="I81" s="17">
        <v>0</v>
      </c>
      <c r="J81" s="17">
        <f>SUM(F81:I81)</f>
        <v>63.72</v>
      </c>
      <c r="K81" s="17"/>
      <c r="L81" s="17"/>
      <c r="M81" s="17"/>
      <c r="N81" s="17"/>
      <c r="O81" s="17"/>
      <c r="P81" s="17">
        <f t="shared" si="2"/>
        <v>-237.02999999999977</v>
      </c>
      <c r="Q81" s="2"/>
    </row>
    <row r="82" spans="1:18" x14ac:dyDescent="0.25">
      <c r="A82" s="26"/>
      <c r="B82" s="17"/>
      <c r="D82" s="36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2"/>
    </row>
    <row r="83" spans="1:18" x14ac:dyDescent="0.25">
      <c r="A83" s="23" t="s">
        <v>4</v>
      </c>
      <c r="B83" s="53">
        <f>SUM(B3:B82)</f>
        <v>3400</v>
      </c>
      <c r="C83" s="24"/>
      <c r="D83" s="98">
        <f>SUM(D4:D82)</f>
        <v>164</v>
      </c>
      <c r="E83" s="53"/>
      <c r="F83" s="53"/>
      <c r="G83" s="53">
        <f t="shared" ref="G83:J83" si="3">SUM(G3:G82)</f>
        <v>0.92000000000000015</v>
      </c>
      <c r="H83" s="53">
        <f t="shared" si="3"/>
        <v>0.15</v>
      </c>
      <c r="I83" s="53">
        <f t="shared" si="3"/>
        <v>0</v>
      </c>
      <c r="J83" s="53">
        <f t="shared" si="3"/>
        <v>3782.61</v>
      </c>
      <c r="K83" s="53">
        <f t="shared" ref="K83" si="4">SUM(K3:K82)</f>
        <v>0</v>
      </c>
      <c r="L83" s="53">
        <f t="shared" ref="L83" si="5">SUM(L3:L82)</f>
        <v>0</v>
      </c>
      <c r="M83" s="53">
        <f>SUM(M3:M82)</f>
        <v>145.57999999999998</v>
      </c>
      <c r="N83" s="53">
        <f t="shared" ref="N83" si="6">SUM(N3:N82)</f>
        <v>0</v>
      </c>
      <c r="O83" s="53">
        <f t="shared" ref="O83" si="7">SUM(O3:O82)</f>
        <v>0</v>
      </c>
      <c r="P83" s="40"/>
    </row>
    <row r="84" spans="1:18" x14ac:dyDescent="0.25">
      <c r="A84" s="6"/>
      <c r="C84" s="11"/>
      <c r="H84" s="43"/>
      <c r="R84" s="5"/>
    </row>
    <row r="85" spans="1:18" x14ac:dyDescent="0.25">
      <c r="A85" s="6" t="s">
        <v>172</v>
      </c>
      <c r="B85" s="101">
        <v>3994.21</v>
      </c>
      <c r="C85" s="11"/>
      <c r="H85" s="43"/>
      <c r="R85" s="5"/>
    </row>
    <row r="86" spans="1:18" x14ac:dyDescent="0.25">
      <c r="A86" s="2" t="s">
        <v>81</v>
      </c>
      <c r="B86" s="100">
        <f>B85/B83-1</f>
        <v>0.17476764705882353</v>
      </c>
      <c r="C86" s="11"/>
      <c r="R86" s="5"/>
    </row>
    <row r="87" spans="1:18" x14ac:dyDescent="0.25">
      <c r="A87" s="81"/>
      <c r="C87" s="11"/>
      <c r="R87" s="5"/>
    </row>
    <row r="88" spans="1:18" x14ac:dyDescent="0.25">
      <c r="A88" s="6"/>
      <c r="B88" s="99"/>
      <c r="C88" s="11"/>
      <c r="R88" s="5"/>
    </row>
    <row r="89" spans="1:18" x14ac:dyDescent="0.25">
      <c r="A89" t="s">
        <v>282</v>
      </c>
      <c r="B89"/>
      <c r="C89"/>
      <c r="D89"/>
      <c r="E89"/>
      <c r="F89"/>
      <c r="G89"/>
      <c r="R89" s="5"/>
    </row>
    <row r="90" spans="1:18" x14ac:dyDescent="0.25">
      <c r="A90" t="s">
        <v>283</v>
      </c>
      <c r="B90"/>
      <c r="C90"/>
      <c r="D90"/>
      <c r="E90"/>
      <c r="F90"/>
      <c r="G90"/>
      <c r="R90" s="5"/>
    </row>
    <row r="91" spans="1:18" x14ac:dyDescent="0.25">
      <c r="A91" t="s">
        <v>284</v>
      </c>
      <c r="B91"/>
      <c r="C91"/>
      <c r="D91"/>
      <c r="E91"/>
      <c r="F91"/>
      <c r="G91"/>
      <c r="R91" s="5"/>
    </row>
    <row r="92" spans="1:18" x14ac:dyDescent="0.25">
      <c r="A92" t="s">
        <v>285</v>
      </c>
      <c r="B92"/>
      <c r="C92"/>
      <c r="D92"/>
      <c r="E92"/>
      <c r="F92"/>
      <c r="G92"/>
      <c r="R92" s="5"/>
    </row>
    <row r="93" spans="1:18" x14ac:dyDescent="0.25">
      <c r="A93" t="s">
        <v>286</v>
      </c>
      <c r="B93"/>
      <c r="C93"/>
      <c r="D93"/>
      <c r="E93"/>
      <c r="F93"/>
      <c r="G93"/>
      <c r="R93" s="5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:AF1694"/>
  <sheetViews>
    <sheetView tabSelected="1" zoomScale="90" zoomScaleNormal="9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1.7109375" style="2" customWidth="1"/>
    <col min="2" max="2" width="12.140625" style="7" bestFit="1" customWidth="1"/>
    <col min="3" max="3" width="16" style="7" bestFit="1" customWidth="1"/>
    <col min="4" max="4" width="11.140625" style="37" customWidth="1"/>
    <col min="5" max="5" width="11.42578125" style="41" customWidth="1"/>
    <col min="6" max="6" width="12.85546875" style="41" customWidth="1"/>
    <col min="7" max="7" width="9.140625" style="41" bestFit="1" customWidth="1"/>
    <col min="8" max="8" width="11.85546875" style="41" bestFit="1" customWidth="1"/>
    <col min="9" max="9" width="11.85546875" style="41" customWidth="1"/>
    <col min="10" max="10" width="13.7109375" style="41" customWidth="1"/>
    <col min="11" max="11" width="10.5703125" style="41" customWidth="1"/>
    <col min="12" max="12" width="10.140625" style="41" bestFit="1" customWidth="1"/>
    <col min="13" max="13" width="4.5703125" style="41" bestFit="1" customWidth="1"/>
    <col min="14" max="14" width="9.85546875" style="41" bestFit="1" customWidth="1"/>
    <col min="15" max="15" width="12.140625" style="41" bestFit="1" customWidth="1"/>
    <col min="16" max="16" width="11.42578125" style="41" customWidth="1"/>
    <col min="17" max="17" width="16.7109375" style="41" bestFit="1" customWidth="1"/>
    <col min="18" max="18" width="13.85546875" bestFit="1" customWidth="1"/>
    <col min="19" max="19" width="13.85546875" customWidth="1"/>
    <col min="20" max="20" width="9.5703125" bestFit="1" customWidth="1"/>
    <col min="21" max="21" width="17.7109375" bestFit="1" customWidth="1"/>
    <col min="22" max="22" width="16.42578125" customWidth="1"/>
    <col min="23" max="23" width="21.42578125" bestFit="1" customWidth="1"/>
    <col min="24" max="24" width="14.28515625" customWidth="1"/>
    <col min="25" max="26" width="41.7109375" bestFit="1" customWidth="1"/>
    <col min="29" max="29" width="22.5703125" bestFit="1" customWidth="1"/>
  </cols>
  <sheetData>
    <row r="1" spans="1:19" x14ac:dyDescent="0.25">
      <c r="A1" s="27" t="s">
        <v>0</v>
      </c>
      <c r="B1" s="24" t="s">
        <v>48</v>
      </c>
      <c r="C1" s="24" t="s">
        <v>1</v>
      </c>
      <c r="D1" s="35" t="s">
        <v>3</v>
      </c>
      <c r="E1" s="40" t="s">
        <v>50</v>
      </c>
      <c r="F1" s="40" t="s">
        <v>4</v>
      </c>
      <c r="G1" s="40" t="s">
        <v>90</v>
      </c>
      <c r="H1" s="40" t="s">
        <v>89</v>
      </c>
      <c r="I1" s="40" t="s">
        <v>609</v>
      </c>
      <c r="J1" s="40" t="s">
        <v>10</v>
      </c>
      <c r="K1" s="40" t="s">
        <v>7</v>
      </c>
      <c r="L1" s="40" t="s">
        <v>51</v>
      </c>
      <c r="M1" s="40" t="s">
        <v>53</v>
      </c>
      <c r="N1" s="40" t="s">
        <v>93</v>
      </c>
      <c r="O1" s="40" t="s">
        <v>14</v>
      </c>
      <c r="P1" s="40" t="s">
        <v>34</v>
      </c>
      <c r="Q1" s="40" t="s">
        <v>49</v>
      </c>
      <c r="R1" s="2"/>
    </row>
    <row r="2" spans="1:19" x14ac:dyDescent="0.25">
      <c r="A2" s="26">
        <v>41799</v>
      </c>
      <c r="B2" s="17">
        <v>200</v>
      </c>
      <c r="D2" s="36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>
        <f>B2-K2-L2-M2+N2+O2+P2</f>
        <v>200</v>
      </c>
      <c r="R2" s="2"/>
      <c r="S2" s="20"/>
    </row>
    <row r="3" spans="1:19" x14ac:dyDescent="0.25">
      <c r="A3" s="26">
        <v>41810</v>
      </c>
      <c r="B3" s="17">
        <v>700</v>
      </c>
      <c r="D3" s="3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>
        <f>Q2+B3-K3-L3-M3+N3+O3+P3</f>
        <v>900</v>
      </c>
      <c r="R3" s="2"/>
      <c r="S3" s="20"/>
    </row>
    <row r="4" spans="1:19" x14ac:dyDescent="0.25">
      <c r="A4" s="26">
        <v>41813</v>
      </c>
      <c r="B4" s="17"/>
      <c r="C4" s="7" t="s">
        <v>35</v>
      </c>
      <c r="D4" s="36">
        <v>100</v>
      </c>
      <c r="E4" s="17">
        <v>8.48</v>
      </c>
      <c r="F4" s="17">
        <f>D4*E4</f>
        <v>848</v>
      </c>
      <c r="G4" s="17">
        <v>0.23</v>
      </c>
      <c r="H4" s="17">
        <v>0.04</v>
      </c>
      <c r="I4" s="17"/>
      <c r="J4" s="17">
        <v>8.99</v>
      </c>
      <c r="K4" s="17">
        <f>SUM(F4:J4)</f>
        <v>857.26</v>
      </c>
      <c r="L4" s="17"/>
      <c r="M4" s="17"/>
      <c r="N4" s="17"/>
      <c r="O4" s="17"/>
      <c r="P4" s="17"/>
      <c r="Q4" s="17">
        <f>Q3+B4-K4-L4-M4+N4+O4+P4</f>
        <v>42.740000000000009</v>
      </c>
      <c r="R4" s="2"/>
    </row>
    <row r="5" spans="1:19" x14ac:dyDescent="0.25">
      <c r="A5" s="26">
        <v>41842</v>
      </c>
      <c r="B5" s="17">
        <v>500</v>
      </c>
      <c r="D5" s="3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>
        <f t="shared" ref="Q5:Q30" si="0">Q4+B5-K5-L5-M5+N5+O5+P5</f>
        <v>542.74</v>
      </c>
      <c r="R5" s="2"/>
    </row>
    <row r="6" spans="1:19" x14ac:dyDescent="0.25">
      <c r="A6" s="26">
        <v>41849</v>
      </c>
      <c r="B6" s="17"/>
      <c r="C6" s="7" t="s">
        <v>5</v>
      </c>
      <c r="D6" s="36">
        <v>400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>
        <f t="shared" si="0"/>
        <v>542.74</v>
      </c>
      <c r="R6" s="2"/>
    </row>
    <row r="7" spans="1:19" x14ac:dyDescent="0.25">
      <c r="A7" s="26">
        <v>41849</v>
      </c>
      <c r="B7" s="17">
        <v>500</v>
      </c>
      <c r="D7" s="3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>
        <f t="shared" si="0"/>
        <v>1042.74</v>
      </c>
      <c r="R7" s="2"/>
    </row>
    <row r="8" spans="1:19" x14ac:dyDescent="0.25">
      <c r="A8" s="26">
        <v>41850</v>
      </c>
      <c r="B8" s="17">
        <v>3000</v>
      </c>
      <c r="D8" s="3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>
        <f t="shared" si="0"/>
        <v>4042.74</v>
      </c>
      <c r="R8" s="2"/>
    </row>
    <row r="9" spans="1:19" x14ac:dyDescent="0.25">
      <c r="A9" s="26">
        <v>41851</v>
      </c>
      <c r="B9" s="17"/>
      <c r="C9" s="7" t="s">
        <v>35</v>
      </c>
      <c r="D9" s="36">
        <v>100</v>
      </c>
      <c r="E9" s="17">
        <v>8.52</v>
      </c>
      <c r="F9" s="17">
        <f>D9*E9</f>
        <v>852</v>
      </c>
      <c r="G9" s="17">
        <v>0.23</v>
      </c>
      <c r="H9" s="17">
        <v>0.04</v>
      </c>
      <c r="I9" s="17"/>
      <c r="J9" s="17">
        <v>8.99</v>
      </c>
      <c r="K9" s="17">
        <f t="shared" ref="K9:K14" si="1">SUM(F9:J9)</f>
        <v>861.26</v>
      </c>
      <c r="L9" s="17"/>
      <c r="M9" s="17"/>
      <c r="N9" s="17"/>
      <c r="O9" s="17"/>
      <c r="P9" s="17"/>
      <c r="Q9" s="17">
        <f t="shared" si="0"/>
        <v>3181.4799999999996</v>
      </c>
      <c r="R9" s="2"/>
    </row>
    <row r="10" spans="1:19" x14ac:dyDescent="0.25">
      <c r="A10" s="26">
        <v>41858</v>
      </c>
      <c r="C10" s="7" t="s">
        <v>35</v>
      </c>
      <c r="D10" s="36">
        <v>100</v>
      </c>
      <c r="E10" s="17">
        <v>8.59</v>
      </c>
      <c r="F10" s="17">
        <f>D10*E10</f>
        <v>859</v>
      </c>
      <c r="G10" s="17">
        <v>0.23</v>
      </c>
      <c r="H10" s="17">
        <v>0.04</v>
      </c>
      <c r="I10" s="17"/>
      <c r="J10" s="17">
        <v>8.99</v>
      </c>
      <c r="K10" s="17">
        <f t="shared" si="1"/>
        <v>868.26</v>
      </c>
      <c r="L10" s="17"/>
      <c r="M10" s="17"/>
      <c r="N10" s="17"/>
      <c r="O10" s="17"/>
      <c r="P10" s="17"/>
      <c r="Q10" s="17">
        <f t="shared" si="0"/>
        <v>2313.2199999999993</v>
      </c>
      <c r="R10" s="2"/>
    </row>
    <row r="11" spans="1:19" x14ac:dyDescent="0.25">
      <c r="A11" s="26">
        <v>41864</v>
      </c>
      <c r="C11" s="7" t="s">
        <v>41</v>
      </c>
      <c r="D11" s="36">
        <v>80</v>
      </c>
      <c r="E11" s="17">
        <v>27.76</v>
      </c>
      <c r="F11" s="17">
        <f t="shared" ref="F11:F14" si="2">D11*E11</f>
        <v>2220.8000000000002</v>
      </c>
      <c r="G11" s="17">
        <v>0.61</v>
      </c>
      <c r="H11" s="17">
        <v>0.11</v>
      </c>
      <c r="I11" s="17"/>
      <c r="J11" s="17">
        <v>5.99</v>
      </c>
      <c r="K11" s="17">
        <f t="shared" si="1"/>
        <v>2227.5100000000002</v>
      </c>
      <c r="L11" s="17"/>
      <c r="M11" s="17"/>
      <c r="N11" s="17"/>
      <c r="O11" s="17"/>
      <c r="P11" s="17"/>
      <c r="Q11" s="17">
        <f t="shared" si="0"/>
        <v>85.709999999999127</v>
      </c>
      <c r="R11" s="2"/>
    </row>
    <row r="12" spans="1:19" x14ac:dyDescent="0.25">
      <c r="A12" s="26">
        <v>41870</v>
      </c>
      <c r="C12" s="7" t="s">
        <v>5</v>
      </c>
      <c r="D12" s="36">
        <v>-200</v>
      </c>
      <c r="E12" s="17">
        <v>29.98</v>
      </c>
      <c r="F12" s="17">
        <f t="shared" si="2"/>
        <v>-5996</v>
      </c>
      <c r="G12" s="17">
        <v>1.64</v>
      </c>
      <c r="H12" s="17">
        <v>0.28999999999999998</v>
      </c>
      <c r="I12" s="17"/>
      <c r="J12" s="17">
        <v>8.99</v>
      </c>
      <c r="K12" s="17">
        <f t="shared" si="1"/>
        <v>-5985.08</v>
      </c>
      <c r="L12" s="17"/>
      <c r="M12" s="17"/>
      <c r="N12" s="17"/>
      <c r="O12" s="17"/>
      <c r="P12" s="17"/>
      <c r="Q12" s="17">
        <f t="shared" si="0"/>
        <v>6070.7899999999991</v>
      </c>
      <c r="R12" s="2"/>
    </row>
    <row r="13" spans="1:19" x14ac:dyDescent="0.25">
      <c r="A13" s="26">
        <v>41876</v>
      </c>
      <c r="B13" s="17"/>
      <c r="C13" s="7" t="s">
        <v>35</v>
      </c>
      <c r="D13" s="36">
        <v>200</v>
      </c>
      <c r="E13" s="17">
        <v>8.39</v>
      </c>
      <c r="F13" s="17">
        <f t="shared" si="2"/>
        <v>1678</v>
      </c>
      <c r="G13" s="17">
        <v>0.46</v>
      </c>
      <c r="H13" s="17">
        <v>0.08</v>
      </c>
      <c r="I13" s="17"/>
      <c r="J13" s="17">
        <v>8.99</v>
      </c>
      <c r="K13" s="17">
        <f t="shared" si="1"/>
        <v>1687.53</v>
      </c>
      <c r="L13" s="17"/>
      <c r="M13" s="17"/>
      <c r="N13" s="17"/>
      <c r="O13" s="17"/>
      <c r="P13" s="17"/>
      <c r="Q13" s="17">
        <f t="shared" si="0"/>
        <v>4383.2599999999993</v>
      </c>
      <c r="R13" s="2"/>
    </row>
    <row r="14" spans="1:19" x14ac:dyDescent="0.25">
      <c r="A14" s="26">
        <v>41878</v>
      </c>
      <c r="B14" s="17"/>
      <c r="C14" s="7" t="s">
        <v>41</v>
      </c>
      <c r="D14" s="36">
        <v>50</v>
      </c>
      <c r="E14" s="17">
        <v>27.25</v>
      </c>
      <c r="F14" s="17">
        <f t="shared" si="2"/>
        <v>1362.5</v>
      </c>
      <c r="G14" s="17">
        <v>0.43</v>
      </c>
      <c r="H14" s="17">
        <v>0</v>
      </c>
      <c r="I14" s="17"/>
      <c r="J14" s="17">
        <v>5.99</v>
      </c>
      <c r="K14" s="17">
        <f t="shared" si="1"/>
        <v>1368.92</v>
      </c>
      <c r="L14" s="17"/>
      <c r="M14" s="17"/>
      <c r="N14" s="17"/>
      <c r="O14" s="17"/>
      <c r="P14" s="17"/>
      <c r="Q14" s="17">
        <f t="shared" si="0"/>
        <v>3014.3399999999992</v>
      </c>
      <c r="R14" s="2"/>
    </row>
    <row r="15" spans="1:19" x14ac:dyDescent="0.25">
      <c r="A15" s="26">
        <v>41879</v>
      </c>
      <c r="B15" s="17"/>
      <c r="C15" s="7" t="s">
        <v>35</v>
      </c>
      <c r="D15" s="3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>
        <v>39.9</v>
      </c>
      <c r="P15" s="17">
        <v>17.09</v>
      </c>
      <c r="Q15" s="17">
        <f>Q14+B15-K15-L15-M15+N15+O15+P15</f>
        <v>3071.3299999999995</v>
      </c>
      <c r="R15" s="2"/>
    </row>
    <row r="16" spans="1:19" x14ac:dyDescent="0.25">
      <c r="A16" s="26">
        <v>41879</v>
      </c>
      <c r="B16" s="17"/>
      <c r="C16" s="7" t="s">
        <v>41</v>
      </c>
      <c r="D16" s="36">
        <v>70</v>
      </c>
      <c r="E16" s="17">
        <v>26.12</v>
      </c>
      <c r="F16" s="17">
        <f>D16*E16</f>
        <v>1828.4</v>
      </c>
      <c r="G16" s="17">
        <v>0.59</v>
      </c>
      <c r="H16" s="17">
        <v>0</v>
      </c>
      <c r="I16" s="17"/>
      <c r="J16" s="17">
        <v>5.99</v>
      </c>
      <c r="K16" s="17">
        <f>SUM(F16:J16)</f>
        <v>1834.98</v>
      </c>
      <c r="L16" s="17"/>
      <c r="M16" s="17"/>
      <c r="N16" s="17"/>
      <c r="O16" s="17"/>
      <c r="P16" s="17"/>
      <c r="Q16" s="17">
        <f>Q15+B16-K16-L16-M16+N16+O16+P16</f>
        <v>1236.3499999999995</v>
      </c>
      <c r="R16" s="2"/>
    </row>
    <row r="17" spans="1:20" x14ac:dyDescent="0.25">
      <c r="A17" s="26">
        <v>41880</v>
      </c>
      <c r="B17" s="17"/>
      <c r="C17" s="7" t="s">
        <v>5</v>
      </c>
      <c r="D17" s="3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>
        <v>15.69</v>
      </c>
      <c r="P17" s="17"/>
      <c r="Q17" s="17">
        <f t="shared" si="0"/>
        <v>1252.0399999999995</v>
      </c>
      <c r="R17" s="2"/>
    </row>
    <row r="18" spans="1:20" x14ac:dyDescent="0.25">
      <c r="A18" s="26">
        <v>41883</v>
      </c>
      <c r="B18" s="17"/>
      <c r="C18" s="7" t="s">
        <v>35</v>
      </c>
      <c r="D18" s="36">
        <v>100</v>
      </c>
      <c r="E18" s="17">
        <v>8.36</v>
      </c>
      <c r="F18" s="17">
        <f>D18*E18</f>
        <v>836</v>
      </c>
      <c r="G18" s="17">
        <v>0.26</v>
      </c>
      <c r="H18" s="17">
        <v>0</v>
      </c>
      <c r="I18" s="17"/>
      <c r="J18" s="17">
        <v>8.99</v>
      </c>
      <c r="K18" s="17">
        <f>SUM(F18:J18)</f>
        <v>845.25</v>
      </c>
      <c r="L18" s="17"/>
      <c r="M18" s="17"/>
      <c r="N18" s="17"/>
      <c r="O18" s="17"/>
      <c r="P18" s="17"/>
      <c r="Q18" s="17">
        <f t="shared" si="0"/>
        <v>406.78999999999951</v>
      </c>
      <c r="R18" s="2"/>
    </row>
    <row r="19" spans="1:20" x14ac:dyDescent="0.25">
      <c r="A19" s="26">
        <v>41884</v>
      </c>
      <c r="B19" s="17"/>
      <c r="C19" s="7" t="s">
        <v>5</v>
      </c>
      <c r="D19" s="36">
        <v>-200</v>
      </c>
      <c r="E19" s="17">
        <v>35.9</v>
      </c>
      <c r="F19" s="17">
        <f>D19*E19</f>
        <v>-7180</v>
      </c>
      <c r="G19" s="17">
        <v>2.3199999999999998</v>
      </c>
      <c r="H19" s="17">
        <v>0</v>
      </c>
      <c r="I19" s="17"/>
      <c r="J19" s="17">
        <v>8.99</v>
      </c>
      <c r="K19" s="17">
        <f>SUM(F19:J19)</f>
        <v>-7168.6900000000005</v>
      </c>
      <c r="L19" s="17"/>
      <c r="M19" s="17"/>
      <c r="N19" s="17"/>
      <c r="O19" s="17"/>
      <c r="P19" s="17"/>
      <c r="Q19" s="17">
        <f t="shared" si="0"/>
        <v>7575.48</v>
      </c>
      <c r="R19" s="2"/>
    </row>
    <row r="20" spans="1:20" x14ac:dyDescent="0.25">
      <c r="A20" s="26">
        <v>41887</v>
      </c>
      <c r="B20" s="17"/>
      <c r="C20" s="7" t="s">
        <v>41</v>
      </c>
      <c r="D20" s="36">
        <v>100</v>
      </c>
      <c r="E20" s="17">
        <v>24.7</v>
      </c>
      <c r="F20" s="17">
        <f>D20*E20</f>
        <v>2470</v>
      </c>
      <c r="G20" s="17">
        <v>0.67</v>
      </c>
      <c r="H20" s="17">
        <v>0.12</v>
      </c>
      <c r="I20" s="17"/>
      <c r="J20" s="17">
        <v>8.99</v>
      </c>
      <c r="K20" s="17">
        <f>SUM(F20:J20)</f>
        <v>2479.7799999999997</v>
      </c>
      <c r="L20" s="17"/>
      <c r="M20" s="17"/>
      <c r="N20" s="17"/>
      <c r="O20" s="17"/>
      <c r="P20" s="17"/>
      <c r="Q20" s="17">
        <f t="shared" si="0"/>
        <v>5095.7</v>
      </c>
      <c r="R20" s="2"/>
    </row>
    <row r="21" spans="1:20" x14ac:dyDescent="0.25">
      <c r="A21" s="26">
        <v>41887</v>
      </c>
      <c r="B21" s="17">
        <v>-3500</v>
      </c>
      <c r="D21" s="3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>
        <f t="shared" si="0"/>
        <v>1595.6999999999998</v>
      </c>
      <c r="R21" s="2"/>
    </row>
    <row r="22" spans="1:20" x14ac:dyDescent="0.25">
      <c r="A22" s="26">
        <v>41894</v>
      </c>
      <c r="B22" s="17"/>
      <c r="C22" s="7" t="s">
        <v>35</v>
      </c>
      <c r="D22" s="36">
        <v>200</v>
      </c>
      <c r="E22" s="17">
        <v>7.87</v>
      </c>
      <c r="F22" s="17">
        <f>D22*E22</f>
        <v>1574</v>
      </c>
      <c r="G22" s="17">
        <v>0.43</v>
      </c>
      <c r="H22" s="17">
        <v>7.0000000000000007E-2</v>
      </c>
      <c r="I22" s="17"/>
      <c r="J22" s="17">
        <v>8.99</v>
      </c>
      <c r="K22" s="17">
        <f>SUM(F22:J22)</f>
        <v>1583.49</v>
      </c>
      <c r="L22" s="17"/>
      <c r="M22" s="17"/>
      <c r="N22" s="17"/>
      <c r="O22" s="17"/>
      <c r="P22" s="17"/>
      <c r="Q22" s="17">
        <f t="shared" si="0"/>
        <v>12.209999999999809</v>
      </c>
      <c r="R22" s="2"/>
    </row>
    <row r="23" spans="1:20" x14ac:dyDescent="0.25">
      <c r="A23" s="26">
        <v>41913</v>
      </c>
      <c r="B23" s="17"/>
      <c r="C23" s="7" t="s">
        <v>35</v>
      </c>
      <c r="D23" s="36">
        <v>800</v>
      </c>
      <c r="E23" s="17">
        <v>0</v>
      </c>
      <c r="F23" s="17">
        <f>D23*E23</f>
        <v>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>
        <f t="shared" ref="Q23" si="3">Q22+B23-K23-L23-M23+N23+O23+P23</f>
        <v>12.209999999999809</v>
      </c>
      <c r="R23" s="2"/>
      <c r="S23" t="s">
        <v>75</v>
      </c>
    </row>
    <row r="24" spans="1:20" x14ac:dyDescent="0.25">
      <c r="A24" s="26">
        <v>41943</v>
      </c>
      <c r="B24" s="17"/>
      <c r="C24" s="7" t="s">
        <v>41</v>
      </c>
      <c r="D24" s="3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>
        <v>102.01</v>
      </c>
      <c r="P24" s="17">
        <v>165.97</v>
      </c>
      <c r="Q24" s="17">
        <f t="shared" si="0"/>
        <v>280.18999999999983</v>
      </c>
      <c r="R24" s="2"/>
    </row>
    <row r="25" spans="1:20" x14ac:dyDescent="0.25">
      <c r="A25" s="26">
        <v>41943</v>
      </c>
      <c r="B25" s="71">
        <v>-280.19</v>
      </c>
      <c r="Q25" s="17">
        <f t="shared" si="0"/>
        <v>-1.7053025658242404E-13</v>
      </c>
      <c r="R25" s="2"/>
    </row>
    <row r="26" spans="1:20" x14ac:dyDescent="0.25">
      <c r="A26" s="26">
        <v>41970</v>
      </c>
      <c r="B26" s="17"/>
      <c r="C26" s="7" t="s">
        <v>35</v>
      </c>
      <c r="D26" s="3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>
        <v>106.4</v>
      </c>
      <c r="P26" s="17">
        <v>45.56</v>
      </c>
      <c r="Q26" s="17">
        <f t="shared" si="0"/>
        <v>151.95999999999984</v>
      </c>
      <c r="R26" s="2"/>
      <c r="T26" s="20"/>
    </row>
    <row r="27" spans="1:20" x14ac:dyDescent="0.25">
      <c r="A27" s="26">
        <v>41971</v>
      </c>
      <c r="B27" s="17">
        <v>-151.96</v>
      </c>
      <c r="D27" s="3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>
        <f t="shared" si="0"/>
        <v>-1.7053025658242404E-13</v>
      </c>
      <c r="R27" s="2"/>
    </row>
    <row r="28" spans="1:20" x14ac:dyDescent="0.25">
      <c r="A28" s="26">
        <v>42041</v>
      </c>
      <c r="B28" s="17"/>
      <c r="C28" s="7" t="s">
        <v>35</v>
      </c>
      <c r="D28" s="36">
        <v>-1600</v>
      </c>
      <c r="E28" s="17">
        <v>3.1</v>
      </c>
      <c r="F28" s="17">
        <f>D28*E28</f>
        <v>-4960</v>
      </c>
      <c r="G28" s="17">
        <v>1.36</v>
      </c>
      <c r="H28" s="17">
        <v>0.24</v>
      </c>
      <c r="I28" s="17"/>
      <c r="J28" s="17">
        <v>8.99</v>
      </c>
      <c r="K28" s="17">
        <f>SUM(F28:J28)</f>
        <v>-4949.4100000000008</v>
      </c>
      <c r="L28" s="17"/>
      <c r="M28" s="17"/>
      <c r="N28" s="17"/>
      <c r="O28" s="17"/>
      <c r="P28" s="17"/>
      <c r="Q28" s="17">
        <f t="shared" si="0"/>
        <v>4949.4100000000008</v>
      </c>
      <c r="R28" s="2"/>
    </row>
    <row r="29" spans="1:20" x14ac:dyDescent="0.25">
      <c r="A29" s="26">
        <v>42046</v>
      </c>
      <c r="B29" s="17">
        <v>-4949.41</v>
      </c>
      <c r="D29" s="3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>
        <f t="shared" si="0"/>
        <v>9.0949470177292824E-13</v>
      </c>
      <c r="R29" s="2"/>
    </row>
    <row r="30" spans="1:20" x14ac:dyDescent="0.25">
      <c r="A30" s="26">
        <v>42094</v>
      </c>
      <c r="B30" s="17"/>
      <c r="C30" s="7" t="s">
        <v>35</v>
      </c>
      <c r="D30" s="3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>
        <v>44.88</v>
      </c>
      <c r="P30" s="17"/>
      <c r="Q30" s="17">
        <f t="shared" si="0"/>
        <v>44.880000000000912</v>
      </c>
      <c r="R30" s="2"/>
      <c r="S30" s="20"/>
    </row>
    <row r="31" spans="1:20" x14ac:dyDescent="0.25">
      <c r="A31" s="26">
        <v>42124</v>
      </c>
      <c r="B31" s="17"/>
      <c r="C31" s="7" t="s">
        <v>41</v>
      </c>
      <c r="D31" s="3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>
        <v>153.44999999999999</v>
      </c>
      <c r="P31" s="17"/>
      <c r="Q31" s="17">
        <f>Q30+B31-K31-L31-M31+N31+O31+P31</f>
        <v>198.33000000000089</v>
      </c>
      <c r="R31" s="2"/>
    </row>
    <row r="32" spans="1:20" x14ac:dyDescent="0.25">
      <c r="A32" s="26">
        <v>42164</v>
      </c>
      <c r="B32" s="17"/>
      <c r="C32" s="7" t="s">
        <v>41</v>
      </c>
      <c r="D32" s="36">
        <v>-300</v>
      </c>
      <c r="E32" s="17">
        <v>17</v>
      </c>
      <c r="F32" s="17">
        <f>D32*E32</f>
        <v>-5100</v>
      </c>
      <c r="G32" s="17">
        <v>1.36</v>
      </c>
      <c r="H32" s="17">
        <v>0.24</v>
      </c>
      <c r="I32" s="17"/>
      <c r="J32" s="17">
        <v>8.99</v>
      </c>
      <c r="K32" s="17">
        <f>SUM(F32:J32)</f>
        <v>-5089.4100000000008</v>
      </c>
      <c r="L32" s="17"/>
      <c r="M32" s="17"/>
      <c r="N32" s="17"/>
      <c r="O32" s="17"/>
      <c r="P32" s="17"/>
      <c r="Q32" s="17">
        <v>0</v>
      </c>
      <c r="R32" s="2"/>
      <c r="S32" t="s">
        <v>84</v>
      </c>
    </row>
    <row r="33" spans="1:19" x14ac:dyDescent="0.25">
      <c r="A33" s="23" t="s">
        <v>4</v>
      </c>
      <c r="B33" s="53">
        <f>SUM(B2:B32)</f>
        <v>-3981.56</v>
      </c>
      <c r="C33" s="24"/>
      <c r="D33" s="53">
        <f>SUM(D2:D32)</f>
        <v>0</v>
      </c>
      <c r="E33" s="40"/>
      <c r="F33" s="28"/>
      <c r="G33" s="53">
        <f t="shared" ref="G33:P33" si="4">SUM(G2:G32)</f>
        <v>10.819999999999999</v>
      </c>
      <c r="H33" s="53">
        <f t="shared" si="4"/>
        <v>1.27</v>
      </c>
      <c r="I33" s="53"/>
      <c r="J33" s="53">
        <f t="shared" si="4"/>
        <v>116.85999999999999</v>
      </c>
      <c r="K33" s="53">
        <f t="shared" si="4"/>
        <v>-8578.3500000000022</v>
      </c>
      <c r="L33" s="53">
        <f t="shared" si="4"/>
        <v>0</v>
      </c>
      <c r="M33" s="53">
        <f t="shared" si="4"/>
        <v>0</v>
      </c>
      <c r="N33" s="53">
        <f t="shared" si="4"/>
        <v>0</v>
      </c>
      <c r="O33" s="53">
        <f t="shared" si="4"/>
        <v>462.33</v>
      </c>
      <c r="P33" s="53">
        <f t="shared" si="4"/>
        <v>228.62</v>
      </c>
      <c r="Q33" s="40"/>
      <c r="R33" s="2"/>
    </row>
    <row r="34" spans="1:19" x14ac:dyDescent="0.25">
      <c r="A34" s="26"/>
      <c r="B34" s="17"/>
      <c r="D34" s="3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2"/>
    </row>
    <row r="35" spans="1:19" x14ac:dyDescent="0.25">
      <c r="A35" s="26"/>
      <c r="B35" s="17"/>
      <c r="D35" s="3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2"/>
    </row>
    <row r="36" spans="1:19" x14ac:dyDescent="0.25">
      <c r="A36" s="26">
        <v>42440</v>
      </c>
      <c r="B36" s="17">
        <v>1400</v>
      </c>
      <c r="D36" s="3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>
        <f>Q32+B36-K36-L36-M36+N36+O36+P36</f>
        <v>1400</v>
      </c>
      <c r="R36" s="2"/>
    </row>
    <row r="37" spans="1:19" x14ac:dyDescent="0.25">
      <c r="A37" s="26">
        <v>42444</v>
      </c>
      <c r="B37" s="17"/>
      <c r="C37" s="7" t="s">
        <v>82</v>
      </c>
      <c r="D37" s="36">
        <v>200</v>
      </c>
      <c r="E37" s="17">
        <v>6.7</v>
      </c>
      <c r="F37" s="17">
        <f>D37*E37</f>
        <v>1340</v>
      </c>
      <c r="G37" s="17">
        <v>0.36</v>
      </c>
      <c r="H37" s="17">
        <v>0.06</v>
      </c>
      <c r="I37" s="17"/>
      <c r="J37" s="17">
        <v>8.99</v>
      </c>
      <c r="K37" s="17">
        <f>SUM(F37:J37)</f>
        <v>1349.4099999999999</v>
      </c>
      <c r="L37" s="17"/>
      <c r="M37" s="17"/>
      <c r="N37" s="17"/>
      <c r="O37" s="17"/>
      <c r="P37" s="17"/>
      <c r="Q37" s="17">
        <f t="shared" ref="Q37:Q39" si="5">Q36+B37-K37-L37-M37+N37+O37+P37</f>
        <v>50.590000000000146</v>
      </c>
      <c r="R37" s="2"/>
    </row>
    <row r="38" spans="1:19" x14ac:dyDescent="0.25">
      <c r="A38" s="26">
        <v>42445</v>
      </c>
      <c r="B38" s="17">
        <v>2300</v>
      </c>
      <c r="D38" s="3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>
        <f t="shared" si="5"/>
        <v>2350.59</v>
      </c>
      <c r="R38" s="2"/>
      <c r="S38" s="20"/>
    </row>
    <row r="39" spans="1:19" x14ac:dyDescent="0.25">
      <c r="A39" s="26">
        <v>42445</v>
      </c>
      <c r="B39" s="17"/>
      <c r="C39" s="7" t="s">
        <v>5</v>
      </c>
      <c r="D39" s="36">
        <v>100</v>
      </c>
      <c r="E39" s="17">
        <v>18.22</v>
      </c>
      <c r="F39" s="17">
        <f t="shared" ref="F39:F45" si="6">D39*E39</f>
        <v>1822</v>
      </c>
      <c r="G39" s="17">
        <v>0.36</v>
      </c>
      <c r="H39" s="17">
        <v>0.06</v>
      </c>
      <c r="I39" s="17"/>
      <c r="J39" s="17">
        <v>8.99</v>
      </c>
      <c r="K39" s="17">
        <f t="shared" ref="K39:K44" si="7">SUM(F39:J39)</f>
        <v>1831.4099999999999</v>
      </c>
      <c r="L39" s="17"/>
      <c r="M39" s="17"/>
      <c r="N39" s="17"/>
      <c r="O39" s="17"/>
      <c r="P39" s="17"/>
      <c r="Q39" s="17">
        <f t="shared" si="5"/>
        <v>519.18000000000029</v>
      </c>
      <c r="R39" s="2"/>
    </row>
    <row r="40" spans="1:19" x14ac:dyDescent="0.25">
      <c r="A40" s="26">
        <v>42446</v>
      </c>
      <c r="B40" s="17"/>
      <c r="C40" s="7" t="s">
        <v>83</v>
      </c>
      <c r="D40" s="36">
        <v>100</v>
      </c>
      <c r="E40" s="17">
        <v>0.3</v>
      </c>
      <c r="F40" s="17">
        <f t="shared" si="6"/>
        <v>30</v>
      </c>
      <c r="G40" s="17">
        <v>0.36</v>
      </c>
      <c r="H40" s="17">
        <v>0.06</v>
      </c>
      <c r="I40" s="17"/>
      <c r="J40" s="17">
        <v>8.99</v>
      </c>
      <c r="K40" s="17">
        <f t="shared" si="7"/>
        <v>39.409999999999997</v>
      </c>
      <c r="L40" s="17"/>
      <c r="M40" s="17"/>
      <c r="N40" s="17"/>
      <c r="O40" s="17"/>
      <c r="P40" s="17"/>
      <c r="Q40" s="17">
        <f t="shared" ref="Q40:Q45" si="8">Q39+B40-K40-L40-M40+N40+O40+P40</f>
        <v>479.77000000000032</v>
      </c>
      <c r="R40" s="2"/>
    </row>
    <row r="41" spans="1:19" x14ac:dyDescent="0.25">
      <c r="A41" s="26">
        <v>42446</v>
      </c>
      <c r="B41" s="17"/>
      <c r="C41" s="7" t="s">
        <v>82</v>
      </c>
      <c r="D41" s="36">
        <v>-200</v>
      </c>
      <c r="E41" s="17">
        <v>8.14</v>
      </c>
      <c r="F41" s="17">
        <f t="shared" si="6"/>
        <v>-1628</v>
      </c>
      <c r="G41" s="17"/>
      <c r="H41" s="17"/>
      <c r="I41" s="17"/>
      <c r="J41" s="17"/>
      <c r="K41" s="17">
        <f t="shared" si="7"/>
        <v>-1628</v>
      </c>
      <c r="L41" s="17"/>
      <c r="M41" s="17"/>
      <c r="N41" s="17"/>
      <c r="O41" s="17"/>
      <c r="P41" s="17"/>
      <c r="Q41" s="17">
        <f t="shared" si="8"/>
        <v>2107.7700000000004</v>
      </c>
      <c r="R41" s="2"/>
    </row>
    <row r="42" spans="1:19" x14ac:dyDescent="0.25">
      <c r="A42" s="26">
        <v>42452</v>
      </c>
      <c r="B42" s="17"/>
      <c r="C42" s="7" t="s">
        <v>5</v>
      </c>
      <c r="D42" s="36">
        <v>-100</v>
      </c>
      <c r="E42" s="17">
        <v>21</v>
      </c>
      <c r="F42" s="17">
        <f t="shared" si="6"/>
        <v>-2100</v>
      </c>
      <c r="G42" s="17">
        <v>1.23</v>
      </c>
      <c r="H42" s="17">
        <v>0.06</v>
      </c>
      <c r="I42" s="17"/>
      <c r="J42" s="17">
        <v>8.99</v>
      </c>
      <c r="K42" s="17">
        <f t="shared" si="7"/>
        <v>-2089.7200000000003</v>
      </c>
      <c r="L42" s="17"/>
      <c r="M42" s="17"/>
      <c r="N42" s="17"/>
      <c r="O42" s="17"/>
      <c r="P42" s="17"/>
      <c r="Q42" s="17">
        <f t="shared" si="8"/>
        <v>4197.4900000000007</v>
      </c>
      <c r="R42" s="2"/>
      <c r="S42" s="20"/>
    </row>
    <row r="43" spans="1:19" x14ac:dyDescent="0.25">
      <c r="A43" s="26">
        <v>42452</v>
      </c>
      <c r="B43" s="17"/>
      <c r="C43" s="7" t="s">
        <v>82</v>
      </c>
      <c r="D43" s="36">
        <v>500</v>
      </c>
      <c r="E43" s="17">
        <v>7.9</v>
      </c>
      <c r="F43" s="17">
        <f t="shared" si="6"/>
        <v>3950</v>
      </c>
      <c r="G43" s="17">
        <v>1.23</v>
      </c>
      <c r="H43" s="17">
        <v>0.06</v>
      </c>
      <c r="I43" s="17"/>
      <c r="J43" s="17">
        <v>8.99</v>
      </c>
      <c r="K43" s="17">
        <f t="shared" si="7"/>
        <v>3960.2799999999997</v>
      </c>
      <c r="L43" s="17"/>
      <c r="M43" s="17"/>
      <c r="N43" s="17"/>
      <c r="O43" s="17"/>
      <c r="P43" s="17"/>
      <c r="Q43" s="17">
        <f t="shared" ref="Q43" si="9">Q42+B43-K43-L43-M43+N43+O43+P43</f>
        <v>237.21000000000095</v>
      </c>
      <c r="R43" s="2"/>
    </row>
    <row r="44" spans="1:19" x14ac:dyDescent="0.25">
      <c r="A44" s="26">
        <v>42459</v>
      </c>
      <c r="B44" s="17"/>
      <c r="C44" s="7" t="s">
        <v>82</v>
      </c>
      <c r="D44" s="36">
        <v>-500</v>
      </c>
      <c r="E44" s="17">
        <v>9</v>
      </c>
      <c r="F44" s="17">
        <f t="shared" si="6"/>
        <v>-4500</v>
      </c>
      <c r="G44" s="17">
        <v>1.23</v>
      </c>
      <c r="H44" s="17">
        <v>0.06</v>
      </c>
      <c r="I44" s="17"/>
      <c r="J44" s="17">
        <v>8.99</v>
      </c>
      <c r="K44" s="17">
        <f t="shared" si="7"/>
        <v>-4489.72</v>
      </c>
      <c r="L44" s="17"/>
      <c r="M44" s="17"/>
      <c r="N44" s="17"/>
      <c r="O44" s="17"/>
      <c r="P44" s="17"/>
      <c r="Q44" s="17">
        <f t="shared" ref="Q44" si="10">Q43+B44-K44-L44-M44+N44+O44+P44</f>
        <v>4726.9300000000012</v>
      </c>
      <c r="R44" s="2"/>
    </row>
    <row r="45" spans="1:19" x14ac:dyDescent="0.25">
      <c r="A45" s="26">
        <v>42464</v>
      </c>
      <c r="B45" s="17"/>
      <c r="C45" s="7" t="s">
        <v>82</v>
      </c>
      <c r="D45" s="36">
        <v>600</v>
      </c>
      <c r="E45" s="17">
        <v>7.8</v>
      </c>
      <c r="F45" s="17">
        <f t="shared" si="6"/>
        <v>4680</v>
      </c>
      <c r="G45" s="17">
        <v>1.23</v>
      </c>
      <c r="H45" s="17">
        <v>0.06</v>
      </c>
      <c r="I45" s="17"/>
      <c r="J45" s="17">
        <v>8.99</v>
      </c>
      <c r="K45" s="17">
        <f t="shared" ref="K45" si="11">SUM(F45:J45)</f>
        <v>4690.28</v>
      </c>
      <c r="L45" s="17"/>
      <c r="M45" s="17"/>
      <c r="N45" s="17"/>
      <c r="O45" s="17"/>
      <c r="P45" s="17"/>
      <c r="Q45" s="17">
        <f t="shared" si="8"/>
        <v>36.650000000001455</v>
      </c>
      <c r="R45" s="2"/>
    </row>
    <row r="46" spans="1:19" x14ac:dyDescent="0.25">
      <c r="A46" s="26">
        <v>42468</v>
      </c>
      <c r="B46" s="17"/>
      <c r="C46" s="7" t="s">
        <v>82</v>
      </c>
      <c r="D46" s="36">
        <v>-600</v>
      </c>
      <c r="E46" s="17">
        <v>8.25</v>
      </c>
      <c r="F46" s="17">
        <f t="shared" ref="F46:F47" si="12">D46*E46</f>
        <v>-4950</v>
      </c>
      <c r="G46" s="17">
        <v>1.23</v>
      </c>
      <c r="H46" s="17">
        <v>0.06</v>
      </c>
      <c r="I46" s="17"/>
      <c r="J46" s="17">
        <v>8.99</v>
      </c>
      <c r="K46" s="17">
        <f t="shared" ref="K46:K47" si="13">SUM(F46:J46)</f>
        <v>-4939.72</v>
      </c>
      <c r="L46" s="17"/>
      <c r="M46" s="17"/>
      <c r="N46" s="17"/>
      <c r="O46" s="17"/>
      <c r="P46" s="17"/>
      <c r="Q46" s="17">
        <f t="shared" ref="Q46:Q47" si="14">Q45+B46-K46-L46-M46+N46+O46+P46</f>
        <v>4976.3700000000017</v>
      </c>
      <c r="R46" s="2"/>
    </row>
    <row r="47" spans="1:19" x14ac:dyDescent="0.25">
      <c r="A47" s="26">
        <v>42487</v>
      </c>
      <c r="B47" s="17"/>
      <c r="C47" s="7" t="s">
        <v>17</v>
      </c>
      <c r="D47" s="36">
        <v>600</v>
      </c>
      <c r="E47" s="17">
        <v>7.48</v>
      </c>
      <c r="F47" s="17">
        <f t="shared" si="12"/>
        <v>4488</v>
      </c>
      <c r="G47" s="17">
        <v>1.23</v>
      </c>
      <c r="H47" s="17">
        <v>0.44</v>
      </c>
      <c r="I47" s="17"/>
      <c r="J47" s="17">
        <v>8.99</v>
      </c>
      <c r="K47" s="17">
        <f t="shared" si="13"/>
        <v>4498.6599999999989</v>
      </c>
      <c r="L47" s="17"/>
      <c r="M47" s="17"/>
      <c r="N47" s="17"/>
      <c r="O47" s="17"/>
      <c r="P47" s="17"/>
      <c r="Q47" s="17">
        <f t="shared" si="14"/>
        <v>477.71000000000276</v>
      </c>
      <c r="R47" s="2"/>
    </row>
    <row r="48" spans="1:19" x14ac:dyDescent="0.25">
      <c r="A48" s="26">
        <v>42571</v>
      </c>
      <c r="B48" s="17">
        <v>500</v>
      </c>
      <c r="D48" s="36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>
        <f>Q47+B48-K48-L48-M48+N48+O48+P48</f>
        <v>977.71000000000276</v>
      </c>
      <c r="R48" s="2"/>
    </row>
    <row r="49" spans="1:20" x14ac:dyDescent="0.25">
      <c r="A49" s="26">
        <v>42572</v>
      </c>
      <c r="B49" s="17"/>
      <c r="C49" s="7" t="s">
        <v>85</v>
      </c>
      <c r="D49" s="36">
        <v>100</v>
      </c>
      <c r="E49" s="17">
        <v>8.34</v>
      </c>
      <c r="F49" s="17">
        <f t="shared" ref="F49" si="15">D49*E49</f>
        <v>834</v>
      </c>
      <c r="G49" s="17">
        <v>1.23</v>
      </c>
      <c r="H49" s="17">
        <v>0.44</v>
      </c>
      <c r="I49" s="17"/>
      <c r="J49" s="17">
        <v>8.99</v>
      </c>
      <c r="K49" s="17">
        <f t="shared" ref="K49" si="16">SUM(F49:J49)</f>
        <v>844.66000000000008</v>
      </c>
      <c r="L49" s="17"/>
      <c r="M49" s="17"/>
      <c r="N49" s="17"/>
      <c r="O49" s="17"/>
      <c r="P49" s="17"/>
      <c r="Q49" s="17">
        <f t="shared" ref="Q49:Q51" si="17">Q48+B49-K49-L49-M49+N49+O49+P49</f>
        <v>133.05000000000268</v>
      </c>
      <c r="R49" s="2"/>
    </row>
    <row r="50" spans="1:20" x14ac:dyDescent="0.25">
      <c r="A50" s="26">
        <v>42577</v>
      </c>
      <c r="B50" s="17">
        <v>5000</v>
      </c>
      <c r="O50" s="17"/>
      <c r="P50" s="17"/>
      <c r="Q50" s="17">
        <f t="shared" si="17"/>
        <v>5133.0500000000029</v>
      </c>
      <c r="R50" s="2"/>
    </row>
    <row r="51" spans="1:20" x14ac:dyDescent="0.25">
      <c r="A51" s="26">
        <v>42577</v>
      </c>
      <c r="B51" s="17"/>
      <c r="C51" s="7" t="s">
        <v>17</v>
      </c>
      <c r="D51" s="36">
        <v>400</v>
      </c>
      <c r="E51" s="17">
        <v>8.9</v>
      </c>
      <c r="F51" s="17">
        <f>D51*E51</f>
        <v>3560</v>
      </c>
      <c r="G51" s="17">
        <v>1.23</v>
      </c>
      <c r="H51" s="17">
        <v>0.44</v>
      </c>
      <c r="I51" s="17"/>
      <c r="J51" s="17">
        <v>8.99</v>
      </c>
      <c r="K51" s="17">
        <f>SUM(F51:J51)</f>
        <v>3570.66</v>
      </c>
      <c r="L51" s="17"/>
      <c r="M51" s="17"/>
      <c r="N51" s="17"/>
      <c r="O51" s="17"/>
      <c r="P51" s="17"/>
      <c r="Q51" s="17">
        <f t="shared" si="17"/>
        <v>1562.3900000000031</v>
      </c>
      <c r="R51" s="2"/>
    </row>
    <row r="52" spans="1:20" x14ac:dyDescent="0.25">
      <c r="A52" s="26">
        <v>42578</v>
      </c>
      <c r="B52" s="17">
        <v>5000</v>
      </c>
      <c r="O52" s="17"/>
      <c r="P52" s="17"/>
      <c r="Q52" s="17">
        <f t="shared" ref="Q52:Q53" si="18">Q51+B52-K52-L52-M52+N52+O52+P52</f>
        <v>6562.3900000000031</v>
      </c>
      <c r="R52" s="2"/>
    </row>
    <row r="53" spans="1:20" x14ac:dyDescent="0.25">
      <c r="A53" s="26">
        <v>42578</v>
      </c>
      <c r="B53" s="17"/>
      <c r="C53" s="7" t="s">
        <v>82</v>
      </c>
      <c r="D53" s="36">
        <v>100</v>
      </c>
      <c r="E53" s="17">
        <v>11.65</v>
      </c>
      <c r="F53" s="17">
        <f>D53*E53</f>
        <v>1165</v>
      </c>
      <c r="G53" s="17">
        <v>0.32</v>
      </c>
      <c r="H53" s="17">
        <v>0.05</v>
      </c>
      <c r="I53" s="17"/>
      <c r="J53" s="17">
        <v>8.99</v>
      </c>
      <c r="K53" s="17">
        <f>SUM(F53:J53)</f>
        <v>1174.3599999999999</v>
      </c>
      <c r="L53" s="17"/>
      <c r="M53" s="17"/>
      <c r="N53" s="17"/>
      <c r="O53" s="17"/>
      <c r="P53" s="17"/>
      <c r="Q53" s="17">
        <f t="shared" si="18"/>
        <v>5388.0300000000034</v>
      </c>
      <c r="R53" s="2"/>
    </row>
    <row r="54" spans="1:20" x14ac:dyDescent="0.25">
      <c r="A54" s="26">
        <v>42579</v>
      </c>
      <c r="B54" s="17"/>
      <c r="C54" s="7" t="s">
        <v>5</v>
      </c>
      <c r="D54" s="36">
        <v>49</v>
      </c>
      <c r="E54" s="17">
        <v>20.69</v>
      </c>
      <c r="F54" s="17">
        <f>D54*E54</f>
        <v>1013.8100000000001</v>
      </c>
      <c r="G54" s="17">
        <v>0.56000000000000005</v>
      </c>
      <c r="H54" s="17">
        <v>0.1</v>
      </c>
      <c r="I54" s="17"/>
      <c r="J54" s="17">
        <v>11.98</v>
      </c>
      <c r="K54" s="17">
        <f>SUM(F54:J54)</f>
        <v>1026.45</v>
      </c>
      <c r="L54" s="17"/>
      <c r="M54" s="17"/>
      <c r="N54" s="17"/>
      <c r="O54" s="17"/>
      <c r="P54" s="17"/>
      <c r="Q54" s="17">
        <f t="shared" ref="Q54" si="19">Q53+B54-K54-L54-M54+N54+O54+P54</f>
        <v>4361.5800000000036</v>
      </c>
      <c r="R54" s="2"/>
      <c r="T54" s="20"/>
    </row>
    <row r="55" spans="1:20" x14ac:dyDescent="0.25">
      <c r="A55" s="26">
        <v>42579</v>
      </c>
      <c r="B55" s="17"/>
      <c r="C55" s="7" t="s">
        <v>5</v>
      </c>
      <c r="D55" s="36">
        <v>51</v>
      </c>
      <c r="E55" s="17">
        <v>20.7</v>
      </c>
      <c r="F55" s="17">
        <f>D55*E55</f>
        <v>1055.7</v>
      </c>
      <c r="G55" s="17">
        <v>0</v>
      </c>
      <c r="H55" s="17">
        <v>0</v>
      </c>
      <c r="I55" s="17"/>
      <c r="J55" s="17">
        <v>0</v>
      </c>
      <c r="K55" s="17">
        <f>SUM(F55:J55)</f>
        <v>1055.7</v>
      </c>
      <c r="L55" s="17"/>
      <c r="M55" s="17"/>
      <c r="N55" s="17"/>
      <c r="O55" s="17"/>
      <c r="P55" s="17"/>
      <c r="Q55" s="17">
        <f t="shared" ref="Q55:Q56" si="20">Q54+B55-K55-L55-M55+N55+O55+P55</f>
        <v>3305.8800000000037</v>
      </c>
      <c r="R55" s="2"/>
    </row>
    <row r="56" spans="1:20" x14ac:dyDescent="0.25">
      <c r="A56" s="26">
        <v>42584</v>
      </c>
      <c r="B56" s="17"/>
      <c r="C56" s="7" t="s">
        <v>170</v>
      </c>
      <c r="D56" s="36">
        <v>100</v>
      </c>
      <c r="E56" s="17">
        <v>23.35</v>
      </c>
      <c r="F56" s="17">
        <f>D56*E56</f>
        <v>2335</v>
      </c>
      <c r="G56" s="17">
        <v>0.64</v>
      </c>
      <c r="H56" s="17">
        <v>0.11</v>
      </c>
      <c r="I56" s="17"/>
      <c r="J56" s="17">
        <v>8.99</v>
      </c>
      <c r="K56" s="17">
        <f>SUM(F56:J56)</f>
        <v>2344.7399999999998</v>
      </c>
      <c r="L56" s="17"/>
      <c r="M56" s="17"/>
      <c r="N56" s="17"/>
      <c r="O56" s="17"/>
      <c r="P56" s="17"/>
      <c r="Q56" s="17">
        <f t="shared" si="20"/>
        <v>961.14000000000397</v>
      </c>
      <c r="R56" s="2"/>
    </row>
    <row r="57" spans="1:20" x14ac:dyDescent="0.25">
      <c r="A57" s="26">
        <v>42583</v>
      </c>
      <c r="B57" s="17"/>
      <c r="C57" s="7" t="s">
        <v>92</v>
      </c>
      <c r="D57" s="36"/>
      <c r="E57" s="17"/>
      <c r="F57" s="17"/>
      <c r="G57" s="17"/>
      <c r="H57" s="17"/>
      <c r="I57" s="17"/>
      <c r="J57" s="17"/>
      <c r="K57" s="17">
        <v>602.91999999999996</v>
      </c>
      <c r="L57" s="17"/>
      <c r="M57" s="17"/>
      <c r="N57" s="17"/>
      <c r="O57" s="17"/>
      <c r="P57" s="17"/>
      <c r="Q57" s="17">
        <f t="shared" ref="Q57:Q58" si="21">Q56+B57-K57-L57-M57+N57+O57+P57</f>
        <v>358.22000000000401</v>
      </c>
      <c r="R57" s="2"/>
      <c r="T57" s="20"/>
    </row>
    <row r="58" spans="1:20" x14ac:dyDescent="0.25">
      <c r="A58" s="26">
        <v>42584</v>
      </c>
      <c r="B58" s="17">
        <v>2000</v>
      </c>
      <c r="D58" s="36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>
        <f t="shared" si="21"/>
        <v>2358.2200000000039</v>
      </c>
      <c r="R58" s="2"/>
    </row>
    <row r="59" spans="1:20" x14ac:dyDescent="0.25">
      <c r="A59" s="26">
        <v>42586</v>
      </c>
      <c r="B59" s="17">
        <v>1500</v>
      </c>
      <c r="D59" s="36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>
        <f t="shared" ref="Q59:Q60" si="22">Q58+B59-K59-L59-M59+N59+O59+P59</f>
        <v>3858.2200000000039</v>
      </c>
      <c r="R59" s="2"/>
    </row>
    <row r="60" spans="1:20" x14ac:dyDescent="0.25">
      <c r="A60" s="26">
        <v>42586</v>
      </c>
      <c r="B60" s="17"/>
      <c r="C60" s="7" t="s">
        <v>85</v>
      </c>
      <c r="D60" s="36">
        <v>100</v>
      </c>
      <c r="E60" s="17">
        <v>8.66</v>
      </c>
      <c r="F60" s="17">
        <f>D60*E60</f>
        <v>866</v>
      </c>
      <c r="G60" s="17">
        <v>0.23</v>
      </c>
      <c r="H60" s="17">
        <v>0.04</v>
      </c>
      <c r="I60" s="17"/>
      <c r="J60" s="17">
        <v>8.99</v>
      </c>
      <c r="K60" s="17">
        <f>SUM(F60:J60)</f>
        <v>875.26</v>
      </c>
      <c r="L60" s="17"/>
      <c r="M60" s="17"/>
      <c r="N60" s="17"/>
      <c r="O60" s="17"/>
      <c r="P60" s="17"/>
      <c r="Q60" s="17">
        <f t="shared" si="22"/>
        <v>2982.9600000000037</v>
      </c>
      <c r="R60" s="2"/>
    </row>
    <row r="61" spans="1:20" x14ac:dyDescent="0.25">
      <c r="A61" s="26">
        <v>42591</v>
      </c>
      <c r="B61" s="17"/>
      <c r="C61" s="7" t="s">
        <v>88</v>
      </c>
      <c r="D61" s="36">
        <v>500</v>
      </c>
      <c r="E61" s="17">
        <v>2.5099999999999998</v>
      </c>
      <c r="F61" s="17">
        <f>D61*E61</f>
        <v>1255</v>
      </c>
      <c r="G61" s="17">
        <v>0.34</v>
      </c>
      <c r="H61" s="17">
        <v>0.06</v>
      </c>
      <c r="I61" s="17"/>
      <c r="J61" s="17">
        <v>8.99</v>
      </c>
      <c r="K61" s="17">
        <f>SUM(F61:J61)</f>
        <v>1264.3899999999999</v>
      </c>
      <c r="L61" s="17"/>
      <c r="M61" s="17"/>
      <c r="N61" s="17"/>
      <c r="O61" s="17"/>
      <c r="P61" s="17"/>
      <c r="Q61" s="17">
        <f t="shared" ref="Q61" si="23">Q60+B61-K61-L61-M61+N61+O61+P61</f>
        <v>1718.5700000000038</v>
      </c>
      <c r="R61" s="2"/>
    </row>
    <row r="62" spans="1:20" x14ac:dyDescent="0.25">
      <c r="A62" s="26">
        <v>42597</v>
      </c>
      <c r="B62" s="17"/>
      <c r="C62" s="7" t="s">
        <v>92</v>
      </c>
      <c r="D62" s="36"/>
      <c r="E62" s="17"/>
      <c r="F62" s="17"/>
      <c r="G62" s="17"/>
      <c r="H62" s="17"/>
      <c r="I62" s="17"/>
      <c r="J62" s="17"/>
      <c r="K62" s="17"/>
      <c r="L62" s="17"/>
      <c r="M62" s="17"/>
      <c r="N62" s="17">
        <v>16.940000000000001</v>
      </c>
      <c r="O62" s="17"/>
      <c r="P62" s="17"/>
      <c r="Q62" s="17">
        <f t="shared" ref="Q62:Q63" si="24">Q61+B62-K62-L62-M62+N62+O62+P62</f>
        <v>1735.5100000000039</v>
      </c>
      <c r="R62" s="2"/>
    </row>
    <row r="63" spans="1:20" x14ac:dyDescent="0.25">
      <c r="A63" s="26">
        <v>42598</v>
      </c>
      <c r="B63" s="17"/>
      <c r="C63" s="7" t="s">
        <v>91</v>
      </c>
      <c r="D63" s="36">
        <v>10000</v>
      </c>
      <c r="E63" s="17">
        <v>0.01</v>
      </c>
      <c r="F63" s="17">
        <f>D63*E63</f>
        <v>100</v>
      </c>
      <c r="G63" s="17">
        <v>0.08</v>
      </c>
      <c r="H63" s="17">
        <v>0.03</v>
      </c>
      <c r="I63" s="17"/>
      <c r="J63" s="17">
        <v>5.99</v>
      </c>
      <c r="K63" s="17">
        <f>SUM(F63:J63)</f>
        <v>106.1</v>
      </c>
      <c r="L63" s="17"/>
      <c r="M63" s="17"/>
      <c r="N63" s="17"/>
      <c r="O63" s="17"/>
      <c r="P63" s="17"/>
      <c r="Q63" s="17">
        <f t="shared" si="24"/>
        <v>1629.4100000000039</v>
      </c>
      <c r="R63" s="2"/>
    </row>
    <row r="64" spans="1:20" x14ac:dyDescent="0.25">
      <c r="A64" s="26">
        <v>42593</v>
      </c>
      <c r="B64" s="17"/>
      <c r="C64" s="7" t="s">
        <v>35</v>
      </c>
      <c r="D64" s="36">
        <v>800</v>
      </c>
      <c r="E64" s="17">
        <v>1.76</v>
      </c>
      <c r="F64" s="17">
        <f>D64*E64</f>
        <v>1408</v>
      </c>
      <c r="G64" s="17">
        <v>0.38</v>
      </c>
      <c r="H64" s="17">
        <v>0.09</v>
      </c>
      <c r="I64" s="17"/>
      <c r="J64" s="17">
        <v>8.99</v>
      </c>
      <c r="K64" s="17">
        <f>SUM(F64:J64)</f>
        <v>1417.46</v>
      </c>
      <c r="L64" s="17"/>
      <c r="M64" s="17"/>
      <c r="N64" s="17"/>
      <c r="O64" s="17"/>
      <c r="P64" s="17"/>
      <c r="Q64" s="17">
        <f t="shared" ref="Q64:Q65" si="25">Q63+B64-K64-L64-M64+N64+O64+P64</f>
        <v>211.95000000000391</v>
      </c>
      <c r="R64" s="2"/>
    </row>
    <row r="65" spans="1:20" x14ac:dyDescent="0.25">
      <c r="A65" s="26">
        <v>42600</v>
      </c>
      <c r="B65" s="17">
        <v>5000</v>
      </c>
      <c r="D65" s="36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>
        <f t="shared" si="25"/>
        <v>5211.9500000000044</v>
      </c>
      <c r="R65" s="2"/>
    </row>
    <row r="66" spans="1:20" x14ac:dyDescent="0.25">
      <c r="A66" s="26">
        <v>42600</v>
      </c>
      <c r="B66" s="17"/>
      <c r="C66" s="7" t="s">
        <v>17</v>
      </c>
      <c r="D66" s="36">
        <v>100</v>
      </c>
      <c r="E66" s="17">
        <v>9.44</v>
      </c>
      <c r="F66" s="17">
        <f>D66*E66</f>
        <v>944</v>
      </c>
      <c r="G66" s="17">
        <v>0.35</v>
      </c>
      <c r="H66" s="17">
        <v>0.06</v>
      </c>
      <c r="I66" s="17"/>
      <c r="J66" s="17">
        <v>8.99</v>
      </c>
      <c r="K66" s="17">
        <f>SUM(F66:J66)</f>
        <v>953.4</v>
      </c>
      <c r="L66" s="17"/>
      <c r="M66" s="17"/>
      <c r="N66" s="17"/>
      <c r="O66" s="17"/>
      <c r="P66" s="17"/>
      <c r="Q66" s="17">
        <f t="shared" ref="Q66" si="26">Q65+B66-K66-L66-M66+N66+O66+P66</f>
        <v>4258.5500000000047</v>
      </c>
      <c r="R66" s="2"/>
      <c r="T66" s="20"/>
    </row>
    <row r="67" spans="1:20" x14ac:dyDescent="0.25">
      <c r="A67" s="26">
        <v>42600</v>
      </c>
      <c r="B67" s="17"/>
      <c r="C67" s="7" t="s">
        <v>35</v>
      </c>
      <c r="D67" s="36">
        <v>200</v>
      </c>
      <c r="E67" s="17">
        <v>1.73</v>
      </c>
      <c r="F67" s="17">
        <f>D67*E67</f>
        <v>346</v>
      </c>
      <c r="G67" s="17">
        <v>0</v>
      </c>
      <c r="H67" s="17">
        <v>0</v>
      </c>
      <c r="I67" s="17"/>
      <c r="J67" s="17">
        <v>8.99</v>
      </c>
      <c r="K67" s="17">
        <f>SUM(F67:J67)</f>
        <v>354.99</v>
      </c>
      <c r="L67" s="17"/>
      <c r="M67" s="17"/>
      <c r="N67" s="17"/>
      <c r="O67" s="17"/>
      <c r="P67" s="17"/>
      <c r="Q67" s="17">
        <f t="shared" ref="Q67" si="27">Q66+B67-K67-L67-M67+N67+O67+P67</f>
        <v>3903.5600000000049</v>
      </c>
      <c r="R67" s="2"/>
      <c r="T67" s="20"/>
    </row>
    <row r="68" spans="1:20" x14ac:dyDescent="0.25">
      <c r="A68" s="26">
        <v>42606</v>
      </c>
      <c r="B68" s="17"/>
      <c r="C68" s="7" t="s">
        <v>17</v>
      </c>
      <c r="D68" s="36">
        <v>100</v>
      </c>
      <c r="E68" s="17">
        <v>8.85</v>
      </c>
      <c r="F68" s="17">
        <f>D68*E68</f>
        <v>885</v>
      </c>
      <c r="G68" s="17">
        <v>0.24</v>
      </c>
      <c r="H68" s="17">
        <v>0.04</v>
      </c>
      <c r="I68" s="17"/>
      <c r="J68" s="17">
        <v>8.99</v>
      </c>
      <c r="K68" s="17">
        <f>SUM(F68:J68)</f>
        <v>894.27</v>
      </c>
      <c r="L68" s="17"/>
      <c r="M68" s="17"/>
      <c r="N68" s="17"/>
      <c r="O68" s="17"/>
      <c r="P68" s="17"/>
      <c r="Q68" s="17">
        <f t="shared" ref="Q68" si="28">Q67+B68-K68-L68-M68+N68+O68+P68</f>
        <v>3009.290000000005</v>
      </c>
      <c r="R68" s="2"/>
    </row>
    <row r="69" spans="1:20" x14ac:dyDescent="0.25">
      <c r="A69" s="26">
        <v>42607</v>
      </c>
      <c r="B69" s="17"/>
      <c r="C69" s="7" t="s">
        <v>85</v>
      </c>
      <c r="D69" s="36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>
        <v>13.43</v>
      </c>
      <c r="Q69" s="17">
        <f t="shared" ref="Q69" si="29">Q68+B69-K69-L69-M69+N69+O69+P69</f>
        <v>3022.7200000000048</v>
      </c>
      <c r="R69" s="2"/>
    </row>
    <row r="70" spans="1:20" x14ac:dyDescent="0.25">
      <c r="A70" s="26">
        <v>42608</v>
      </c>
      <c r="B70" s="17"/>
      <c r="C70" s="7" t="s">
        <v>85</v>
      </c>
      <c r="D70" s="36">
        <v>100</v>
      </c>
      <c r="E70" s="17">
        <v>8.5500000000000007</v>
      </c>
      <c r="F70" s="17">
        <f>D70*E70</f>
        <v>855.00000000000011</v>
      </c>
      <c r="G70" s="17">
        <v>0.23</v>
      </c>
      <c r="H70" s="17">
        <v>0.04</v>
      </c>
      <c r="I70" s="17"/>
      <c r="J70" s="17">
        <v>8.99</v>
      </c>
      <c r="K70" s="17">
        <f>SUM(F70:J70)</f>
        <v>864.2600000000001</v>
      </c>
      <c r="L70" s="17"/>
      <c r="M70" s="17"/>
      <c r="N70" s="17"/>
      <c r="O70" s="17"/>
      <c r="P70" s="17"/>
      <c r="Q70" s="17">
        <f t="shared" ref="Q70" si="30">Q69+B70-K70-L70-M70+N70+O70+P70</f>
        <v>2158.4600000000046</v>
      </c>
      <c r="R70" s="2"/>
    </row>
    <row r="71" spans="1:20" x14ac:dyDescent="0.25">
      <c r="A71" s="26">
        <v>42611</v>
      </c>
      <c r="B71" s="17"/>
      <c r="C71" s="7" t="s">
        <v>170</v>
      </c>
      <c r="D71" s="36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>
        <v>6.05</v>
      </c>
      <c r="Q71" s="17">
        <f t="shared" ref="Q71" si="31">Q70+B71-K71-L71-M71+N71+O71+P71</f>
        <v>2164.5100000000048</v>
      </c>
      <c r="R71" s="2"/>
    </row>
    <row r="72" spans="1:20" x14ac:dyDescent="0.25">
      <c r="A72" s="26">
        <v>42611</v>
      </c>
      <c r="B72" s="17"/>
      <c r="C72" s="7" t="s">
        <v>170</v>
      </c>
      <c r="D72" s="36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>
        <v>50.51</v>
      </c>
      <c r="P72" s="17"/>
      <c r="Q72" s="17">
        <f t="shared" ref="Q72" si="32">Q71+B72-K72-L72-M72+N72+O72+P72</f>
        <v>2215.020000000005</v>
      </c>
      <c r="R72" s="2"/>
    </row>
    <row r="73" spans="1:20" x14ac:dyDescent="0.25">
      <c r="A73" s="26">
        <v>42612</v>
      </c>
      <c r="B73" s="17"/>
      <c r="C73" s="7" t="s">
        <v>92</v>
      </c>
      <c r="D73" s="36"/>
      <c r="E73" s="17"/>
      <c r="F73" s="17"/>
      <c r="G73" s="17"/>
      <c r="H73" s="17"/>
      <c r="I73" s="17"/>
      <c r="J73" s="17"/>
      <c r="K73" s="17">
        <v>592</v>
      </c>
      <c r="L73" s="17"/>
      <c r="M73" s="17"/>
      <c r="N73" s="17"/>
      <c r="O73" s="17"/>
      <c r="P73" s="17"/>
      <c r="Q73" s="17">
        <f t="shared" ref="Q73" si="33">Q72+B73-K73-L73-M73+N73+O73+P73</f>
        <v>1623.020000000005</v>
      </c>
      <c r="R73" s="2"/>
      <c r="T73" s="20"/>
    </row>
    <row r="74" spans="1:20" x14ac:dyDescent="0.25">
      <c r="A74" s="26">
        <v>42613</v>
      </c>
      <c r="B74" s="17"/>
      <c r="C74" s="7" t="s">
        <v>85</v>
      </c>
      <c r="D74" s="36">
        <v>100</v>
      </c>
      <c r="E74" s="17">
        <v>8.57</v>
      </c>
      <c r="F74" s="17">
        <f>D74*E74</f>
        <v>857</v>
      </c>
      <c r="G74" s="17">
        <v>0.23</v>
      </c>
      <c r="H74" s="17">
        <v>0.04</v>
      </c>
      <c r="I74" s="17"/>
      <c r="J74" s="17">
        <v>8.99</v>
      </c>
      <c r="K74" s="17">
        <f>SUM(F74:J74)</f>
        <v>866.26</v>
      </c>
      <c r="L74" s="17"/>
      <c r="M74" s="17"/>
      <c r="N74" s="17"/>
      <c r="O74" s="17"/>
      <c r="P74" s="17"/>
      <c r="Q74" s="17">
        <f t="shared" ref="Q74" si="34">Q73+B74-K74-L74-M74+N74+O74+P74</f>
        <v>756.76000000000499</v>
      </c>
      <c r="R74" s="2"/>
    </row>
    <row r="75" spans="1:20" x14ac:dyDescent="0.25">
      <c r="A75" s="26">
        <v>42613</v>
      </c>
      <c r="B75" s="17"/>
      <c r="C75" s="7" t="s">
        <v>5</v>
      </c>
      <c r="D75" s="36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>
        <v>11.87</v>
      </c>
      <c r="Q75" s="17">
        <f t="shared" ref="Q75:Q76" si="35">Q74+B75-K75-L75-M75+N75+O75+P75</f>
        <v>768.630000000005</v>
      </c>
      <c r="R75" s="2"/>
    </row>
    <row r="76" spans="1:20" x14ac:dyDescent="0.25">
      <c r="A76" s="26">
        <v>42615</v>
      </c>
      <c r="B76" s="17">
        <v>2000</v>
      </c>
      <c r="D76" s="36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>
        <f t="shared" si="35"/>
        <v>2768.6300000000051</v>
      </c>
      <c r="R76" s="2"/>
    </row>
    <row r="77" spans="1:20" x14ac:dyDescent="0.25">
      <c r="A77" s="26">
        <v>42615</v>
      </c>
      <c r="B77" s="17"/>
      <c r="C77" s="7" t="s">
        <v>35</v>
      </c>
      <c r="D77" s="36">
        <v>800</v>
      </c>
      <c r="E77" s="17">
        <v>1.65</v>
      </c>
      <c r="F77" s="17">
        <f>D77*E77</f>
        <v>1320</v>
      </c>
      <c r="G77" s="17">
        <v>0</v>
      </c>
      <c r="H77" s="17">
        <v>0</v>
      </c>
      <c r="I77" s="17"/>
      <c r="J77" s="17">
        <v>8.99</v>
      </c>
      <c r="K77" s="17">
        <f>SUM(F77:J77)</f>
        <v>1328.99</v>
      </c>
      <c r="L77" s="17"/>
      <c r="M77" s="17"/>
      <c r="N77" s="17"/>
      <c r="O77" s="17"/>
      <c r="P77" s="17"/>
      <c r="Q77" s="17">
        <f t="shared" ref="Q77" si="36">Q76+B77-K77-L77-M77+N77+O77+P77</f>
        <v>1439.6400000000051</v>
      </c>
      <c r="R77" s="2"/>
    </row>
    <row r="78" spans="1:20" x14ac:dyDescent="0.25">
      <c r="A78" s="26">
        <v>42615</v>
      </c>
      <c r="B78" s="17"/>
      <c r="C78" s="7" t="s">
        <v>88</v>
      </c>
      <c r="D78" s="36">
        <v>500</v>
      </c>
      <c r="E78" s="17">
        <v>2.58</v>
      </c>
      <c r="F78" s="17">
        <f>D78*E78</f>
        <v>1290</v>
      </c>
      <c r="G78" s="17">
        <v>0</v>
      </c>
      <c r="H78" s="17">
        <v>0</v>
      </c>
      <c r="I78" s="17"/>
      <c r="J78" s="17">
        <v>8.99</v>
      </c>
      <c r="K78" s="17">
        <f>SUM(F78:J78)</f>
        <v>1298.99</v>
      </c>
      <c r="L78" s="17"/>
      <c r="M78" s="17"/>
      <c r="N78" s="17"/>
      <c r="O78" s="17"/>
      <c r="P78" s="17"/>
      <c r="Q78" s="17">
        <f t="shared" ref="Q78:Q79" si="37">Q77+B78-K78-L78-M78+N78+O78+P78</f>
        <v>140.65000000000509</v>
      </c>
      <c r="R78" s="2"/>
    </row>
    <row r="79" spans="1:20" x14ac:dyDescent="0.25">
      <c r="A79" s="26">
        <v>42621</v>
      </c>
      <c r="B79" s="17">
        <v>2000</v>
      </c>
      <c r="D79" s="36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>
        <f t="shared" si="37"/>
        <v>2140.6500000000051</v>
      </c>
      <c r="R79" s="2"/>
    </row>
    <row r="80" spans="1:20" x14ac:dyDescent="0.25">
      <c r="A80" s="26">
        <v>42615</v>
      </c>
      <c r="B80" s="17"/>
      <c r="C80" s="7" t="s">
        <v>85</v>
      </c>
      <c r="D80" s="36">
        <v>200</v>
      </c>
      <c r="E80" s="17">
        <v>8.41</v>
      </c>
      <c r="F80" s="17">
        <f>D80*E80</f>
        <v>1682</v>
      </c>
      <c r="G80" s="17">
        <v>0</v>
      </c>
      <c r="H80" s="17">
        <v>0</v>
      </c>
      <c r="I80" s="17"/>
      <c r="J80" s="17">
        <v>8.99</v>
      </c>
      <c r="K80" s="17">
        <f>SUM(F80:J80)</f>
        <v>1690.99</v>
      </c>
      <c r="L80" s="17"/>
      <c r="M80" s="17"/>
      <c r="N80" s="17"/>
      <c r="O80" s="17"/>
      <c r="P80" s="17"/>
      <c r="Q80" s="17">
        <f>Q79+B80-K80-L80-M80+N80+O80+P80</f>
        <v>449.66000000000508</v>
      </c>
      <c r="R80" s="2"/>
    </row>
    <row r="81" spans="1:21" x14ac:dyDescent="0.25">
      <c r="A81" s="26">
        <v>42633</v>
      </c>
      <c r="B81" s="17">
        <v>1000</v>
      </c>
      <c r="D81" s="36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>
        <f t="shared" ref="Q81" si="38">Q80+B81-K81-L81-M81+N81+O81+P81</f>
        <v>1449.6600000000051</v>
      </c>
      <c r="R81" s="2"/>
    </row>
    <row r="82" spans="1:21" x14ac:dyDescent="0.25">
      <c r="A82" s="26">
        <v>42633</v>
      </c>
      <c r="B82" s="17"/>
      <c r="C82" s="7" t="s">
        <v>17</v>
      </c>
      <c r="D82" s="36">
        <v>100</v>
      </c>
      <c r="E82" s="17">
        <v>8.6</v>
      </c>
      <c r="F82" s="17">
        <f>D82*E82</f>
        <v>860</v>
      </c>
      <c r="G82" s="17">
        <v>0.23</v>
      </c>
      <c r="H82" s="17">
        <v>0.04</v>
      </c>
      <c r="I82" s="17"/>
      <c r="J82" s="17">
        <v>8.99</v>
      </c>
      <c r="K82" s="17">
        <f>SUM(F82:J82)</f>
        <v>869.26</v>
      </c>
      <c r="L82" s="17"/>
      <c r="M82" s="17"/>
      <c r="N82" s="17"/>
      <c r="O82" s="17"/>
      <c r="P82" s="17"/>
      <c r="Q82" s="17">
        <f>Q81+B82-K82-L82-M82+N82+O82+P82</f>
        <v>580.40000000000509</v>
      </c>
      <c r="R82" s="2"/>
    </row>
    <row r="83" spans="1:21" x14ac:dyDescent="0.25">
      <c r="A83" s="26">
        <v>42639</v>
      </c>
      <c r="B83" s="17">
        <v>600</v>
      </c>
      <c r="D83" s="36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>
        <f t="shared" ref="Q83:Q84" si="39">Q82+B83-K83-L83-M83+N83+O83+P83</f>
        <v>1180.4000000000051</v>
      </c>
      <c r="R83" s="2"/>
    </row>
    <row r="84" spans="1:21" x14ac:dyDescent="0.25">
      <c r="A84" s="26">
        <v>42639</v>
      </c>
      <c r="B84" s="17"/>
      <c r="C84" s="7" t="s">
        <v>92</v>
      </c>
      <c r="D84" s="36"/>
      <c r="E84" s="17"/>
      <c r="F84" s="17"/>
      <c r="G84" s="17"/>
      <c r="H84" s="17"/>
      <c r="I84" s="17"/>
      <c r="J84" s="17"/>
      <c r="K84" s="17">
        <v>568.04999999999995</v>
      </c>
      <c r="L84" s="17"/>
      <c r="M84" s="17"/>
      <c r="N84" s="17"/>
      <c r="O84" s="17"/>
      <c r="P84" s="17"/>
      <c r="Q84" s="17">
        <f t="shared" si="39"/>
        <v>612.35000000000514</v>
      </c>
      <c r="R84" s="2"/>
      <c r="U84" s="20"/>
    </row>
    <row r="85" spans="1:21" x14ac:dyDescent="0.25">
      <c r="A85" s="26">
        <v>42639</v>
      </c>
      <c r="B85" s="17"/>
      <c r="C85" s="7" t="s">
        <v>92</v>
      </c>
      <c r="D85" s="36"/>
      <c r="E85" s="17"/>
      <c r="F85" s="17"/>
      <c r="G85" s="17"/>
      <c r="H85" s="17"/>
      <c r="I85" s="17"/>
      <c r="J85" s="17"/>
      <c r="K85" s="17">
        <v>538.15</v>
      </c>
      <c r="L85" s="17"/>
      <c r="M85" s="17"/>
      <c r="N85" s="17"/>
      <c r="O85" s="17"/>
      <c r="P85" s="17"/>
      <c r="Q85" s="17">
        <f t="shared" ref="Q85:Q86" si="40">Q84+B85-K85-L85-M85+N85+O85+P85</f>
        <v>74.200000000005161</v>
      </c>
      <c r="R85" s="2"/>
    </row>
    <row r="86" spans="1:21" x14ac:dyDescent="0.25">
      <c r="A86" s="26">
        <v>42643</v>
      </c>
      <c r="B86" s="17"/>
      <c r="C86" s="7" t="s">
        <v>5</v>
      </c>
      <c r="D86" s="36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>
        <v>10.77</v>
      </c>
      <c r="Q86" s="17">
        <f t="shared" si="40"/>
        <v>84.970000000005157</v>
      </c>
      <c r="R86" s="2"/>
    </row>
    <row r="87" spans="1:21" x14ac:dyDescent="0.25">
      <c r="A87" s="26">
        <v>42646</v>
      </c>
      <c r="B87" s="17">
        <v>2500</v>
      </c>
      <c r="D87" s="36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>
        <f>Q86+B87-K87-L87-M87+N87+O87+P87</f>
        <v>2584.9700000000053</v>
      </c>
      <c r="R87" s="2"/>
    </row>
    <row r="88" spans="1:21" x14ac:dyDescent="0.25">
      <c r="A88" s="26">
        <v>42646</v>
      </c>
      <c r="B88" s="17"/>
      <c r="C88" s="7" t="s">
        <v>170</v>
      </c>
      <c r="D88" s="36">
        <v>100</v>
      </c>
      <c r="E88" s="17">
        <v>20.81</v>
      </c>
      <c r="F88" s="17">
        <f>D88*E88</f>
        <v>2081</v>
      </c>
      <c r="G88" s="17">
        <v>0.64</v>
      </c>
      <c r="H88" s="17">
        <v>0.11</v>
      </c>
      <c r="I88" s="17"/>
      <c r="J88" s="17">
        <v>8.99</v>
      </c>
      <c r="K88" s="17">
        <f>SUM(F88:J88)</f>
        <v>2090.7399999999998</v>
      </c>
      <c r="L88" s="17"/>
      <c r="M88" s="17"/>
      <c r="N88" s="17"/>
      <c r="O88" s="17"/>
      <c r="P88" s="17"/>
      <c r="Q88" s="17">
        <f t="shared" ref="Q88:Q89" si="41">Q87+B88-K88-L88-M88+N88+O88+P88</f>
        <v>494.23000000000548</v>
      </c>
      <c r="R88" s="2"/>
    </row>
    <row r="89" spans="1:21" x14ac:dyDescent="0.25">
      <c r="A89" s="26">
        <v>42646</v>
      </c>
      <c r="B89" s="17"/>
      <c r="C89" s="7" t="s">
        <v>85</v>
      </c>
      <c r="D89" s="36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>
        <v>6</v>
      </c>
      <c r="P89" s="17"/>
      <c r="Q89" s="17">
        <f t="shared" si="41"/>
        <v>500.23000000000548</v>
      </c>
      <c r="R89" s="2"/>
    </row>
    <row r="90" spans="1:21" x14ac:dyDescent="0.25">
      <c r="A90" s="26">
        <v>42649</v>
      </c>
      <c r="B90" s="17">
        <v>1000</v>
      </c>
      <c r="D90" s="36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>
        <f t="shared" ref="Q90:Q96" si="42">Q89+B90-K90-L90-M90+N90+O90+P90</f>
        <v>1500.2300000000055</v>
      </c>
      <c r="R90" s="2"/>
    </row>
    <row r="91" spans="1:21" x14ac:dyDescent="0.25">
      <c r="A91" s="26">
        <v>42653</v>
      </c>
      <c r="B91" s="17">
        <v>1000</v>
      </c>
      <c r="D91" s="36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>
        <f t="shared" si="42"/>
        <v>2500.2300000000055</v>
      </c>
      <c r="R91" s="2"/>
    </row>
    <row r="92" spans="1:21" x14ac:dyDescent="0.25">
      <c r="A92" s="26">
        <v>42653</v>
      </c>
      <c r="B92" s="17"/>
      <c r="C92" s="7" t="s">
        <v>85</v>
      </c>
      <c r="D92" s="36">
        <v>200</v>
      </c>
      <c r="E92" s="17">
        <v>8.81</v>
      </c>
      <c r="F92" s="17">
        <f>D92*E92</f>
        <v>1762</v>
      </c>
      <c r="G92" s="17">
        <v>0</v>
      </c>
      <c r="H92" s="17">
        <v>0</v>
      </c>
      <c r="I92" s="17"/>
      <c r="J92" s="17">
        <v>8.99</v>
      </c>
      <c r="K92" s="17">
        <f>SUM(F92:J92)</f>
        <v>1770.99</v>
      </c>
      <c r="L92" s="17"/>
      <c r="M92" s="17"/>
      <c r="N92" s="17"/>
      <c r="O92" s="17"/>
      <c r="P92" s="17"/>
      <c r="Q92" s="17">
        <f t="shared" si="42"/>
        <v>729.24000000000547</v>
      </c>
      <c r="R92" s="2"/>
    </row>
    <row r="93" spans="1:21" x14ac:dyDescent="0.25">
      <c r="A93" s="26">
        <v>42654</v>
      </c>
      <c r="B93" s="17"/>
      <c r="C93" s="7" t="s">
        <v>92</v>
      </c>
      <c r="D93" s="36"/>
      <c r="E93" s="17"/>
      <c r="F93" s="17"/>
      <c r="G93" s="17"/>
      <c r="H93" s="17"/>
      <c r="I93" s="17"/>
      <c r="J93" s="17"/>
      <c r="K93" s="17">
        <v>603.85</v>
      </c>
      <c r="L93" s="17"/>
      <c r="M93" s="17"/>
      <c r="N93" s="17"/>
      <c r="O93" s="17"/>
      <c r="P93" s="17"/>
      <c r="Q93" s="17">
        <f t="shared" si="42"/>
        <v>125.39000000000544</v>
      </c>
      <c r="R93" s="2"/>
    </row>
    <row r="94" spans="1:21" x14ac:dyDescent="0.25">
      <c r="A94" s="26">
        <v>42660</v>
      </c>
      <c r="B94" s="17">
        <v>1000</v>
      </c>
      <c r="D94" s="36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>
        <f t="shared" si="42"/>
        <v>1125.3900000000053</v>
      </c>
      <c r="R94" s="2"/>
    </row>
    <row r="95" spans="1:21" x14ac:dyDescent="0.25">
      <c r="A95" s="26">
        <v>42663</v>
      </c>
      <c r="B95" s="17">
        <v>1000</v>
      </c>
      <c r="D95" s="36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>
        <f t="shared" si="42"/>
        <v>2125.3900000000053</v>
      </c>
      <c r="R95" s="2"/>
    </row>
    <row r="96" spans="1:21" x14ac:dyDescent="0.25">
      <c r="A96" s="26">
        <v>42663</v>
      </c>
      <c r="B96" s="17"/>
      <c r="C96" s="7" t="s">
        <v>17</v>
      </c>
      <c r="D96" s="36">
        <v>200</v>
      </c>
      <c r="E96" s="17">
        <v>8.85</v>
      </c>
      <c r="F96" s="17">
        <f>D96*E96</f>
        <v>1770</v>
      </c>
      <c r="G96" s="17">
        <v>0.23</v>
      </c>
      <c r="H96" s="17">
        <v>0.04</v>
      </c>
      <c r="I96" s="17"/>
      <c r="J96" s="17">
        <v>8.99</v>
      </c>
      <c r="K96" s="17">
        <f>SUM(F96:J96)</f>
        <v>1779.26</v>
      </c>
      <c r="L96" s="17"/>
      <c r="M96" s="17"/>
      <c r="N96" s="17"/>
      <c r="O96" s="17"/>
      <c r="P96" s="17"/>
      <c r="Q96" s="17">
        <f t="shared" si="42"/>
        <v>346.13000000000534</v>
      </c>
      <c r="R96" s="2"/>
    </row>
    <row r="97" spans="1:18" x14ac:dyDescent="0.25">
      <c r="A97" s="26">
        <v>42668</v>
      </c>
      <c r="B97" s="17">
        <v>2000</v>
      </c>
      <c r="D97" s="36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>
        <f t="shared" ref="Q97:Q98" si="43">Q96+B97-K97-L97-M97+N97+O97+P97</f>
        <v>2346.1300000000056</v>
      </c>
      <c r="R97" s="2"/>
    </row>
    <row r="98" spans="1:18" x14ac:dyDescent="0.25">
      <c r="A98" s="26">
        <v>42668</v>
      </c>
      <c r="B98" s="17"/>
      <c r="C98" s="7" t="s">
        <v>85</v>
      </c>
      <c r="D98" s="36">
        <v>200</v>
      </c>
      <c r="E98" s="17">
        <v>8.81</v>
      </c>
      <c r="F98" s="17">
        <f>D98*E98</f>
        <v>1762</v>
      </c>
      <c r="G98" s="17">
        <v>0</v>
      </c>
      <c r="H98" s="17">
        <v>0</v>
      </c>
      <c r="I98" s="17"/>
      <c r="J98" s="17">
        <v>8.99</v>
      </c>
      <c r="K98" s="17">
        <f>SUM(F98:J98)</f>
        <v>1770.99</v>
      </c>
      <c r="L98" s="17"/>
      <c r="M98" s="17"/>
      <c r="N98" s="17"/>
      <c r="O98" s="17"/>
      <c r="P98" s="17"/>
      <c r="Q98" s="17">
        <f t="shared" si="43"/>
        <v>575.14000000000556</v>
      </c>
      <c r="R98" s="2"/>
    </row>
    <row r="99" spans="1:18" x14ac:dyDescent="0.25">
      <c r="A99" s="26">
        <v>42674</v>
      </c>
      <c r="B99" s="17">
        <v>1500</v>
      </c>
      <c r="D99" s="36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>
        <f t="shared" ref="Q99:Q100" si="44">Q98+B99-K99-L99-M99+N99+O99+P99</f>
        <v>2075.1400000000058</v>
      </c>
      <c r="R99" s="2"/>
    </row>
    <row r="100" spans="1:18" x14ac:dyDescent="0.25">
      <c r="A100" s="26">
        <v>42675</v>
      </c>
      <c r="B100" s="17"/>
      <c r="C100" s="7" t="s">
        <v>170</v>
      </c>
      <c r="D100" s="36">
        <v>76</v>
      </c>
      <c r="E100" s="17">
        <v>20.46</v>
      </c>
      <c r="F100" s="17">
        <f>D100*E100</f>
        <v>1554.96</v>
      </c>
      <c r="G100" s="17">
        <v>0</v>
      </c>
      <c r="H100" s="17">
        <v>0</v>
      </c>
      <c r="I100" s="17"/>
      <c r="J100" s="17">
        <v>8.99</v>
      </c>
      <c r="K100" s="17">
        <f>SUM(F100:J100)</f>
        <v>1563.95</v>
      </c>
      <c r="L100" s="17"/>
      <c r="M100" s="17"/>
      <c r="N100" s="17"/>
      <c r="O100" s="17"/>
      <c r="P100" s="17"/>
      <c r="Q100" s="17">
        <f t="shared" si="44"/>
        <v>511.19000000000574</v>
      </c>
      <c r="R100" s="2"/>
    </row>
    <row r="101" spans="1:18" x14ac:dyDescent="0.25">
      <c r="A101" s="26">
        <v>42683</v>
      </c>
      <c r="B101" s="17">
        <v>1000</v>
      </c>
      <c r="D101" s="36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>
        <f t="shared" ref="Q101:Q103" si="45">Q100+B101-K101-L101-M101+N101+O101+P101</f>
        <v>1511.1900000000057</v>
      </c>
      <c r="R101" s="2"/>
    </row>
    <row r="102" spans="1:18" x14ac:dyDescent="0.25">
      <c r="A102" s="26">
        <v>42683</v>
      </c>
      <c r="B102" s="17"/>
      <c r="C102" s="7" t="s">
        <v>92</v>
      </c>
      <c r="D102" s="36"/>
      <c r="E102" s="17"/>
      <c r="F102" s="17"/>
      <c r="G102" s="17"/>
      <c r="H102" s="17"/>
      <c r="I102" s="17"/>
      <c r="J102" s="17"/>
      <c r="K102" s="17">
        <v>450.17</v>
      </c>
      <c r="L102" s="17"/>
      <c r="M102" s="17"/>
      <c r="N102" s="17"/>
      <c r="O102" s="17"/>
      <c r="P102" s="17"/>
      <c r="Q102" s="17">
        <f t="shared" si="45"/>
        <v>1061.0200000000057</v>
      </c>
      <c r="R102" s="2"/>
    </row>
    <row r="103" spans="1:18" x14ac:dyDescent="0.25">
      <c r="A103" s="26">
        <v>42688</v>
      </c>
      <c r="B103" s="17"/>
      <c r="C103" s="7" t="s">
        <v>17</v>
      </c>
      <c r="D103" s="36">
        <v>100</v>
      </c>
      <c r="E103" s="17">
        <v>8.94</v>
      </c>
      <c r="F103" s="17">
        <f>D103*E103</f>
        <v>894</v>
      </c>
      <c r="G103" s="17">
        <v>0.23</v>
      </c>
      <c r="H103" s="17">
        <v>0.04</v>
      </c>
      <c r="I103" s="17"/>
      <c r="J103" s="17">
        <v>8.99</v>
      </c>
      <c r="K103" s="17">
        <f>SUM(F103:J103)</f>
        <v>903.26</v>
      </c>
      <c r="L103" s="17"/>
      <c r="M103" s="17"/>
      <c r="N103" s="17"/>
      <c r="O103" s="17"/>
      <c r="P103" s="17"/>
      <c r="Q103" s="17">
        <f t="shared" si="45"/>
        <v>157.76000000000568</v>
      </c>
      <c r="R103" s="2"/>
    </row>
    <row r="104" spans="1:18" x14ac:dyDescent="0.25">
      <c r="A104" s="26">
        <v>42688</v>
      </c>
      <c r="B104" s="17"/>
      <c r="C104" s="7" t="s">
        <v>88</v>
      </c>
      <c r="D104" s="36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>
        <v>25.55</v>
      </c>
      <c r="P104" s="17"/>
      <c r="Q104" s="17">
        <f t="shared" ref="Q104:Q106" si="46">Q103+B104-K104-L104-M104+N104+O104+P104</f>
        <v>183.31000000000569</v>
      </c>
      <c r="R104" s="2"/>
    </row>
    <row r="105" spans="1:18" x14ac:dyDescent="0.25">
      <c r="A105" s="26">
        <v>42690</v>
      </c>
      <c r="B105" s="17">
        <v>1000</v>
      </c>
      <c r="D105" s="36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>
        <f t="shared" si="46"/>
        <v>1183.3100000000056</v>
      </c>
      <c r="R105" s="2"/>
    </row>
    <row r="106" spans="1:18" x14ac:dyDescent="0.25">
      <c r="A106" s="26">
        <v>42690</v>
      </c>
      <c r="B106" s="17"/>
      <c r="C106" s="7" t="s">
        <v>170</v>
      </c>
      <c r="D106" s="36">
        <v>60</v>
      </c>
      <c r="E106" s="17">
        <v>18.579999999999998</v>
      </c>
      <c r="F106" s="17">
        <f>D106*E106</f>
        <v>1114.8</v>
      </c>
      <c r="G106" s="17">
        <v>0</v>
      </c>
      <c r="H106" s="17">
        <v>0</v>
      </c>
      <c r="I106" s="17"/>
      <c r="J106" s="17">
        <v>8.99</v>
      </c>
      <c r="K106" s="17">
        <f>SUM(F106:J106)</f>
        <v>1123.79</v>
      </c>
      <c r="L106" s="17"/>
      <c r="M106" s="17"/>
      <c r="N106" s="17"/>
      <c r="O106" s="17"/>
      <c r="P106" s="17"/>
      <c r="Q106" s="17">
        <f t="shared" si="46"/>
        <v>59.520000000005666</v>
      </c>
      <c r="R106" s="2"/>
    </row>
    <row r="107" spans="1:18" x14ac:dyDescent="0.25">
      <c r="A107" s="26">
        <v>42692</v>
      </c>
      <c r="B107" s="17">
        <v>2000</v>
      </c>
      <c r="D107" s="36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>
        <f t="shared" ref="Q107:Q108" si="47">Q106+B107-K107-L107-M107+N107+O107+P107</f>
        <v>2059.5200000000059</v>
      </c>
      <c r="R107" s="2"/>
    </row>
    <row r="108" spans="1:18" x14ac:dyDescent="0.25">
      <c r="A108" s="26">
        <v>42692</v>
      </c>
      <c r="B108" s="17"/>
      <c r="C108" s="7" t="s">
        <v>170</v>
      </c>
      <c r="D108" s="36">
        <v>64</v>
      </c>
      <c r="E108" s="17">
        <v>18.829999999999998</v>
      </c>
      <c r="F108" s="17">
        <f>D108*E108</f>
        <v>1205.1199999999999</v>
      </c>
      <c r="G108" s="17">
        <v>0</v>
      </c>
      <c r="H108" s="17">
        <v>0</v>
      </c>
      <c r="I108" s="17"/>
      <c r="J108" s="17">
        <v>8.99</v>
      </c>
      <c r="K108" s="17">
        <f>SUM(F108:J108)</f>
        <v>1214.1099999999999</v>
      </c>
      <c r="L108" s="17"/>
      <c r="M108" s="17"/>
      <c r="N108" s="17"/>
      <c r="O108" s="17"/>
      <c r="P108" s="17"/>
      <c r="Q108" s="17">
        <f t="shared" si="47"/>
        <v>845.41000000000599</v>
      </c>
      <c r="R108" s="2"/>
    </row>
    <row r="109" spans="1:18" x14ac:dyDescent="0.25">
      <c r="A109" s="26">
        <v>42692</v>
      </c>
      <c r="B109" s="17"/>
      <c r="C109" s="7" t="s">
        <v>92</v>
      </c>
      <c r="D109" s="36"/>
      <c r="E109" s="17"/>
      <c r="F109" s="17"/>
      <c r="G109" s="17"/>
      <c r="H109" s="17"/>
      <c r="I109" s="17"/>
      <c r="J109" s="17"/>
      <c r="K109" s="17">
        <v>585</v>
      </c>
      <c r="L109" s="17"/>
      <c r="M109" s="17"/>
      <c r="N109" s="17"/>
      <c r="O109" s="17"/>
      <c r="P109" s="17"/>
      <c r="Q109" s="17">
        <f t="shared" ref="Q109:Q113" si="48">Q108+B109-K109-L109-M109+N109+O109+P109</f>
        <v>260.41000000000599</v>
      </c>
      <c r="R109" s="2"/>
    </row>
    <row r="110" spans="1:18" x14ac:dyDescent="0.25">
      <c r="A110" s="26">
        <v>42696</v>
      </c>
      <c r="B110" s="17">
        <v>1500</v>
      </c>
      <c r="D110" s="36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>
        <f t="shared" si="48"/>
        <v>1760.410000000006</v>
      </c>
      <c r="R110" s="2"/>
    </row>
    <row r="111" spans="1:18" x14ac:dyDescent="0.25">
      <c r="A111" s="26">
        <v>42697</v>
      </c>
      <c r="B111" s="17"/>
      <c r="C111" s="7" t="s">
        <v>85</v>
      </c>
      <c r="D111" s="36">
        <v>100</v>
      </c>
      <c r="E111" s="17">
        <v>8.74</v>
      </c>
      <c r="F111" s="17">
        <f>D111*E111</f>
        <v>874</v>
      </c>
      <c r="G111" s="17">
        <v>0</v>
      </c>
      <c r="H111" s="17">
        <v>0</v>
      </c>
      <c r="I111" s="17"/>
      <c r="J111" s="17">
        <v>8.99</v>
      </c>
      <c r="K111" s="17">
        <f>SUM(F111:J111)</f>
        <v>882.99</v>
      </c>
      <c r="L111" s="17"/>
      <c r="M111" s="17"/>
      <c r="N111" s="17"/>
      <c r="O111" s="17"/>
      <c r="P111" s="17"/>
      <c r="Q111" s="17">
        <f t="shared" si="48"/>
        <v>877.42000000000598</v>
      </c>
      <c r="R111" s="2"/>
    </row>
    <row r="112" spans="1:18" x14ac:dyDescent="0.25">
      <c r="A112" s="26">
        <v>42703</v>
      </c>
      <c r="B112" s="17"/>
      <c r="C112" s="7" t="s">
        <v>5</v>
      </c>
      <c r="D112" s="36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>
        <v>9.34</v>
      </c>
      <c r="Q112" s="17">
        <f t="shared" si="48"/>
        <v>886.76000000000602</v>
      </c>
      <c r="R112" s="2"/>
    </row>
    <row r="113" spans="1:21" x14ac:dyDescent="0.25">
      <c r="A113" s="26">
        <v>42705</v>
      </c>
      <c r="B113" s="17">
        <v>1000</v>
      </c>
      <c r="D113" s="36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>
        <f t="shared" si="48"/>
        <v>1886.7600000000061</v>
      </c>
      <c r="R113" s="2"/>
    </row>
    <row r="114" spans="1:21" x14ac:dyDescent="0.25">
      <c r="A114" s="26">
        <v>42705</v>
      </c>
      <c r="B114" s="17"/>
      <c r="C114" s="7" t="s">
        <v>17</v>
      </c>
      <c r="D114" s="36">
        <v>200</v>
      </c>
      <c r="E114" s="17">
        <v>7.75</v>
      </c>
      <c r="F114" s="17">
        <f>D114*E114</f>
        <v>1550</v>
      </c>
      <c r="G114" s="17">
        <v>0</v>
      </c>
      <c r="H114" s="17">
        <v>0</v>
      </c>
      <c r="I114" s="17"/>
      <c r="J114" s="17">
        <v>8.99</v>
      </c>
      <c r="K114" s="17">
        <f>SUM(F114:J114)</f>
        <v>1558.99</v>
      </c>
      <c r="L114" s="17"/>
      <c r="M114" s="17"/>
      <c r="N114" s="17"/>
      <c r="O114" s="17"/>
      <c r="P114" s="17"/>
      <c r="Q114" s="17">
        <f t="shared" ref="Q114" si="49">Q113+B114-K114-L114-M114+N114+O114+P114</f>
        <v>327.77000000000612</v>
      </c>
      <c r="R114" s="2"/>
    </row>
    <row r="115" spans="1:21" x14ac:dyDescent="0.25">
      <c r="A115" s="26">
        <v>42706</v>
      </c>
      <c r="B115" s="17"/>
      <c r="C115" s="7" t="s">
        <v>92</v>
      </c>
      <c r="D115" s="36"/>
      <c r="E115" s="17"/>
      <c r="F115" s="17"/>
      <c r="G115" s="17"/>
      <c r="H115" s="17"/>
      <c r="I115" s="17"/>
      <c r="J115" s="17"/>
      <c r="K115" s="17">
        <v>295.94</v>
      </c>
      <c r="L115" s="17"/>
      <c r="M115" s="17"/>
      <c r="N115" s="17"/>
      <c r="O115" s="17"/>
      <c r="P115" s="17"/>
      <c r="Q115" s="17">
        <f t="shared" ref="Q115" si="50">Q114+B115-K115-L115-M115+N115+O115+P115</f>
        <v>31.830000000006123</v>
      </c>
      <c r="R115" s="2"/>
    </row>
    <row r="116" spans="1:21" x14ac:dyDescent="0.25">
      <c r="A116" s="26">
        <v>42709</v>
      </c>
      <c r="B116" s="17"/>
      <c r="C116" s="7" t="s">
        <v>170</v>
      </c>
      <c r="D116" s="36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>
        <v>48.46</v>
      </c>
      <c r="P116" s="17">
        <v>145.13</v>
      </c>
      <c r="Q116" s="17">
        <f t="shared" ref="Q116:Q118" si="51">Q115+B116-K116-L116-M116+N116+O116+P116</f>
        <v>225.42000000000613</v>
      </c>
      <c r="R116" s="2"/>
    </row>
    <row r="117" spans="1:21" x14ac:dyDescent="0.25">
      <c r="A117" s="26">
        <v>42711</v>
      </c>
      <c r="B117" s="17">
        <v>1000</v>
      </c>
      <c r="D117" s="36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>
        <f t="shared" si="51"/>
        <v>1225.4200000000062</v>
      </c>
      <c r="R117" s="2"/>
    </row>
    <row r="118" spans="1:21" x14ac:dyDescent="0.25">
      <c r="A118" s="26">
        <v>42713</v>
      </c>
      <c r="B118" s="17"/>
      <c r="C118" s="7" t="s">
        <v>85</v>
      </c>
      <c r="D118" s="36">
        <v>100</v>
      </c>
      <c r="E118" s="17">
        <v>8.19</v>
      </c>
      <c r="F118" s="17">
        <f>D118*E118</f>
        <v>819</v>
      </c>
      <c r="G118" s="17">
        <v>0</v>
      </c>
      <c r="H118" s="17">
        <v>0</v>
      </c>
      <c r="I118" s="17"/>
      <c r="J118" s="17">
        <v>8.99</v>
      </c>
      <c r="K118" s="17">
        <f>SUM(F118:J118)</f>
        <v>827.99</v>
      </c>
      <c r="L118" s="17"/>
      <c r="M118" s="17"/>
      <c r="N118" s="17"/>
      <c r="O118" s="17"/>
      <c r="P118" s="17"/>
      <c r="Q118" s="17">
        <f t="shared" si="51"/>
        <v>397.4300000000062</v>
      </c>
      <c r="R118" s="2"/>
    </row>
    <row r="119" spans="1:21" x14ac:dyDescent="0.25">
      <c r="A119" s="26">
        <v>42716</v>
      </c>
      <c r="B119" s="17"/>
      <c r="C119" s="7" t="s">
        <v>92</v>
      </c>
      <c r="D119" s="36"/>
      <c r="E119" s="17"/>
      <c r="F119" s="17"/>
      <c r="G119" s="17"/>
      <c r="H119" s="17"/>
      <c r="I119" s="17"/>
      <c r="J119" s="17"/>
      <c r="K119" s="17">
        <v>360.29</v>
      </c>
      <c r="L119" s="17"/>
      <c r="M119" s="17"/>
      <c r="N119" s="17"/>
      <c r="O119" s="17"/>
      <c r="P119" s="17"/>
      <c r="Q119" s="17">
        <f t="shared" ref="Q119:Q120" si="52">Q118+B119-K119-L119-M119+N119+O119+P119</f>
        <v>37.140000000006182</v>
      </c>
      <c r="R119" s="2"/>
    </row>
    <row r="120" spans="1:21" x14ac:dyDescent="0.25">
      <c r="A120" s="26">
        <v>42723</v>
      </c>
      <c r="B120" s="17">
        <v>1000</v>
      </c>
      <c r="D120" s="36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>
        <f t="shared" si="52"/>
        <v>1037.1400000000062</v>
      </c>
      <c r="R120" s="2"/>
      <c r="T120" s="20"/>
    </row>
    <row r="121" spans="1:21" x14ac:dyDescent="0.25">
      <c r="A121" s="26">
        <v>42724</v>
      </c>
      <c r="B121" s="17">
        <v>800</v>
      </c>
      <c r="D121" s="36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>
        <f t="shared" ref="Q121:Q128" si="53">Q120+B121-K121-L121-M121+N121+O121+P121</f>
        <v>1837.1400000000062</v>
      </c>
      <c r="R121" s="2"/>
    </row>
    <row r="122" spans="1:21" x14ac:dyDescent="0.25">
      <c r="A122" s="26">
        <v>42724</v>
      </c>
      <c r="B122" s="17"/>
      <c r="C122" s="7" t="s">
        <v>92</v>
      </c>
      <c r="D122" s="36"/>
      <c r="E122" s="17"/>
      <c r="F122" s="17"/>
      <c r="G122" s="17"/>
      <c r="H122" s="17"/>
      <c r="I122" s="17"/>
      <c r="J122" s="17"/>
      <c r="K122" s="17">
        <v>602.96</v>
      </c>
      <c r="L122" s="17"/>
      <c r="M122" s="17"/>
      <c r="N122" s="17"/>
      <c r="O122" s="17"/>
      <c r="P122" s="17"/>
      <c r="Q122" s="17">
        <f t="shared" si="53"/>
        <v>1234.1800000000062</v>
      </c>
      <c r="R122" s="2"/>
    </row>
    <row r="123" spans="1:21" x14ac:dyDescent="0.25">
      <c r="A123" s="26">
        <v>42724</v>
      </c>
      <c r="B123" s="17"/>
      <c r="C123" s="7" t="s">
        <v>85</v>
      </c>
      <c r="D123" s="36">
        <v>100</v>
      </c>
      <c r="E123" s="17">
        <v>7.93</v>
      </c>
      <c r="F123" s="17">
        <f>D123*E123</f>
        <v>793</v>
      </c>
      <c r="G123" s="17">
        <v>0</v>
      </c>
      <c r="H123" s="17">
        <v>0</v>
      </c>
      <c r="I123" s="17"/>
      <c r="J123" s="17">
        <v>8.99</v>
      </c>
      <c r="K123" s="17">
        <f>SUM(F123:J123)</f>
        <v>801.99</v>
      </c>
      <c r="L123" s="17"/>
      <c r="M123" s="17"/>
      <c r="N123" s="17"/>
      <c r="O123" s="17"/>
      <c r="P123" s="17"/>
      <c r="Q123" s="17">
        <f t="shared" si="53"/>
        <v>432.19000000000619</v>
      </c>
      <c r="R123" s="2"/>
    </row>
    <row r="124" spans="1:21" x14ac:dyDescent="0.25">
      <c r="A124" s="26">
        <v>42733</v>
      </c>
      <c r="B124" s="17"/>
      <c r="C124" s="7" t="s">
        <v>5</v>
      </c>
      <c r="D124" s="36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>
        <v>6.54</v>
      </c>
      <c r="Q124" s="17">
        <f t="shared" si="53"/>
        <v>438.73000000000621</v>
      </c>
      <c r="R124" s="2"/>
    </row>
    <row r="125" spans="1:21" x14ac:dyDescent="0.25">
      <c r="A125" s="26">
        <v>42733</v>
      </c>
      <c r="B125" s="17"/>
      <c r="C125" s="7" t="s">
        <v>17</v>
      </c>
      <c r="D125" s="36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>
        <v>206.93</v>
      </c>
      <c r="P125" s="17"/>
      <c r="Q125" s="17">
        <f t="shared" si="53"/>
        <v>645.66000000000622</v>
      </c>
      <c r="R125" s="2"/>
    </row>
    <row r="126" spans="1:21" x14ac:dyDescent="0.25">
      <c r="A126" s="26">
        <v>42737</v>
      </c>
      <c r="B126" s="17"/>
      <c r="C126" s="7" t="s">
        <v>85</v>
      </c>
      <c r="D126" s="36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>
        <v>16.5</v>
      </c>
      <c r="P126" s="17"/>
      <c r="Q126" s="17">
        <f t="shared" si="53"/>
        <v>662.16000000000622</v>
      </c>
      <c r="R126" s="2"/>
    </row>
    <row r="127" spans="1:21" x14ac:dyDescent="0.25">
      <c r="A127" s="26">
        <v>42737</v>
      </c>
      <c r="B127" s="17">
        <v>1000</v>
      </c>
      <c r="D127" s="36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>
        <f t="shared" si="53"/>
        <v>1662.1600000000062</v>
      </c>
      <c r="R127" s="2"/>
    </row>
    <row r="128" spans="1:21" x14ac:dyDescent="0.25">
      <c r="A128" s="26">
        <v>42737</v>
      </c>
      <c r="B128" s="17"/>
      <c r="C128" s="7" t="s">
        <v>35</v>
      </c>
      <c r="D128" s="36">
        <v>500</v>
      </c>
      <c r="E128" s="17">
        <v>1.42</v>
      </c>
      <c r="F128" s="17">
        <f>D128*E128</f>
        <v>710</v>
      </c>
      <c r="G128" s="17">
        <v>0</v>
      </c>
      <c r="H128" s="17">
        <v>0</v>
      </c>
      <c r="I128" s="17"/>
      <c r="J128" s="17">
        <v>8.99</v>
      </c>
      <c r="K128" s="17">
        <f>SUM(F128:J128)</f>
        <v>718.99</v>
      </c>
      <c r="L128" s="17"/>
      <c r="M128" s="17"/>
      <c r="N128" s="17"/>
      <c r="O128" s="17"/>
      <c r="P128" s="17"/>
      <c r="Q128" s="17">
        <f t="shared" si="53"/>
        <v>943.17000000000621</v>
      </c>
      <c r="R128" s="2"/>
      <c r="S128" s="7"/>
      <c r="T128" s="36"/>
      <c r="U128" s="17"/>
    </row>
    <row r="129" spans="1:26" x14ac:dyDescent="0.25">
      <c r="A129" s="26">
        <v>42739</v>
      </c>
      <c r="B129" s="17"/>
      <c r="C129" s="7" t="s">
        <v>88</v>
      </c>
      <c r="D129" s="36">
        <v>300</v>
      </c>
      <c r="E129" s="17">
        <v>2.81</v>
      </c>
      <c r="F129" s="17">
        <f>D129*E129</f>
        <v>843</v>
      </c>
      <c r="G129" s="17">
        <v>0</v>
      </c>
      <c r="H129" s="17">
        <v>0</v>
      </c>
      <c r="I129" s="17"/>
      <c r="J129" s="17">
        <v>8.99</v>
      </c>
      <c r="K129" s="17">
        <f>SUM(F129:J129)</f>
        <v>851.99</v>
      </c>
      <c r="L129" s="17"/>
      <c r="M129" s="17"/>
      <c r="N129" s="17"/>
      <c r="O129" s="17"/>
      <c r="P129" s="17"/>
      <c r="Q129" s="17">
        <f t="shared" ref="Q129:Q131" si="54">Q128+B129-K129-L129-M129+N129+O129+P129</f>
        <v>91.180000000006203</v>
      </c>
      <c r="R129" s="2"/>
      <c r="S129" s="7"/>
      <c r="T129" s="36"/>
      <c r="U129" s="17"/>
    </row>
    <row r="130" spans="1:26" x14ac:dyDescent="0.25">
      <c r="A130" s="26">
        <v>42746</v>
      </c>
      <c r="B130" s="17">
        <v>1000</v>
      </c>
      <c r="D130" s="36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>
        <f t="shared" si="54"/>
        <v>1091.1800000000062</v>
      </c>
      <c r="R130" s="2"/>
    </row>
    <row r="131" spans="1:26" x14ac:dyDescent="0.25">
      <c r="A131" s="26">
        <v>42751</v>
      </c>
      <c r="B131" s="17"/>
      <c r="C131" s="7" t="s">
        <v>85</v>
      </c>
      <c r="D131" s="36">
        <v>100</v>
      </c>
      <c r="E131" s="17">
        <v>8.6999999999999993</v>
      </c>
      <c r="F131" s="17">
        <f>D131*E131</f>
        <v>869.99999999999989</v>
      </c>
      <c r="G131" s="17">
        <v>0</v>
      </c>
      <c r="H131" s="17">
        <v>0</v>
      </c>
      <c r="I131" s="17"/>
      <c r="J131" s="17">
        <v>8.99</v>
      </c>
      <c r="K131" s="17">
        <f>SUM(F131:J131)</f>
        <v>878.9899999999999</v>
      </c>
      <c r="L131" s="17"/>
      <c r="M131" s="17"/>
      <c r="N131" s="17"/>
      <c r="O131" s="17"/>
      <c r="P131" s="17"/>
      <c r="Q131" s="17">
        <f t="shared" si="54"/>
        <v>212.19000000000631</v>
      </c>
      <c r="R131" s="2"/>
      <c r="U131" s="3"/>
      <c r="Z131" s="8"/>
    </row>
    <row r="132" spans="1:26" x14ac:dyDescent="0.25">
      <c r="A132" s="26">
        <v>42758</v>
      </c>
      <c r="B132" s="17">
        <v>2500</v>
      </c>
      <c r="D132" s="36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>
        <f t="shared" ref="Q132:Q133" si="55">Q131+B132-K132-L132-M132+N132+O132+P132</f>
        <v>2712.1900000000064</v>
      </c>
      <c r="R132" s="2"/>
    </row>
    <row r="133" spans="1:26" x14ac:dyDescent="0.25">
      <c r="A133" s="26">
        <v>42758</v>
      </c>
      <c r="B133" s="17"/>
      <c r="C133" s="7" t="s">
        <v>96</v>
      </c>
      <c r="D133" s="36">
        <v>100</v>
      </c>
      <c r="E133" s="17">
        <v>15.73</v>
      </c>
      <c r="F133" s="17">
        <f>D133*E133</f>
        <v>1573</v>
      </c>
      <c r="G133" s="17">
        <v>0</v>
      </c>
      <c r="H133" s="17">
        <v>0</v>
      </c>
      <c r="I133" s="17"/>
      <c r="J133" s="17">
        <v>8.99</v>
      </c>
      <c r="K133" s="17">
        <f>SUM(F133:J133)</f>
        <v>1581.99</v>
      </c>
      <c r="L133" s="17"/>
      <c r="M133" s="17"/>
      <c r="N133" s="17"/>
      <c r="O133" s="17"/>
      <c r="P133" s="17"/>
      <c r="Q133" s="17">
        <f t="shared" si="55"/>
        <v>1130.2000000000064</v>
      </c>
      <c r="R133" s="2"/>
      <c r="S133" s="2"/>
      <c r="T133" s="2"/>
    </row>
    <row r="134" spans="1:26" x14ac:dyDescent="0.25">
      <c r="A134" s="26">
        <v>42758</v>
      </c>
      <c r="B134" s="17"/>
      <c r="C134" s="7" t="s">
        <v>92</v>
      </c>
      <c r="D134" s="36"/>
      <c r="E134" s="17"/>
      <c r="F134" s="17"/>
      <c r="G134" s="17"/>
      <c r="H134" s="17"/>
      <c r="I134" s="17"/>
      <c r="J134" s="17"/>
      <c r="K134" s="17">
        <v>624.04</v>
      </c>
      <c r="L134" s="17"/>
      <c r="M134" s="17"/>
      <c r="N134" s="17"/>
      <c r="O134" s="17"/>
      <c r="P134" s="17"/>
      <c r="Q134" s="17">
        <f t="shared" ref="Q134:Q135" si="56">Q133+B134-K134-L134-M134+N134+O134+P134</f>
        <v>506.16000000000645</v>
      </c>
      <c r="R134" s="2"/>
      <c r="S134" s="7"/>
      <c r="T134" s="36"/>
      <c r="U134" s="17"/>
    </row>
    <row r="135" spans="1:26" x14ac:dyDescent="0.25">
      <c r="A135" s="26">
        <v>42765</v>
      </c>
      <c r="B135" s="17">
        <v>1000</v>
      </c>
      <c r="D135" s="36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>
        <f t="shared" si="56"/>
        <v>1506.1600000000064</v>
      </c>
      <c r="R135" s="2"/>
      <c r="S135" s="7"/>
      <c r="T135" s="36"/>
      <c r="U135" s="17"/>
    </row>
    <row r="136" spans="1:26" x14ac:dyDescent="0.25">
      <c r="A136" s="26">
        <v>42766</v>
      </c>
      <c r="B136" s="17">
        <v>1500</v>
      </c>
      <c r="D136" s="36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>
        <f t="shared" ref="Q136:Q138" si="57">Q135+B136-K136-L136-M136+N136+O136+P136</f>
        <v>3006.1600000000062</v>
      </c>
      <c r="R136" s="2"/>
      <c r="S136" s="7"/>
      <c r="T136" s="36"/>
      <c r="U136" s="17"/>
    </row>
    <row r="137" spans="1:26" x14ac:dyDescent="0.25">
      <c r="A137" s="26">
        <v>42767</v>
      </c>
      <c r="B137" s="17">
        <v>1000</v>
      </c>
      <c r="D137" s="36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>
        <f t="shared" si="57"/>
        <v>4006.1600000000062</v>
      </c>
      <c r="R137" s="2"/>
      <c r="T137" s="36"/>
      <c r="U137" s="8"/>
    </row>
    <row r="138" spans="1:26" x14ac:dyDescent="0.25">
      <c r="A138" s="26">
        <v>42767</v>
      </c>
      <c r="B138" s="17"/>
      <c r="C138" s="7" t="s">
        <v>96</v>
      </c>
      <c r="D138" s="36">
        <v>100</v>
      </c>
      <c r="E138" s="17">
        <v>15.54</v>
      </c>
      <c r="F138" s="17">
        <f>D138*E138</f>
        <v>1554</v>
      </c>
      <c r="G138" s="17">
        <v>0</v>
      </c>
      <c r="H138" s="17">
        <v>0</v>
      </c>
      <c r="I138" s="17"/>
      <c r="J138" s="17">
        <v>8.99</v>
      </c>
      <c r="K138" s="17">
        <f>SUM(F138:J138)</f>
        <v>1562.99</v>
      </c>
      <c r="L138" s="17"/>
      <c r="M138" s="17"/>
      <c r="N138" s="17"/>
      <c r="O138" s="17"/>
      <c r="P138" s="17"/>
      <c r="Q138" s="17">
        <f t="shared" si="57"/>
        <v>2443.1700000000064</v>
      </c>
      <c r="R138" s="2"/>
    </row>
    <row r="139" spans="1:26" x14ac:dyDescent="0.25">
      <c r="A139" s="26">
        <v>42767</v>
      </c>
      <c r="B139" s="17"/>
      <c r="C139" s="7" t="s">
        <v>88</v>
      </c>
      <c r="D139" s="36">
        <v>500</v>
      </c>
      <c r="E139" s="17">
        <v>2.79</v>
      </c>
      <c r="F139" s="17">
        <f>D139*E139</f>
        <v>1395</v>
      </c>
      <c r="G139" s="17">
        <v>0</v>
      </c>
      <c r="H139" s="17">
        <v>0</v>
      </c>
      <c r="I139" s="17"/>
      <c r="J139" s="17">
        <v>8.99</v>
      </c>
      <c r="K139" s="17">
        <f>SUM(F139:J139)</f>
        <v>1403.99</v>
      </c>
      <c r="L139" s="17"/>
      <c r="M139" s="17"/>
      <c r="N139" s="17"/>
      <c r="O139" s="17"/>
      <c r="P139" s="17"/>
      <c r="Q139" s="17">
        <f t="shared" ref="Q139:Q149" si="58">Q138+B139-K139-L139-M139+N139+O139+P139</f>
        <v>1039.1800000000064</v>
      </c>
      <c r="R139" s="2"/>
    </row>
    <row r="140" spans="1:26" x14ac:dyDescent="0.25">
      <c r="A140" s="26">
        <v>42772</v>
      </c>
      <c r="B140" s="17"/>
      <c r="C140" s="7" t="s">
        <v>92</v>
      </c>
      <c r="D140" s="36"/>
      <c r="E140" s="17"/>
      <c r="F140" s="17"/>
      <c r="G140" s="17"/>
      <c r="H140" s="17"/>
      <c r="I140" s="17"/>
      <c r="J140" s="17"/>
      <c r="K140" s="17">
        <v>626.97</v>
      </c>
      <c r="L140" s="17"/>
      <c r="M140" s="17"/>
      <c r="N140" s="17"/>
      <c r="O140" s="17"/>
      <c r="P140" s="17"/>
      <c r="Q140" s="17">
        <f t="shared" si="58"/>
        <v>412.2100000000064</v>
      </c>
      <c r="R140" s="2"/>
      <c r="S140" s="7"/>
      <c r="T140" s="36"/>
      <c r="U140" s="17"/>
    </row>
    <row r="141" spans="1:26" x14ac:dyDescent="0.25">
      <c r="A141" s="26">
        <v>42781</v>
      </c>
      <c r="B141" s="17"/>
      <c r="C141" s="7" t="s">
        <v>92</v>
      </c>
      <c r="D141" s="36"/>
      <c r="E141" s="17"/>
      <c r="F141" s="17"/>
      <c r="G141" s="17"/>
      <c r="H141" s="17"/>
      <c r="I141" s="17"/>
      <c r="J141" s="17"/>
      <c r="K141" s="17"/>
      <c r="L141" s="17"/>
      <c r="M141" s="17"/>
      <c r="N141" s="17">
        <v>161.59</v>
      </c>
      <c r="O141" s="17"/>
      <c r="P141" s="17"/>
      <c r="Q141" s="17">
        <f t="shared" si="58"/>
        <v>573.80000000000643</v>
      </c>
      <c r="R141" s="2"/>
      <c r="S141" s="7"/>
      <c r="T141" s="36"/>
      <c r="U141" s="17"/>
    </row>
    <row r="142" spans="1:26" x14ac:dyDescent="0.25">
      <c r="A142" s="26">
        <v>42781</v>
      </c>
      <c r="B142" s="17"/>
      <c r="C142" s="7" t="s">
        <v>92</v>
      </c>
      <c r="D142" s="36"/>
      <c r="E142" s="17"/>
      <c r="F142" s="17"/>
      <c r="G142" s="17"/>
      <c r="H142" s="17"/>
      <c r="I142" s="17"/>
      <c r="J142" s="17"/>
      <c r="K142" s="17">
        <v>530.62</v>
      </c>
      <c r="L142" s="17"/>
      <c r="M142" s="17"/>
      <c r="N142" s="17"/>
      <c r="O142" s="17"/>
      <c r="P142" s="17"/>
      <c r="Q142" s="17">
        <f t="shared" ref="Q142:Q143" si="59">Q141+B142-K142-L142-M142+N142+O142+P142</f>
        <v>43.18000000000643</v>
      </c>
      <c r="R142" s="2"/>
      <c r="S142" s="7"/>
      <c r="T142" s="36"/>
      <c r="U142" s="17"/>
    </row>
    <row r="143" spans="1:26" x14ac:dyDescent="0.25">
      <c r="A143" s="26">
        <v>42796</v>
      </c>
      <c r="B143" s="17">
        <v>2000</v>
      </c>
      <c r="D143" s="36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>
        <f t="shared" si="59"/>
        <v>2043.1800000000064</v>
      </c>
      <c r="R143" s="2"/>
      <c r="S143" s="7"/>
      <c r="T143" s="36"/>
      <c r="U143" s="17"/>
    </row>
    <row r="144" spans="1:26" x14ac:dyDescent="0.25">
      <c r="A144" s="26">
        <v>42797</v>
      </c>
      <c r="B144" s="17"/>
      <c r="C144" s="7" t="s">
        <v>85</v>
      </c>
      <c r="D144" s="36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>
        <v>363.29</v>
      </c>
      <c r="Q144" s="17">
        <f t="shared" ref="Q144:Q145" si="60">Q143+B144-K144-L144-M144+N144+O144+P144</f>
        <v>2406.4700000000066</v>
      </c>
      <c r="R144" s="2"/>
    </row>
    <row r="145" spans="1:21" x14ac:dyDescent="0.25">
      <c r="A145" s="26">
        <v>42800</v>
      </c>
      <c r="B145" s="17"/>
      <c r="C145" s="7" t="s">
        <v>85</v>
      </c>
      <c r="D145" s="36">
        <v>100</v>
      </c>
      <c r="E145" s="17">
        <v>10.01</v>
      </c>
      <c r="F145" s="17">
        <f>D145*E145</f>
        <v>1001</v>
      </c>
      <c r="G145" s="17">
        <v>0</v>
      </c>
      <c r="H145" s="17">
        <v>0</v>
      </c>
      <c r="I145" s="17"/>
      <c r="J145" s="17">
        <v>8.99</v>
      </c>
      <c r="K145" s="17">
        <f>SUM(F145:J145)</f>
        <v>1009.99</v>
      </c>
      <c r="L145" s="17"/>
      <c r="M145" s="17"/>
      <c r="N145" s="17"/>
      <c r="O145" s="17"/>
      <c r="P145" s="17"/>
      <c r="Q145" s="17">
        <f t="shared" si="60"/>
        <v>1396.4800000000066</v>
      </c>
      <c r="R145" s="2"/>
      <c r="T145" s="36"/>
      <c r="U145" s="8"/>
    </row>
    <row r="146" spans="1:21" x14ac:dyDescent="0.25">
      <c r="A146" s="26">
        <v>42804</v>
      </c>
      <c r="B146" s="17"/>
      <c r="C146" s="7" t="s">
        <v>5</v>
      </c>
      <c r="D146" s="36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>
        <v>2.2200000000000002</v>
      </c>
      <c r="Q146" s="17">
        <f t="shared" si="58"/>
        <v>1398.7000000000066</v>
      </c>
      <c r="R146" s="2"/>
    </row>
    <row r="147" spans="1:21" x14ac:dyDescent="0.25">
      <c r="A147" s="26">
        <v>42807</v>
      </c>
      <c r="B147" s="17">
        <v>1000</v>
      </c>
      <c r="D147" s="36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>
        <f t="shared" si="58"/>
        <v>2398.7000000000066</v>
      </c>
      <c r="R147" s="2"/>
    </row>
    <row r="148" spans="1:21" x14ac:dyDescent="0.25">
      <c r="A148" s="26">
        <v>42808</v>
      </c>
      <c r="B148" s="17"/>
      <c r="C148" s="7" t="s">
        <v>82</v>
      </c>
      <c r="D148" s="36">
        <v>100</v>
      </c>
      <c r="E148" s="17">
        <v>13.9</v>
      </c>
      <c r="F148" s="17">
        <f>D148*E148</f>
        <v>1390</v>
      </c>
      <c r="G148" s="17">
        <v>0</v>
      </c>
      <c r="H148" s="17">
        <v>0</v>
      </c>
      <c r="I148" s="17"/>
      <c r="J148" s="17">
        <v>8.99</v>
      </c>
      <c r="K148" s="17">
        <f>SUM(F148:J148)</f>
        <v>1398.99</v>
      </c>
      <c r="L148" s="17"/>
      <c r="M148" s="17"/>
      <c r="N148" s="17"/>
      <c r="O148" s="17"/>
      <c r="P148" s="17"/>
      <c r="Q148" s="17">
        <f t="shared" si="58"/>
        <v>999.71000000000663</v>
      </c>
      <c r="R148" s="2"/>
    </row>
    <row r="149" spans="1:21" x14ac:dyDescent="0.25">
      <c r="A149" s="26">
        <v>42808</v>
      </c>
      <c r="B149" s="17"/>
      <c r="C149" s="7" t="s">
        <v>92</v>
      </c>
      <c r="D149" s="36"/>
      <c r="E149" s="17"/>
      <c r="F149" s="17"/>
      <c r="G149" s="17"/>
      <c r="H149" s="17"/>
      <c r="I149" s="17"/>
      <c r="J149" s="17"/>
      <c r="K149" s="17">
        <v>754.9</v>
      </c>
      <c r="L149" s="17"/>
      <c r="M149" s="17"/>
      <c r="N149" s="17"/>
      <c r="O149" s="17"/>
      <c r="P149" s="17"/>
      <c r="Q149" s="17">
        <f t="shared" si="58"/>
        <v>244.81000000000665</v>
      </c>
      <c r="R149" s="2"/>
      <c r="S149" s="7"/>
      <c r="T149" s="36"/>
      <c r="U149" s="17"/>
    </row>
    <row r="150" spans="1:21" x14ac:dyDescent="0.25">
      <c r="A150" s="26">
        <v>42811</v>
      </c>
      <c r="B150" s="17">
        <v>2000</v>
      </c>
      <c r="D150" s="36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>
        <f t="shared" ref="Q150:Q151" si="61">Q149+B150-K150-L150-M150+N150+O150+P150</f>
        <v>2244.8100000000068</v>
      </c>
      <c r="R150" s="2"/>
      <c r="S150" s="7"/>
      <c r="T150" s="36"/>
      <c r="U150" s="17"/>
    </row>
    <row r="151" spans="1:21" x14ac:dyDescent="0.25">
      <c r="A151" s="26">
        <v>42822</v>
      </c>
      <c r="B151" s="17"/>
      <c r="C151" s="7" t="s">
        <v>92</v>
      </c>
      <c r="D151" s="36"/>
      <c r="E151" s="17"/>
      <c r="F151" s="17"/>
      <c r="G151" s="17"/>
      <c r="H151" s="17"/>
      <c r="I151" s="17"/>
      <c r="J151" s="17"/>
      <c r="K151" s="17">
        <v>792.7</v>
      </c>
      <c r="L151" s="17"/>
      <c r="M151" s="17"/>
      <c r="N151" s="17"/>
      <c r="O151" s="17"/>
      <c r="P151" s="17"/>
      <c r="Q151" s="17">
        <f t="shared" si="61"/>
        <v>1452.1100000000067</v>
      </c>
      <c r="R151" s="2"/>
      <c r="S151" s="7"/>
      <c r="T151" s="36"/>
      <c r="U151" s="17"/>
    </row>
    <row r="152" spans="1:21" x14ac:dyDescent="0.25">
      <c r="A152" s="26">
        <v>42822</v>
      </c>
      <c r="B152" s="17"/>
      <c r="C152" s="7" t="s">
        <v>85</v>
      </c>
      <c r="D152" s="36">
        <v>100</v>
      </c>
      <c r="E152" s="17">
        <v>9.68</v>
      </c>
      <c r="F152" s="17">
        <f>D152*E152</f>
        <v>968</v>
      </c>
      <c r="G152" s="17">
        <v>0</v>
      </c>
      <c r="H152" s="17">
        <v>0</v>
      </c>
      <c r="I152" s="17"/>
      <c r="J152" s="17">
        <v>8.99</v>
      </c>
      <c r="K152" s="17">
        <f>SUM(F152:J152)</f>
        <v>976.99</v>
      </c>
      <c r="L152" s="17"/>
      <c r="M152" s="17"/>
      <c r="N152" s="17"/>
      <c r="O152" s="17"/>
      <c r="P152" s="17"/>
      <c r="Q152" s="17">
        <f t="shared" ref="Q152:Q155" si="62">Q151+B152-K152-L152-M152+N152+O152+P152</f>
        <v>475.12000000000671</v>
      </c>
      <c r="R152" s="2"/>
      <c r="S152" s="7"/>
      <c r="T152" s="36"/>
      <c r="U152" s="17"/>
    </row>
    <row r="153" spans="1:21" x14ac:dyDescent="0.25">
      <c r="A153" s="26">
        <v>42825</v>
      </c>
      <c r="B153" s="17"/>
      <c r="C153" s="7" t="s">
        <v>5</v>
      </c>
      <c r="D153" s="36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>
        <v>6.13</v>
      </c>
      <c r="Q153" s="17">
        <f t="shared" si="62"/>
        <v>481.25000000000671</v>
      </c>
      <c r="R153" s="2"/>
      <c r="S153" s="7"/>
      <c r="T153" s="36"/>
      <c r="U153" s="17"/>
    </row>
    <row r="154" spans="1:21" x14ac:dyDescent="0.25">
      <c r="A154" s="26">
        <v>42828</v>
      </c>
      <c r="B154" s="17"/>
      <c r="C154" s="7" t="s">
        <v>85</v>
      </c>
      <c r="D154" s="36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>
        <v>21</v>
      </c>
      <c r="P154" s="17"/>
      <c r="Q154" s="17">
        <f t="shared" si="62"/>
        <v>502.25000000000671</v>
      </c>
      <c r="R154" s="2"/>
      <c r="S154" s="7"/>
      <c r="T154" s="36"/>
      <c r="U154" s="17"/>
    </row>
    <row r="155" spans="1:21" x14ac:dyDescent="0.25">
      <c r="A155" s="26">
        <v>42829</v>
      </c>
      <c r="B155" s="17">
        <v>2000</v>
      </c>
      <c r="D155" s="36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>
        <f t="shared" si="62"/>
        <v>2502.2500000000068</v>
      </c>
      <c r="R155" s="2"/>
      <c r="S155" s="7"/>
      <c r="T155" s="36"/>
      <c r="U155" s="17"/>
    </row>
    <row r="156" spans="1:21" x14ac:dyDescent="0.25">
      <c r="A156" s="26">
        <v>42829</v>
      </c>
      <c r="B156" s="17"/>
      <c r="C156" s="7" t="s">
        <v>92</v>
      </c>
      <c r="D156" s="36"/>
      <c r="E156" s="17"/>
      <c r="F156" s="17"/>
      <c r="G156" s="17"/>
      <c r="H156" s="17"/>
      <c r="I156" s="17"/>
      <c r="J156" s="17"/>
      <c r="K156" s="17">
        <v>476</v>
      </c>
      <c r="L156" s="17"/>
      <c r="M156" s="17"/>
      <c r="N156" s="17"/>
      <c r="O156" s="17"/>
      <c r="P156" s="17"/>
      <c r="Q156" s="17">
        <f t="shared" ref="Q156:Q157" si="63">Q155+B156-K156-L156-M156+N156+O156+P156</f>
        <v>2026.2500000000068</v>
      </c>
      <c r="R156" s="2"/>
      <c r="S156" s="7"/>
      <c r="T156" s="36"/>
      <c r="U156" s="17"/>
    </row>
    <row r="157" spans="1:21" x14ac:dyDescent="0.25">
      <c r="A157" s="26">
        <v>42829</v>
      </c>
      <c r="B157" s="17"/>
      <c r="C157" s="7" t="s">
        <v>35</v>
      </c>
      <c r="D157" s="36">
        <v>1000</v>
      </c>
      <c r="E157" s="17">
        <v>1.31</v>
      </c>
      <c r="F157" s="17">
        <f>D157*E157</f>
        <v>1310</v>
      </c>
      <c r="G157" s="17">
        <v>0</v>
      </c>
      <c r="H157" s="17">
        <v>0</v>
      </c>
      <c r="I157" s="17"/>
      <c r="J157" s="17">
        <v>8.99</v>
      </c>
      <c r="K157" s="17">
        <f>SUM(F157:J157)</f>
        <v>1318.99</v>
      </c>
      <c r="L157" s="17"/>
      <c r="M157" s="17"/>
      <c r="N157" s="17"/>
      <c r="O157" s="17"/>
      <c r="P157" s="17"/>
      <c r="Q157" s="17">
        <f t="shared" si="63"/>
        <v>707.26000000000681</v>
      </c>
      <c r="R157" s="2"/>
      <c r="S157" s="7"/>
      <c r="T157" s="36"/>
      <c r="U157" s="17"/>
    </row>
    <row r="158" spans="1:21" x14ac:dyDescent="0.25">
      <c r="A158" s="26">
        <v>42831</v>
      </c>
      <c r="B158" s="17"/>
      <c r="C158" s="7" t="s">
        <v>85</v>
      </c>
      <c r="D158" s="36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>
        <v>141.38</v>
      </c>
      <c r="Q158" s="17">
        <f t="shared" ref="Q158:Q161" si="64">Q157+B158-K158-L158-M158+N158+O158+P158</f>
        <v>848.64000000000681</v>
      </c>
      <c r="R158" s="2"/>
      <c r="S158" s="7"/>
      <c r="T158" s="36"/>
      <c r="U158" s="17"/>
    </row>
    <row r="159" spans="1:21" x14ac:dyDescent="0.25">
      <c r="A159" s="26">
        <v>42867</v>
      </c>
      <c r="B159" s="17"/>
      <c r="C159" s="7" t="s">
        <v>88</v>
      </c>
      <c r="D159" s="36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>
        <v>54.26</v>
      </c>
      <c r="P159" s="17"/>
      <c r="Q159" s="17">
        <f t="shared" si="64"/>
        <v>902.9000000000068</v>
      </c>
      <c r="R159" s="2"/>
      <c r="S159" s="7"/>
      <c r="T159" s="36"/>
      <c r="U159" s="17"/>
    </row>
    <row r="160" spans="1:21" x14ac:dyDescent="0.25">
      <c r="A160" s="26">
        <v>42867</v>
      </c>
      <c r="B160" s="17"/>
      <c r="C160" s="7" t="s">
        <v>170</v>
      </c>
      <c r="D160" s="36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>
        <v>202.86</v>
      </c>
      <c r="P160" s="17"/>
      <c r="Q160" s="17">
        <f t="shared" si="64"/>
        <v>1105.7600000000068</v>
      </c>
      <c r="R160" s="2"/>
      <c r="S160" s="7"/>
      <c r="T160" s="36"/>
      <c r="U160" s="17"/>
    </row>
    <row r="161" spans="1:26" x14ac:dyDescent="0.25">
      <c r="A161" s="26">
        <v>42877</v>
      </c>
      <c r="B161" s="17"/>
      <c r="C161" s="7" t="s">
        <v>17</v>
      </c>
      <c r="D161" s="36">
        <v>100</v>
      </c>
      <c r="E161" s="17">
        <v>7.89</v>
      </c>
      <c r="F161" s="17">
        <f>D161*E161</f>
        <v>789</v>
      </c>
      <c r="G161" s="17">
        <v>0</v>
      </c>
      <c r="H161" s="17">
        <v>0</v>
      </c>
      <c r="I161" s="17"/>
      <c r="J161" s="17">
        <v>8.99</v>
      </c>
      <c r="K161" s="17">
        <f>SUM(F161:J161)</f>
        <v>797.99</v>
      </c>
      <c r="L161" s="17"/>
      <c r="M161" s="17"/>
      <c r="N161" s="17"/>
      <c r="O161" s="17"/>
      <c r="P161" s="17"/>
      <c r="Q161" s="17">
        <f t="shared" si="64"/>
        <v>307.7700000000068</v>
      </c>
      <c r="R161" s="2"/>
    </row>
    <row r="162" spans="1:26" x14ac:dyDescent="0.25">
      <c r="A162" s="26">
        <v>42879</v>
      </c>
      <c r="B162" s="17">
        <v>2000</v>
      </c>
      <c r="D162" s="36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>
        <f t="shared" ref="Q162" si="65">Q161+B162-K162-L162-M162+N162+O162+P162</f>
        <v>2307.7700000000068</v>
      </c>
      <c r="R162" s="2"/>
      <c r="T162" s="36"/>
      <c r="U162" s="8"/>
    </row>
    <row r="163" spans="1:26" x14ac:dyDescent="0.25">
      <c r="A163" s="26">
        <v>42879</v>
      </c>
      <c r="B163" s="17"/>
      <c r="C163" s="7" t="s">
        <v>92</v>
      </c>
      <c r="D163" s="36"/>
      <c r="E163" s="17"/>
      <c r="F163" s="17"/>
      <c r="G163" s="17"/>
      <c r="H163" s="17"/>
      <c r="I163" s="17"/>
      <c r="J163" s="17"/>
      <c r="K163" s="17">
        <v>1096.42</v>
      </c>
      <c r="L163" s="17"/>
      <c r="M163" s="17"/>
      <c r="N163" s="17"/>
      <c r="O163" s="17"/>
      <c r="P163" s="17"/>
      <c r="Q163" s="17">
        <f t="shared" ref="Q163:Q168" si="66">Q162+B163-K163-L163-M163+N163+O163+P163</f>
        <v>1211.3500000000067</v>
      </c>
      <c r="R163" s="2"/>
    </row>
    <row r="164" spans="1:26" x14ac:dyDescent="0.25">
      <c r="A164" s="26">
        <v>42879</v>
      </c>
      <c r="B164" s="17"/>
      <c r="C164" s="7" t="s">
        <v>17</v>
      </c>
      <c r="D164" s="36">
        <v>100</v>
      </c>
      <c r="E164" s="17">
        <v>7.89</v>
      </c>
      <c r="F164" s="17">
        <f>D164*E164</f>
        <v>789</v>
      </c>
      <c r="G164" s="17">
        <v>0</v>
      </c>
      <c r="H164" s="17">
        <v>0</v>
      </c>
      <c r="I164" s="17"/>
      <c r="J164" s="17">
        <v>8.99</v>
      </c>
      <c r="K164" s="17">
        <f>SUM(F164:J164)</f>
        <v>797.99</v>
      </c>
      <c r="L164" s="17"/>
      <c r="M164" s="17"/>
      <c r="N164" s="17"/>
      <c r="O164" s="17"/>
      <c r="P164" s="17"/>
      <c r="Q164" s="17">
        <f t="shared" si="66"/>
        <v>413.36000000000672</v>
      </c>
      <c r="R164" s="2"/>
    </row>
    <row r="165" spans="1:26" x14ac:dyDescent="0.25">
      <c r="A165" s="26">
        <v>42886</v>
      </c>
      <c r="B165" s="17"/>
      <c r="C165" s="7" t="s">
        <v>96</v>
      </c>
      <c r="D165" s="36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>
        <v>139.83000000000001</v>
      </c>
      <c r="P165" s="17"/>
      <c r="Q165" s="17">
        <f t="shared" si="66"/>
        <v>553.19000000000676</v>
      </c>
      <c r="R165" s="2"/>
      <c r="W165" s="20"/>
    </row>
    <row r="166" spans="1:26" x14ac:dyDescent="0.25">
      <c r="A166" s="26">
        <v>42886</v>
      </c>
      <c r="B166" s="17"/>
      <c r="C166" s="7" t="s">
        <v>170</v>
      </c>
      <c r="D166" s="36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>
        <v>116.15</v>
      </c>
      <c r="P166" s="17">
        <v>77.099999999999994</v>
      </c>
      <c r="Q166" s="17">
        <f t="shared" si="66"/>
        <v>746.44000000000676</v>
      </c>
      <c r="R166" s="2"/>
      <c r="W166" s="20"/>
      <c r="Y166" s="20"/>
      <c r="Z166" s="73"/>
    </row>
    <row r="167" spans="1:26" x14ac:dyDescent="0.25">
      <c r="A167" s="26">
        <v>42886</v>
      </c>
      <c r="B167" s="17"/>
      <c r="C167" s="7" t="s">
        <v>5</v>
      </c>
      <c r="D167" s="36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>
        <v>15.55</v>
      </c>
      <c r="Q167" s="17">
        <f t="shared" si="66"/>
        <v>761.99000000000672</v>
      </c>
      <c r="R167" s="2"/>
      <c r="W167" s="20"/>
    </row>
    <row r="168" spans="1:26" x14ac:dyDescent="0.25">
      <c r="A168" s="26">
        <v>42886</v>
      </c>
      <c r="B168" s="17">
        <v>1000</v>
      </c>
      <c r="D168" s="36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>
        <f t="shared" si="66"/>
        <v>1761.9900000000066</v>
      </c>
      <c r="R168" s="2"/>
      <c r="W168" s="20"/>
    </row>
    <row r="169" spans="1:26" x14ac:dyDescent="0.25">
      <c r="A169" s="26">
        <v>42886</v>
      </c>
      <c r="B169" s="17"/>
      <c r="C169" s="7" t="s">
        <v>85</v>
      </c>
      <c r="D169" s="36">
        <v>200</v>
      </c>
      <c r="E169" s="17">
        <v>8.93</v>
      </c>
      <c r="F169" s="17">
        <f>D169*E169</f>
        <v>1786</v>
      </c>
      <c r="G169" s="17">
        <v>0</v>
      </c>
      <c r="H169" s="17">
        <v>0</v>
      </c>
      <c r="I169" s="17"/>
      <c r="J169" s="17">
        <v>8.99</v>
      </c>
      <c r="K169" s="17">
        <f>SUM(F169:J169)</f>
        <v>1794.99</v>
      </c>
      <c r="L169" s="17"/>
      <c r="M169" s="17"/>
      <c r="N169" s="17"/>
      <c r="O169" s="17"/>
      <c r="P169" s="17"/>
      <c r="Q169" s="17">
        <f t="shared" ref="Q169:Q170" si="67">Q168+B169-K169-L169-M169+N169+O169+P169</f>
        <v>-32.999999999993406</v>
      </c>
      <c r="R169" s="2"/>
    </row>
    <row r="170" spans="1:26" x14ac:dyDescent="0.25">
      <c r="A170" s="26">
        <v>42893</v>
      </c>
      <c r="B170" s="17">
        <v>2000</v>
      </c>
      <c r="D170" s="36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>
        <f t="shared" si="67"/>
        <v>1967.0000000000066</v>
      </c>
      <c r="R170" s="2"/>
      <c r="W170" s="20"/>
    </row>
    <row r="171" spans="1:26" x14ac:dyDescent="0.25">
      <c r="A171" s="26">
        <v>42894</v>
      </c>
      <c r="B171" s="17"/>
      <c r="C171" s="7" t="s">
        <v>32</v>
      </c>
      <c r="D171" s="36">
        <v>300</v>
      </c>
      <c r="E171" s="17">
        <v>6.48</v>
      </c>
      <c r="F171" s="17">
        <f>D171*E171</f>
        <v>1944.0000000000002</v>
      </c>
      <c r="G171" s="17">
        <v>0</v>
      </c>
      <c r="H171" s="17">
        <v>0</v>
      </c>
      <c r="I171" s="17"/>
      <c r="J171" s="17">
        <v>8.99</v>
      </c>
      <c r="K171" s="17">
        <f>SUM(F171:J171)</f>
        <v>1952.9900000000002</v>
      </c>
      <c r="L171" s="17"/>
      <c r="M171" s="17"/>
      <c r="N171" s="17"/>
      <c r="O171" s="17"/>
      <c r="P171" s="17"/>
      <c r="Q171" s="17">
        <f t="shared" ref="Q171:Q172" si="68">Q170+B171-K171-L171-M171+N171+O171+P171</f>
        <v>14.010000000006357</v>
      </c>
      <c r="R171" s="2"/>
    </row>
    <row r="172" spans="1:26" x14ac:dyDescent="0.25">
      <c r="A172" s="26">
        <v>42899</v>
      </c>
      <c r="B172" s="17">
        <v>2000</v>
      </c>
      <c r="D172" s="36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>
        <f t="shared" si="68"/>
        <v>2014.0100000000064</v>
      </c>
      <c r="R172" s="2"/>
    </row>
    <row r="173" spans="1:26" x14ac:dyDescent="0.25">
      <c r="A173" s="26">
        <v>42899</v>
      </c>
      <c r="B173" s="17"/>
      <c r="C173" s="7" t="s">
        <v>85</v>
      </c>
      <c r="D173" s="36">
        <v>200</v>
      </c>
      <c r="E173" s="17">
        <v>8.84</v>
      </c>
      <c r="F173" s="17">
        <f>D173*E173</f>
        <v>1768</v>
      </c>
      <c r="G173" s="17">
        <v>0</v>
      </c>
      <c r="H173" s="17">
        <v>0</v>
      </c>
      <c r="I173" s="17"/>
      <c r="J173" s="17">
        <v>8.99</v>
      </c>
      <c r="K173" s="17">
        <f>SUM(F173:J173)</f>
        <v>1776.99</v>
      </c>
      <c r="L173" s="17"/>
      <c r="M173" s="17"/>
      <c r="N173" s="17"/>
      <c r="O173" s="17"/>
      <c r="P173" s="17"/>
      <c r="Q173" s="17">
        <f t="shared" ref="Q173:Q178" si="69">Q172+B173-K173-L173-M173+N173+O173+P173</f>
        <v>237.02000000000635</v>
      </c>
      <c r="R173" s="2"/>
    </row>
    <row r="174" spans="1:26" x14ac:dyDescent="0.25">
      <c r="A174" s="26">
        <v>42905</v>
      </c>
      <c r="B174" s="17"/>
      <c r="C174" s="7" t="s">
        <v>106</v>
      </c>
      <c r="D174" s="36"/>
      <c r="E174" s="17"/>
      <c r="F174" s="17"/>
      <c r="G174" s="17"/>
      <c r="H174" s="17"/>
      <c r="I174" s="17"/>
      <c r="J174" s="17"/>
      <c r="K174" s="17">
        <v>-346</v>
      </c>
      <c r="L174" s="17"/>
      <c r="M174" s="17"/>
      <c r="N174" s="17"/>
      <c r="O174" s="17"/>
      <c r="P174" s="17"/>
      <c r="Q174" s="17">
        <f t="shared" si="69"/>
        <v>583.02000000000635</v>
      </c>
      <c r="R174" s="2"/>
    </row>
    <row r="175" spans="1:26" x14ac:dyDescent="0.25">
      <c r="A175" s="26">
        <v>42905</v>
      </c>
      <c r="B175" s="17"/>
      <c r="C175" s="7" t="s">
        <v>92</v>
      </c>
      <c r="D175" s="36"/>
      <c r="E175" s="17"/>
      <c r="F175" s="17"/>
      <c r="G175" s="17"/>
      <c r="H175" s="17"/>
      <c r="I175" s="17"/>
      <c r="J175" s="17"/>
      <c r="K175" s="17">
        <v>475.11</v>
      </c>
      <c r="L175" s="17"/>
      <c r="M175" s="17"/>
      <c r="N175" s="17"/>
      <c r="O175" s="17"/>
      <c r="P175" s="17"/>
      <c r="Q175" s="17">
        <f t="shared" si="69"/>
        <v>107.91000000000633</v>
      </c>
      <c r="R175" s="2"/>
    </row>
    <row r="176" spans="1:26" x14ac:dyDescent="0.25">
      <c r="A176" s="26">
        <v>42914</v>
      </c>
      <c r="B176" s="17"/>
      <c r="C176" s="7" t="s">
        <v>96</v>
      </c>
      <c r="D176" s="36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>
        <v>67.989999999999995</v>
      </c>
      <c r="Q176" s="17">
        <f t="shared" si="69"/>
        <v>175.90000000000634</v>
      </c>
      <c r="R176" s="2"/>
    </row>
    <row r="177" spans="1:20" x14ac:dyDescent="0.25">
      <c r="A177" s="26">
        <v>42916</v>
      </c>
      <c r="B177" s="17"/>
      <c r="C177" s="7" t="s">
        <v>17</v>
      </c>
      <c r="D177" s="36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>
        <v>231.03</v>
      </c>
      <c r="Q177" s="17">
        <f t="shared" si="69"/>
        <v>406.93000000000632</v>
      </c>
      <c r="R177" s="2"/>
    </row>
    <row r="178" spans="1:20" x14ac:dyDescent="0.25">
      <c r="A178" s="26">
        <v>42916</v>
      </c>
      <c r="B178" s="17"/>
      <c r="C178" s="7" t="s">
        <v>5</v>
      </c>
      <c r="D178" s="36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>
        <v>6.68</v>
      </c>
      <c r="Q178" s="17">
        <f t="shared" si="69"/>
        <v>413.61000000000632</v>
      </c>
      <c r="R178" s="2"/>
      <c r="T178" s="73"/>
    </row>
    <row r="179" spans="1:20" x14ac:dyDescent="0.25">
      <c r="A179" s="26">
        <v>42919</v>
      </c>
      <c r="B179" s="17"/>
      <c r="C179" s="7" t="s">
        <v>92</v>
      </c>
      <c r="D179" s="36"/>
      <c r="E179" s="17"/>
      <c r="F179" s="17"/>
      <c r="G179" s="17"/>
      <c r="H179" s="17"/>
      <c r="I179" s="17"/>
      <c r="J179" s="17"/>
      <c r="K179" s="17"/>
      <c r="L179" s="17">
        <v>10.06</v>
      </c>
      <c r="M179" s="17"/>
      <c r="N179" s="17"/>
      <c r="O179" s="17"/>
      <c r="P179" s="17"/>
      <c r="Q179" s="17">
        <f t="shared" ref="Q179:Q180" si="70">Q178+B179-K179-L179-M179+N179+O179+P179</f>
        <v>403.55000000000632</v>
      </c>
      <c r="R179" s="2"/>
    </row>
    <row r="180" spans="1:20" x14ac:dyDescent="0.25">
      <c r="A180" s="26">
        <v>42919</v>
      </c>
      <c r="B180" s="17"/>
      <c r="C180" s="7" t="s">
        <v>85</v>
      </c>
      <c r="D180" s="36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>
        <v>27.33</v>
      </c>
      <c r="P180" s="17"/>
      <c r="Q180" s="17">
        <f t="shared" si="70"/>
        <v>430.88000000000631</v>
      </c>
      <c r="R180" s="2"/>
    </row>
    <row r="181" spans="1:20" x14ac:dyDescent="0.25">
      <c r="A181" s="26">
        <v>42919</v>
      </c>
      <c r="B181" s="17">
        <v>1000</v>
      </c>
      <c r="D181" s="36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>
        <f t="shared" ref="Q181" si="71">Q180+B181-K181-L181-M181+N181+O181+P181</f>
        <v>1430.8800000000062</v>
      </c>
      <c r="R181" s="2"/>
    </row>
    <row r="182" spans="1:20" x14ac:dyDescent="0.25">
      <c r="A182" s="26">
        <v>42922</v>
      </c>
      <c r="B182" s="17">
        <v>1000</v>
      </c>
      <c r="D182" s="36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>
        <f t="shared" ref="Q182" si="72">Q181+B182-K182-L182-M182+N182+O182+P182</f>
        <v>2430.8800000000065</v>
      </c>
      <c r="R182" s="2"/>
    </row>
    <row r="183" spans="1:20" x14ac:dyDescent="0.25">
      <c r="A183" s="26">
        <v>42922</v>
      </c>
      <c r="B183" s="17"/>
      <c r="C183" s="7" t="s">
        <v>92</v>
      </c>
      <c r="D183" s="36"/>
      <c r="E183" s="17"/>
      <c r="F183" s="17"/>
      <c r="G183" s="17"/>
      <c r="H183" s="17"/>
      <c r="I183" s="17"/>
      <c r="J183" s="17"/>
      <c r="K183" s="17">
        <v>945</v>
      </c>
      <c r="L183" s="17"/>
      <c r="M183" s="17"/>
      <c r="N183" s="17"/>
      <c r="O183" s="17"/>
      <c r="P183" s="17"/>
      <c r="Q183" s="17">
        <f t="shared" ref="Q183:Q184" si="73">Q182+B183-K183-L183-M183+N183+O183+P183</f>
        <v>1485.8800000000065</v>
      </c>
      <c r="R183" s="2"/>
    </row>
    <row r="184" spans="1:20" x14ac:dyDescent="0.25">
      <c r="A184" s="26">
        <v>42922</v>
      </c>
      <c r="B184" s="17"/>
      <c r="C184" s="7" t="s">
        <v>96</v>
      </c>
      <c r="D184" s="36">
        <v>70</v>
      </c>
      <c r="E184" s="17">
        <v>19.5</v>
      </c>
      <c r="F184" s="17">
        <f>D184*E184</f>
        <v>1365</v>
      </c>
      <c r="G184" s="17">
        <v>0</v>
      </c>
      <c r="H184" s="17">
        <v>0</v>
      </c>
      <c r="I184" s="17"/>
      <c r="J184" s="17">
        <v>8.99</v>
      </c>
      <c r="K184" s="17">
        <f>SUM(F184:J184)</f>
        <v>1373.99</v>
      </c>
      <c r="L184" s="17"/>
      <c r="M184" s="17"/>
      <c r="N184" s="17"/>
      <c r="O184" s="17"/>
      <c r="P184" s="17"/>
      <c r="Q184" s="17">
        <f t="shared" si="73"/>
        <v>111.89000000000647</v>
      </c>
      <c r="R184" s="2"/>
      <c r="S184" s="82"/>
    </row>
    <row r="185" spans="1:20" x14ac:dyDescent="0.25">
      <c r="A185" s="26">
        <v>42929</v>
      </c>
      <c r="B185" s="17"/>
      <c r="C185" s="7" t="s">
        <v>32</v>
      </c>
      <c r="D185" s="36">
        <v>-300</v>
      </c>
      <c r="E185" s="17">
        <v>7.8</v>
      </c>
      <c r="F185" s="17">
        <f>D185*E185</f>
        <v>-2340</v>
      </c>
      <c r="G185" s="17">
        <v>0</v>
      </c>
      <c r="H185" s="17">
        <v>0</v>
      </c>
      <c r="I185" s="17"/>
      <c r="J185" s="17">
        <v>8.99</v>
      </c>
      <c r="K185" s="17">
        <f>SUM(F185:J185)</f>
        <v>-2331.0100000000002</v>
      </c>
      <c r="L185" s="17"/>
      <c r="M185" s="17"/>
      <c r="N185" s="17"/>
      <c r="O185" s="17"/>
      <c r="P185" s="17"/>
      <c r="Q185" s="17">
        <f t="shared" ref="Q185" si="74">Q184+B185-K185-L185-M185+N185+O185+P185</f>
        <v>2442.9000000000069</v>
      </c>
      <c r="R185" s="2"/>
    </row>
    <row r="186" spans="1:20" x14ac:dyDescent="0.25">
      <c r="A186" s="26">
        <v>42930</v>
      </c>
      <c r="B186" s="17"/>
      <c r="C186" s="7" t="s">
        <v>173</v>
      </c>
      <c r="D186" s="36">
        <v>35</v>
      </c>
      <c r="E186" s="17">
        <v>67.959999999999994</v>
      </c>
      <c r="F186" s="17">
        <f>D186*E186</f>
        <v>2378.6</v>
      </c>
      <c r="G186" s="17">
        <v>0.65</v>
      </c>
      <c r="H186" s="17">
        <v>0.16</v>
      </c>
      <c r="I186" s="17"/>
      <c r="J186" s="17">
        <v>0.99</v>
      </c>
      <c r="K186" s="17">
        <f>SUM(F186:J186)</f>
        <v>2380.3999999999996</v>
      </c>
      <c r="L186" s="17"/>
      <c r="M186" s="17"/>
      <c r="N186" s="17"/>
      <c r="O186" s="17"/>
      <c r="P186" s="17"/>
      <c r="Q186" s="17">
        <f t="shared" ref="Q186" si="75">Q185+B186-K186-L186-M186+N186+O186+P186</f>
        <v>62.500000000007276</v>
      </c>
      <c r="R186" s="2"/>
      <c r="S186" s="20"/>
    </row>
    <row r="187" spans="1:20" x14ac:dyDescent="0.25">
      <c r="A187" s="26">
        <v>42936</v>
      </c>
      <c r="B187" s="17">
        <v>2000</v>
      </c>
      <c r="D187" s="36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>
        <f t="shared" ref="Q187:Q188" si="76">Q186+B187-K187-L187-M187+N187+O187+P187</f>
        <v>2062.5000000000073</v>
      </c>
      <c r="R187" s="2"/>
    </row>
    <row r="188" spans="1:20" x14ac:dyDescent="0.25">
      <c r="A188" s="26">
        <v>42940</v>
      </c>
      <c r="B188" s="17"/>
      <c r="C188" s="7" t="s">
        <v>173</v>
      </c>
      <c r="D188" s="36">
        <v>28</v>
      </c>
      <c r="E188" s="17">
        <v>69.709999999999994</v>
      </c>
      <c r="F188" s="17">
        <f>D188*E188</f>
        <v>1951.8799999999999</v>
      </c>
      <c r="G188" s="17">
        <v>0.65</v>
      </c>
      <c r="H188" s="17">
        <v>0.16</v>
      </c>
      <c r="I188" s="17"/>
      <c r="J188" s="17">
        <v>0.99</v>
      </c>
      <c r="K188" s="17">
        <f>SUM(F188:J188)</f>
        <v>1953.68</v>
      </c>
      <c r="L188" s="17"/>
      <c r="M188" s="17"/>
      <c r="N188" s="17"/>
      <c r="O188" s="17"/>
      <c r="P188" s="17"/>
      <c r="Q188" s="17">
        <f t="shared" si="76"/>
        <v>108.82000000000721</v>
      </c>
      <c r="R188" s="2"/>
      <c r="S188" s="20"/>
    </row>
    <row r="189" spans="1:20" x14ac:dyDescent="0.25">
      <c r="A189" s="26">
        <v>42948</v>
      </c>
      <c r="B189" s="17">
        <v>2000</v>
      </c>
      <c r="D189" s="36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>
        <f t="shared" ref="Q189" si="77">Q188+B189-K189-L189-M189+N189+O189+P189</f>
        <v>2108.820000000007</v>
      </c>
      <c r="R189" s="2"/>
      <c r="S189" s="20"/>
    </row>
    <row r="190" spans="1:20" x14ac:dyDescent="0.25">
      <c r="A190" s="26">
        <v>42949</v>
      </c>
      <c r="B190" s="17"/>
      <c r="C190" s="7" t="s">
        <v>173</v>
      </c>
      <c r="D190" s="36">
        <v>30</v>
      </c>
      <c r="E190" s="17">
        <v>69.790000000000006</v>
      </c>
      <c r="F190" s="17">
        <f>D190*E190</f>
        <v>2093.7000000000003</v>
      </c>
      <c r="G190" s="17">
        <v>0.65</v>
      </c>
      <c r="H190" s="17">
        <v>0.16</v>
      </c>
      <c r="I190" s="17"/>
      <c r="J190" s="17">
        <v>0.99</v>
      </c>
      <c r="K190" s="17">
        <f>SUM(F190:J190)</f>
        <v>2095.5</v>
      </c>
      <c r="L190" s="17"/>
      <c r="M190" s="17"/>
      <c r="N190" s="17"/>
      <c r="O190" s="17"/>
      <c r="P190" s="17"/>
      <c r="Q190" s="17">
        <f t="shared" ref="Q190" si="78">Q189+B190-K190-L190-M190+N190+O190+P190</f>
        <v>13.320000000006985</v>
      </c>
      <c r="R190" s="2"/>
      <c r="S190" s="20"/>
    </row>
    <row r="191" spans="1:20" x14ac:dyDescent="0.25">
      <c r="A191" s="26">
        <v>42956</v>
      </c>
      <c r="B191" s="17">
        <v>2000</v>
      </c>
      <c r="D191" s="36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>
        <f t="shared" ref="Q191:Q192" si="79">Q190+B191-K191-L191-M191+N191+O191+P191</f>
        <v>2013.320000000007</v>
      </c>
      <c r="R191" s="2"/>
      <c r="S191" s="20"/>
    </row>
    <row r="192" spans="1:20" x14ac:dyDescent="0.25">
      <c r="A192" s="26">
        <v>42958</v>
      </c>
      <c r="B192" s="17"/>
      <c r="C192" s="7" t="s">
        <v>173</v>
      </c>
      <c r="D192" s="36">
        <v>27</v>
      </c>
      <c r="E192" s="17">
        <v>69.5</v>
      </c>
      <c r="F192" s="17">
        <f>D192*E192</f>
        <v>1876.5</v>
      </c>
      <c r="G192" s="17">
        <v>0.65</v>
      </c>
      <c r="H192" s="17">
        <v>0.16</v>
      </c>
      <c r="I192" s="17"/>
      <c r="J192" s="17">
        <v>0.99</v>
      </c>
      <c r="K192" s="17">
        <f>SUM(F192:J192)</f>
        <v>1878.3000000000002</v>
      </c>
      <c r="L192" s="17"/>
      <c r="M192" s="17"/>
      <c r="N192" s="17"/>
      <c r="O192" s="17"/>
      <c r="P192" s="17"/>
      <c r="Q192" s="17">
        <f t="shared" si="79"/>
        <v>135.0200000000068</v>
      </c>
      <c r="R192" s="2"/>
      <c r="S192" s="20"/>
    </row>
    <row r="193" spans="1:19" x14ac:dyDescent="0.25">
      <c r="A193" s="26">
        <v>42961</v>
      </c>
      <c r="B193" s="17"/>
      <c r="C193" s="7" t="s">
        <v>173</v>
      </c>
      <c r="D193" s="36"/>
      <c r="E193" s="17"/>
      <c r="F193" s="17"/>
      <c r="G193" s="17"/>
      <c r="H193" s="17"/>
      <c r="I193" s="17"/>
      <c r="J193" s="17"/>
      <c r="K193" s="17"/>
      <c r="L193" s="17"/>
      <c r="M193" s="17"/>
      <c r="N193" s="17">
        <v>46</v>
      </c>
      <c r="O193" s="17"/>
      <c r="P193" s="17"/>
      <c r="Q193" s="17">
        <f t="shared" ref="Q193:Q209" si="80">Q192+B193-K193-L193-M193+N193+O193+P193</f>
        <v>181.0200000000068</v>
      </c>
      <c r="R193" s="2"/>
      <c r="S193" s="20"/>
    </row>
    <row r="194" spans="1:19" x14ac:dyDescent="0.25">
      <c r="A194" s="26">
        <v>42961</v>
      </c>
      <c r="B194" s="17"/>
      <c r="C194" s="7" t="s">
        <v>92</v>
      </c>
      <c r="D194" s="36"/>
      <c r="E194" s="17"/>
      <c r="F194" s="17"/>
      <c r="G194" s="17"/>
      <c r="H194" s="17"/>
      <c r="I194" s="17"/>
      <c r="J194" s="17"/>
      <c r="K194" s="17"/>
      <c r="L194" s="17"/>
      <c r="M194" s="17"/>
      <c r="N194" s="17">
        <v>288.45</v>
      </c>
      <c r="O194" s="17"/>
      <c r="P194" s="17"/>
      <c r="Q194" s="17">
        <f t="shared" ref="Q194" si="81">Q193+B194-K194-L194-M194+N194+O194+P194</f>
        <v>469.47000000000679</v>
      </c>
      <c r="R194" s="2"/>
      <c r="S194" s="20"/>
    </row>
    <row r="195" spans="1:19" x14ac:dyDescent="0.25">
      <c r="A195" s="26">
        <v>42964</v>
      </c>
      <c r="B195" s="17"/>
      <c r="C195" s="7" t="s">
        <v>96</v>
      </c>
      <c r="D195" s="36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>
        <v>114.7</v>
      </c>
      <c r="P195" s="17"/>
      <c r="Q195" s="17">
        <f t="shared" ref="Q195:Q197" si="82">Q194+B195-K195-L195-M195+N195+O195+P195</f>
        <v>584.17000000000678</v>
      </c>
      <c r="R195" s="2"/>
      <c r="S195" s="20"/>
    </row>
    <row r="196" spans="1:19" x14ac:dyDescent="0.25">
      <c r="A196" s="26">
        <v>42964</v>
      </c>
      <c r="B196" s="17">
        <v>1500</v>
      </c>
      <c r="D196" s="36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>
        <f t="shared" si="82"/>
        <v>2084.1700000000069</v>
      </c>
      <c r="R196" s="2"/>
      <c r="S196" s="20"/>
    </row>
    <row r="197" spans="1:19" x14ac:dyDescent="0.25">
      <c r="A197" s="26">
        <v>42965</v>
      </c>
      <c r="B197" s="17"/>
      <c r="C197" s="7" t="s">
        <v>173</v>
      </c>
      <c r="D197" s="36">
        <v>30</v>
      </c>
      <c r="E197" s="17">
        <v>69.75</v>
      </c>
      <c r="F197" s="17">
        <f>D197*E197</f>
        <v>2092.5</v>
      </c>
      <c r="G197" s="17">
        <v>0.65</v>
      </c>
      <c r="H197" s="17">
        <v>0.16</v>
      </c>
      <c r="I197" s="17"/>
      <c r="J197" s="17">
        <v>0.99</v>
      </c>
      <c r="K197" s="17">
        <f>SUM(F197:J197)</f>
        <v>2094.2999999999997</v>
      </c>
      <c r="L197" s="17"/>
      <c r="M197" s="17"/>
      <c r="N197" s="17"/>
      <c r="O197" s="17"/>
      <c r="P197" s="17"/>
      <c r="Q197" s="17">
        <f t="shared" si="82"/>
        <v>-10.129999999992833</v>
      </c>
      <c r="R197" s="2"/>
      <c r="S197" s="20"/>
    </row>
    <row r="198" spans="1:19" x14ac:dyDescent="0.25">
      <c r="A198" s="26">
        <v>42972</v>
      </c>
      <c r="B198" s="17"/>
      <c r="C198" s="7" t="s">
        <v>85</v>
      </c>
      <c r="D198" s="36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>
        <v>135.78</v>
      </c>
      <c r="Q198" s="17">
        <f t="shared" si="80"/>
        <v>125.65000000000717</v>
      </c>
      <c r="R198" s="2"/>
      <c r="S198" s="20"/>
    </row>
    <row r="199" spans="1:19" x14ac:dyDescent="0.25">
      <c r="A199" s="26">
        <v>42978</v>
      </c>
      <c r="B199" s="17"/>
      <c r="C199" s="7" t="s">
        <v>170</v>
      </c>
      <c r="D199" s="36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>
        <v>0.78</v>
      </c>
      <c r="P199" s="17">
        <v>68.31</v>
      </c>
      <c r="Q199" s="17">
        <f t="shared" si="80"/>
        <v>194.74000000000717</v>
      </c>
      <c r="R199" s="2"/>
      <c r="S199" s="20"/>
    </row>
    <row r="200" spans="1:19" x14ac:dyDescent="0.25">
      <c r="A200" s="26">
        <v>42978</v>
      </c>
      <c r="B200" s="17"/>
      <c r="C200" s="7" t="s">
        <v>5</v>
      </c>
      <c r="D200" s="36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>
        <v>17.09</v>
      </c>
      <c r="Q200" s="17">
        <f t="shared" si="80"/>
        <v>211.83000000000717</v>
      </c>
      <c r="R200" s="2"/>
      <c r="S200" s="20"/>
    </row>
    <row r="201" spans="1:19" x14ac:dyDescent="0.25">
      <c r="A201" s="26">
        <v>42993</v>
      </c>
      <c r="B201" s="17"/>
      <c r="C201" s="7" t="s">
        <v>173</v>
      </c>
      <c r="D201" s="36"/>
      <c r="E201" s="17"/>
      <c r="F201" s="17"/>
      <c r="G201" s="17"/>
      <c r="H201" s="17"/>
      <c r="I201" s="17"/>
      <c r="J201" s="17"/>
      <c r="K201" s="17"/>
      <c r="L201" s="17"/>
      <c r="M201" s="17"/>
      <c r="N201" s="17">
        <v>75</v>
      </c>
      <c r="O201" s="17"/>
      <c r="P201" s="17"/>
      <c r="Q201" s="17">
        <f t="shared" si="80"/>
        <v>286.8300000000072</v>
      </c>
      <c r="R201" s="2"/>
      <c r="S201" s="20"/>
    </row>
    <row r="202" spans="1:19" x14ac:dyDescent="0.25">
      <c r="A202" s="26">
        <v>43003</v>
      </c>
      <c r="B202" s="17">
        <v>2000</v>
      </c>
      <c r="D202" s="36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>
        <f t="shared" si="80"/>
        <v>2286.8300000000072</v>
      </c>
      <c r="R202" s="2"/>
      <c r="S202" s="20"/>
    </row>
    <row r="203" spans="1:19" x14ac:dyDescent="0.25">
      <c r="A203" s="26">
        <v>43003</v>
      </c>
      <c r="B203" s="17"/>
      <c r="C203" s="7" t="s">
        <v>173</v>
      </c>
      <c r="D203" s="36">
        <v>30</v>
      </c>
      <c r="E203" s="17">
        <v>70.150000000000006</v>
      </c>
      <c r="F203" s="17">
        <f>D203*E203</f>
        <v>2104.5</v>
      </c>
      <c r="G203" s="17">
        <v>0.65</v>
      </c>
      <c r="H203" s="17">
        <v>0.16</v>
      </c>
      <c r="I203" s="17"/>
      <c r="J203" s="17">
        <v>0.99</v>
      </c>
      <c r="K203" s="17">
        <f>SUM(F203:J203)</f>
        <v>2106.2999999999997</v>
      </c>
      <c r="L203" s="17"/>
      <c r="M203" s="17"/>
      <c r="N203" s="17"/>
      <c r="O203" s="17"/>
      <c r="P203" s="17"/>
      <c r="Q203" s="17">
        <f t="shared" si="80"/>
        <v>180.53000000000748</v>
      </c>
      <c r="R203" s="2"/>
      <c r="S203" s="20"/>
    </row>
    <row r="204" spans="1:19" x14ac:dyDescent="0.25">
      <c r="A204" s="26">
        <v>43006</v>
      </c>
      <c r="B204" s="17">
        <v>2000</v>
      </c>
      <c r="D204" s="36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>
        <f t="shared" si="80"/>
        <v>2180.5300000000075</v>
      </c>
      <c r="R204" s="2"/>
      <c r="S204" s="20"/>
    </row>
    <row r="205" spans="1:19" x14ac:dyDescent="0.25">
      <c r="A205" s="26">
        <v>43006</v>
      </c>
      <c r="B205" s="17"/>
      <c r="C205" s="7" t="s">
        <v>173</v>
      </c>
      <c r="D205" s="36">
        <v>25</v>
      </c>
      <c r="E205" s="17">
        <v>70.11</v>
      </c>
      <c r="F205" s="17">
        <f>D205*E205</f>
        <v>1752.75</v>
      </c>
      <c r="G205" s="17">
        <v>0.65</v>
      </c>
      <c r="H205" s="17">
        <v>0.16</v>
      </c>
      <c r="I205" s="17"/>
      <c r="J205" s="17">
        <v>0.99</v>
      </c>
      <c r="K205" s="17">
        <f>SUM(F205:J205)</f>
        <v>1754.5500000000002</v>
      </c>
      <c r="L205" s="17"/>
      <c r="M205" s="17"/>
      <c r="N205" s="17"/>
      <c r="O205" s="17"/>
      <c r="P205" s="17"/>
      <c r="Q205" s="17">
        <f t="shared" si="80"/>
        <v>425.98000000000729</v>
      </c>
      <c r="R205" s="2"/>
    </row>
    <row r="206" spans="1:19" x14ac:dyDescent="0.25">
      <c r="A206" s="26">
        <v>43007</v>
      </c>
      <c r="B206" s="17">
        <v>2000</v>
      </c>
      <c r="D206" s="36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>
        <f t="shared" si="80"/>
        <v>2425.9800000000073</v>
      </c>
      <c r="R206" s="2"/>
    </row>
    <row r="207" spans="1:19" x14ac:dyDescent="0.25">
      <c r="A207" s="26">
        <v>43006</v>
      </c>
      <c r="B207" s="17"/>
      <c r="C207" s="7" t="s">
        <v>88</v>
      </c>
      <c r="D207" s="36">
        <v>700</v>
      </c>
      <c r="E207" s="17">
        <v>3.33</v>
      </c>
      <c r="F207" s="17">
        <f>D207*E207</f>
        <v>2331</v>
      </c>
      <c r="G207" s="17">
        <v>0.65</v>
      </c>
      <c r="H207" s="17">
        <v>0.16</v>
      </c>
      <c r="I207" s="17"/>
      <c r="J207" s="17">
        <v>0.99</v>
      </c>
      <c r="K207" s="17">
        <f>SUM(F207:J207)</f>
        <v>2332.7999999999997</v>
      </c>
      <c r="L207" s="17"/>
      <c r="M207" s="17"/>
      <c r="N207" s="17"/>
      <c r="O207" s="17"/>
      <c r="P207" s="17"/>
      <c r="Q207" s="17">
        <f t="shared" si="80"/>
        <v>93.180000000007567</v>
      </c>
      <c r="R207" s="2"/>
    </row>
    <row r="208" spans="1:19" x14ac:dyDescent="0.25">
      <c r="A208" s="26">
        <v>43017</v>
      </c>
      <c r="B208" s="17">
        <v>2000</v>
      </c>
      <c r="D208" s="36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>
        <f t="shared" si="80"/>
        <v>2093.1800000000076</v>
      </c>
      <c r="R208" s="2"/>
    </row>
    <row r="209" spans="1:18" x14ac:dyDescent="0.25">
      <c r="A209" s="26">
        <v>43017</v>
      </c>
      <c r="B209" s="17"/>
      <c r="C209" s="7" t="s">
        <v>173</v>
      </c>
      <c r="D209" s="36">
        <v>20</v>
      </c>
      <c r="E209" s="17">
        <v>73.900000000000006</v>
      </c>
      <c r="F209" s="17">
        <f>D209*E209</f>
        <v>1478</v>
      </c>
      <c r="G209" s="17">
        <v>0.65</v>
      </c>
      <c r="H209" s="17">
        <v>0.16</v>
      </c>
      <c r="I209" s="17"/>
      <c r="J209" s="17">
        <v>0.99</v>
      </c>
      <c r="K209" s="17">
        <f>SUM(F209:J209)</f>
        <v>1479.8000000000002</v>
      </c>
      <c r="L209" s="17"/>
      <c r="M209" s="17"/>
      <c r="N209" s="17"/>
      <c r="O209" s="17"/>
      <c r="P209" s="17"/>
      <c r="Q209" s="17">
        <f t="shared" si="80"/>
        <v>613.38000000000739</v>
      </c>
      <c r="R209" s="2"/>
    </row>
    <row r="210" spans="1:18" x14ac:dyDescent="0.25">
      <c r="A210" s="26">
        <v>43018</v>
      </c>
      <c r="B210" s="17"/>
      <c r="D210" s="36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>
        <v>708.47</v>
      </c>
      <c r="R210" s="2" t="s">
        <v>248</v>
      </c>
    </row>
    <row r="211" spans="1:18" x14ac:dyDescent="0.25">
      <c r="A211" s="26">
        <v>43024</v>
      </c>
      <c r="B211" s="17"/>
      <c r="C211" s="7" t="s">
        <v>173</v>
      </c>
      <c r="D211" s="36"/>
      <c r="E211" s="17"/>
      <c r="F211" s="17"/>
      <c r="G211" s="17"/>
      <c r="H211" s="17"/>
      <c r="I211" s="17"/>
      <c r="J211" s="17"/>
      <c r="K211" s="17"/>
      <c r="L211" s="17"/>
      <c r="M211" s="17"/>
      <c r="N211" s="17">
        <v>101.47</v>
      </c>
      <c r="O211" s="17"/>
      <c r="P211" s="17"/>
      <c r="Q211" s="17">
        <f t="shared" ref="Q211:Q230" si="83">Q210+B211-K211-L211-M211+N211+O211+P211</f>
        <v>809.94</v>
      </c>
      <c r="R211" s="2"/>
    </row>
    <row r="212" spans="1:18" x14ac:dyDescent="0.25">
      <c r="A212" s="26">
        <v>43024</v>
      </c>
      <c r="B212" s="17"/>
      <c r="C212" s="7" t="s">
        <v>170</v>
      </c>
      <c r="D212" s="36">
        <v>35</v>
      </c>
      <c r="E212" s="17">
        <v>21.97</v>
      </c>
      <c r="F212" s="17">
        <f>D212*E212</f>
        <v>768.94999999999993</v>
      </c>
      <c r="G212" s="17">
        <v>0.21</v>
      </c>
      <c r="H212" s="17">
        <v>0.03</v>
      </c>
      <c r="I212" s="17"/>
      <c r="J212" s="17">
        <v>2.4900000000000002</v>
      </c>
      <c r="K212" s="17">
        <f>SUM(F212:J212)</f>
        <v>771.68</v>
      </c>
      <c r="L212" s="17"/>
      <c r="M212" s="17"/>
      <c r="N212" s="17"/>
      <c r="O212" s="17"/>
      <c r="P212" s="17"/>
      <c r="Q212" s="17">
        <f t="shared" si="83"/>
        <v>38.260000000000105</v>
      </c>
      <c r="R212" s="2"/>
    </row>
    <row r="213" spans="1:18" x14ac:dyDescent="0.25">
      <c r="A213" s="26">
        <v>43028</v>
      </c>
      <c r="B213" s="17">
        <v>2000</v>
      </c>
      <c r="D213" s="36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>
        <f t="shared" si="83"/>
        <v>2038.2600000000002</v>
      </c>
      <c r="R213" s="2"/>
    </row>
    <row r="214" spans="1:18" x14ac:dyDescent="0.25">
      <c r="A214" s="26">
        <v>43028</v>
      </c>
      <c r="B214" s="17"/>
      <c r="C214" s="7" t="s">
        <v>17</v>
      </c>
      <c r="D214" s="36">
        <v>200</v>
      </c>
      <c r="E214" s="17">
        <v>8.1</v>
      </c>
      <c r="F214" s="17">
        <f>D214*E214</f>
        <v>1620</v>
      </c>
      <c r="G214" s="17">
        <v>0.21</v>
      </c>
      <c r="H214" s="17">
        <v>0.03</v>
      </c>
      <c r="I214" s="17"/>
      <c r="J214" s="17">
        <v>2.4900000000000002</v>
      </c>
      <c r="K214" s="17">
        <f>SUM(F214:J214)</f>
        <v>1622.73</v>
      </c>
      <c r="L214" s="17"/>
      <c r="M214" s="17"/>
      <c r="N214" s="17"/>
      <c r="O214" s="17"/>
      <c r="P214" s="17"/>
      <c r="Q214" s="17">
        <f t="shared" si="83"/>
        <v>415.5300000000002</v>
      </c>
      <c r="R214" s="2"/>
    </row>
    <row r="215" spans="1:18" x14ac:dyDescent="0.25">
      <c r="A215" s="26">
        <v>43033</v>
      </c>
      <c r="B215" s="17"/>
      <c r="C215" s="7" t="s">
        <v>96</v>
      </c>
      <c r="D215" s="36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>
        <v>114.29</v>
      </c>
      <c r="P215" s="17"/>
      <c r="Q215" s="17">
        <f t="shared" si="83"/>
        <v>529.82000000000016</v>
      </c>
      <c r="R215" s="2"/>
    </row>
    <row r="216" spans="1:18" x14ac:dyDescent="0.25">
      <c r="A216" s="26">
        <v>43039</v>
      </c>
      <c r="B216" s="17">
        <v>2000</v>
      </c>
      <c r="D216" s="3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>
        <f t="shared" si="83"/>
        <v>2529.8200000000002</v>
      </c>
      <c r="R216" s="2"/>
    </row>
    <row r="217" spans="1:18" x14ac:dyDescent="0.25">
      <c r="A217" s="26">
        <v>43039</v>
      </c>
      <c r="B217" s="17"/>
      <c r="C217" s="7" t="s">
        <v>173</v>
      </c>
      <c r="D217" s="36">
        <v>30</v>
      </c>
      <c r="E217" s="17">
        <v>75.819999999999993</v>
      </c>
      <c r="F217" s="17">
        <f>D217*E217</f>
        <v>2274.6</v>
      </c>
      <c r="G217" s="17">
        <v>0.65</v>
      </c>
      <c r="H217" s="17">
        <v>0.16</v>
      </c>
      <c r="I217" s="17"/>
      <c r="J217" s="17">
        <v>0.99</v>
      </c>
      <c r="K217" s="17">
        <f>SUM(F217:J217)</f>
        <v>2276.3999999999996</v>
      </c>
      <c r="L217" s="17"/>
      <c r="M217" s="17"/>
      <c r="N217" s="17"/>
      <c r="O217" s="17"/>
      <c r="P217" s="17"/>
      <c r="Q217" s="17">
        <f t="shared" si="83"/>
        <v>253.42000000000053</v>
      </c>
      <c r="R217" s="2"/>
    </row>
    <row r="218" spans="1:18" x14ac:dyDescent="0.25">
      <c r="A218" s="26">
        <v>43048</v>
      </c>
      <c r="B218" s="17">
        <v>2000</v>
      </c>
      <c r="D218" s="36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>
        <f t="shared" si="83"/>
        <v>2253.4200000000005</v>
      </c>
      <c r="R218" s="2"/>
    </row>
    <row r="219" spans="1:18" x14ac:dyDescent="0.25">
      <c r="A219" s="26">
        <v>43048</v>
      </c>
      <c r="B219" s="17"/>
      <c r="C219" s="7" t="s">
        <v>169</v>
      </c>
      <c r="D219" s="36">
        <v>10</v>
      </c>
      <c r="E219" s="17">
        <v>102.52</v>
      </c>
      <c r="F219" s="17">
        <f>D219*E219</f>
        <v>1025.2</v>
      </c>
      <c r="G219" s="17">
        <v>0.28000000000000003</v>
      </c>
      <c r="H219" s="17">
        <v>0.05</v>
      </c>
      <c r="I219" s="17"/>
      <c r="J219" s="17">
        <v>0</v>
      </c>
      <c r="K219" s="17">
        <f>SUM(F219:J219)</f>
        <v>1025.53</v>
      </c>
      <c r="L219" s="17"/>
      <c r="M219" s="17"/>
      <c r="N219" s="17"/>
      <c r="O219" s="17"/>
      <c r="P219" s="17"/>
      <c r="Q219" s="17">
        <f t="shared" si="83"/>
        <v>1227.8900000000006</v>
      </c>
      <c r="R219" s="2"/>
    </row>
    <row r="220" spans="1:18" x14ac:dyDescent="0.25">
      <c r="A220" s="26">
        <v>43049</v>
      </c>
      <c r="B220" s="17"/>
      <c r="C220" s="7" t="s">
        <v>173</v>
      </c>
      <c r="D220" s="36">
        <v>15</v>
      </c>
      <c r="E220" s="17">
        <v>76.5</v>
      </c>
      <c r="F220" s="17">
        <f>D220*E220</f>
        <v>1147.5</v>
      </c>
      <c r="G220" s="17">
        <v>0.31</v>
      </c>
      <c r="H220" s="17">
        <v>0.08</v>
      </c>
      <c r="I220" s="17"/>
      <c r="J220" s="17">
        <v>2.4900000000000002</v>
      </c>
      <c r="K220" s="17">
        <f>SUM(F220:J220)</f>
        <v>1150.3799999999999</v>
      </c>
      <c r="L220" s="17"/>
      <c r="M220" s="17"/>
      <c r="N220" s="17"/>
      <c r="O220" s="17"/>
      <c r="P220" s="17"/>
      <c r="Q220" s="17">
        <f t="shared" si="83"/>
        <v>77.510000000000673</v>
      </c>
      <c r="R220" s="2"/>
    </row>
    <row r="221" spans="1:18" x14ac:dyDescent="0.25">
      <c r="A221" s="26">
        <v>43053</v>
      </c>
      <c r="B221" s="17"/>
      <c r="C221" s="7" t="s">
        <v>88</v>
      </c>
      <c r="D221" s="36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>
        <v>98.26</v>
      </c>
      <c r="P221" s="17"/>
      <c r="Q221" s="17">
        <f t="shared" si="83"/>
        <v>175.77000000000066</v>
      </c>
      <c r="R221" s="2"/>
    </row>
    <row r="222" spans="1:18" x14ac:dyDescent="0.25">
      <c r="A222" s="26">
        <v>43055</v>
      </c>
      <c r="B222" s="17"/>
      <c r="C222" s="7" t="s">
        <v>173</v>
      </c>
      <c r="D222" s="36"/>
      <c r="E222" s="17"/>
      <c r="F222" s="17"/>
      <c r="G222" s="17"/>
      <c r="H222" s="17"/>
      <c r="I222" s="17"/>
      <c r="J222" s="17"/>
      <c r="K222" s="17"/>
      <c r="L222" s="17"/>
      <c r="M222" s="17"/>
      <c r="N222" s="17">
        <v>126.22</v>
      </c>
      <c r="O222" s="17"/>
      <c r="P222" s="17"/>
      <c r="Q222" s="17">
        <f t="shared" si="83"/>
        <v>301.99000000000069</v>
      </c>
      <c r="R222" s="2"/>
    </row>
    <row r="223" spans="1:18" x14ac:dyDescent="0.25">
      <c r="A223" s="26">
        <v>43059</v>
      </c>
      <c r="B223" s="17">
        <v>2000</v>
      </c>
      <c r="D223" s="36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>
        <f t="shared" ref="Q223" si="84">Q222+B223-K223-L223-M223+N223+O223+P223</f>
        <v>2301.9900000000007</v>
      </c>
      <c r="R223" s="2"/>
    </row>
    <row r="224" spans="1:18" x14ac:dyDescent="0.25">
      <c r="A224" s="26">
        <v>43062</v>
      </c>
      <c r="B224" s="17"/>
      <c r="C224" s="7" t="s">
        <v>171</v>
      </c>
      <c r="D224" s="36">
        <v>100</v>
      </c>
      <c r="E224" s="17">
        <v>16.57</v>
      </c>
      <c r="F224" s="17">
        <f>D224*E224</f>
        <v>1657</v>
      </c>
      <c r="G224" s="17">
        <v>0.31</v>
      </c>
      <c r="H224" s="17">
        <v>0.08</v>
      </c>
      <c r="I224" s="17"/>
      <c r="J224" s="17">
        <v>2.4900000000000002</v>
      </c>
      <c r="K224" s="17">
        <f>SUM(F224:J224)</f>
        <v>1659.8799999999999</v>
      </c>
      <c r="L224" s="17"/>
      <c r="M224" s="17"/>
      <c r="N224" s="17"/>
      <c r="O224" s="17"/>
      <c r="P224" s="17"/>
      <c r="Q224" s="17">
        <f t="shared" si="83"/>
        <v>642.11000000000081</v>
      </c>
      <c r="R224" s="2"/>
    </row>
    <row r="225" spans="1:19" x14ac:dyDescent="0.25">
      <c r="A225" s="26">
        <v>43066</v>
      </c>
      <c r="B225" s="17">
        <v>4000</v>
      </c>
      <c r="D225" s="36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>
        <f t="shared" si="83"/>
        <v>4642.1100000000006</v>
      </c>
      <c r="R225" s="2"/>
    </row>
    <row r="226" spans="1:19" x14ac:dyDescent="0.25">
      <c r="A226" s="26">
        <v>43066</v>
      </c>
      <c r="B226" s="17"/>
      <c r="C226" s="7" t="s">
        <v>173</v>
      </c>
      <c r="D226" s="36">
        <v>30</v>
      </c>
      <c r="E226" s="17">
        <v>78.03</v>
      </c>
      <c r="F226" s="17">
        <f>D226*E226</f>
        <v>2340.9</v>
      </c>
      <c r="G226" s="17">
        <v>0.31</v>
      </c>
      <c r="H226" s="17">
        <v>0.08</v>
      </c>
      <c r="I226" s="17"/>
      <c r="J226" s="17">
        <v>2.4900000000000002</v>
      </c>
      <c r="K226" s="17">
        <f>SUM(F226:J226)</f>
        <v>2343.7799999999997</v>
      </c>
      <c r="L226" s="17"/>
      <c r="M226" s="17"/>
      <c r="N226" s="17"/>
      <c r="O226" s="17"/>
      <c r="P226" s="17"/>
      <c r="Q226" s="17">
        <f t="shared" si="83"/>
        <v>2298.3300000000008</v>
      </c>
      <c r="R226" s="2"/>
    </row>
    <row r="227" spans="1:19" x14ac:dyDescent="0.25">
      <c r="A227" s="26">
        <v>43066</v>
      </c>
      <c r="B227" s="17"/>
      <c r="C227" s="7" t="s">
        <v>169</v>
      </c>
      <c r="D227" s="36">
        <v>10</v>
      </c>
      <c r="E227" s="17">
        <v>101.1</v>
      </c>
      <c r="F227" s="17">
        <f>D227*E227</f>
        <v>1011</v>
      </c>
      <c r="G227" s="17">
        <v>0.28000000000000003</v>
      </c>
      <c r="H227" s="17">
        <v>0.05</v>
      </c>
      <c r="I227" s="17"/>
      <c r="J227" s="17">
        <v>0</v>
      </c>
      <c r="K227" s="17">
        <f>SUM(F227:J227)</f>
        <v>1011.3299999999999</v>
      </c>
      <c r="L227" s="17"/>
      <c r="M227" s="17"/>
      <c r="N227" s="17"/>
      <c r="O227" s="17"/>
      <c r="P227" s="17"/>
      <c r="Q227" s="17">
        <f t="shared" si="83"/>
        <v>1287.0000000000009</v>
      </c>
      <c r="R227" s="2"/>
    </row>
    <row r="228" spans="1:19" x14ac:dyDescent="0.25">
      <c r="A228" s="26">
        <v>43068</v>
      </c>
      <c r="B228" s="17"/>
      <c r="C228" s="7" t="s">
        <v>17</v>
      </c>
      <c r="D228" s="36">
        <v>300</v>
      </c>
      <c r="E228" s="17">
        <v>6.57</v>
      </c>
      <c r="F228" s="17">
        <f>D228*E228</f>
        <v>1971</v>
      </c>
      <c r="G228" s="17">
        <v>0</v>
      </c>
      <c r="H228" s="17">
        <v>0</v>
      </c>
      <c r="I228" s="17"/>
      <c r="J228" s="17">
        <v>0</v>
      </c>
      <c r="K228" s="17">
        <f>SUM(F228:J228)</f>
        <v>1971</v>
      </c>
      <c r="L228" s="17"/>
      <c r="M228" s="17"/>
      <c r="N228" s="17"/>
      <c r="O228" s="17"/>
      <c r="P228" s="17"/>
      <c r="Q228" s="17">
        <f t="shared" si="83"/>
        <v>-683.99999999999909</v>
      </c>
      <c r="R228" s="2"/>
    </row>
    <row r="229" spans="1:19" x14ac:dyDescent="0.25">
      <c r="A229" s="26">
        <v>43068</v>
      </c>
      <c r="B229" s="17"/>
      <c r="C229" s="7" t="s">
        <v>170</v>
      </c>
      <c r="D229" s="36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>
        <v>56.13</v>
      </c>
      <c r="P229" s="17">
        <v>51.5</v>
      </c>
      <c r="Q229" s="17">
        <f t="shared" si="83"/>
        <v>-576.3699999999991</v>
      </c>
      <c r="R229" s="2"/>
      <c r="S229" s="20"/>
    </row>
    <row r="230" spans="1:19" x14ac:dyDescent="0.25">
      <c r="A230" s="26">
        <v>43068</v>
      </c>
      <c r="B230" s="17">
        <v>1000</v>
      </c>
      <c r="D230" s="36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>
        <f t="shared" si="83"/>
        <v>423.6300000000009</v>
      </c>
      <c r="R230" s="2"/>
    </row>
    <row r="231" spans="1:19" x14ac:dyDescent="0.25">
      <c r="A231" s="26">
        <v>43069</v>
      </c>
      <c r="B231" s="17"/>
      <c r="C231" s="7" t="s">
        <v>5</v>
      </c>
      <c r="D231" s="36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>
        <v>18.98</v>
      </c>
      <c r="Q231" s="17">
        <f t="shared" ref="Q231" si="85">Q230+B231-K231-L231-M231+N231+O231+P231</f>
        <v>442.61000000000092</v>
      </c>
      <c r="R231" s="2"/>
    </row>
    <row r="232" spans="1:19" x14ac:dyDescent="0.25">
      <c r="A232" s="26">
        <v>43073</v>
      </c>
      <c r="B232" s="17">
        <v>2000</v>
      </c>
      <c r="D232" s="36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>
        <f t="shared" ref="Q232:Q236" si="86">Q231+B232-K232-L232-M232+N232+O232+P232</f>
        <v>2442.610000000001</v>
      </c>
      <c r="R232" s="2"/>
    </row>
    <row r="233" spans="1:19" x14ac:dyDescent="0.25">
      <c r="A233" s="26">
        <v>43073</v>
      </c>
      <c r="B233" s="17"/>
      <c r="C233" s="7" t="s">
        <v>169</v>
      </c>
      <c r="D233" s="36">
        <v>10</v>
      </c>
      <c r="E233" s="17">
        <v>99.3</v>
      </c>
      <c r="F233" s="17">
        <f>D233*E233</f>
        <v>993</v>
      </c>
      <c r="G233" s="17">
        <v>0.28000000000000003</v>
      </c>
      <c r="H233" s="17">
        <v>0.05</v>
      </c>
      <c r="I233" s="17"/>
      <c r="J233" s="17">
        <v>0</v>
      </c>
      <c r="K233" s="17">
        <f>SUM(F233:J233)</f>
        <v>993.32999999999993</v>
      </c>
      <c r="L233" s="17"/>
      <c r="M233" s="17"/>
      <c r="N233" s="17"/>
      <c r="O233" s="17"/>
      <c r="P233" s="17"/>
      <c r="Q233" s="17">
        <f t="shared" si="86"/>
        <v>1449.2800000000011</v>
      </c>
      <c r="R233" s="2"/>
    </row>
    <row r="234" spans="1:19" x14ac:dyDescent="0.25">
      <c r="A234" s="26">
        <v>43075</v>
      </c>
      <c r="B234" s="17"/>
      <c r="C234" s="7" t="s">
        <v>173</v>
      </c>
      <c r="D234" s="36">
        <v>15</v>
      </c>
      <c r="E234" s="17">
        <v>78.95</v>
      </c>
      <c r="F234" s="17">
        <f>D234*E234</f>
        <v>1184.25</v>
      </c>
      <c r="G234" s="17">
        <v>0.28000000000000003</v>
      </c>
      <c r="H234" s="17">
        <v>0.05</v>
      </c>
      <c r="I234" s="17"/>
      <c r="J234" s="17">
        <v>0</v>
      </c>
      <c r="K234" s="17">
        <f>SUM(F234:J234)</f>
        <v>1184.58</v>
      </c>
      <c r="L234" s="17"/>
      <c r="M234" s="17"/>
      <c r="N234" s="17"/>
      <c r="O234" s="17"/>
      <c r="P234" s="17"/>
      <c r="Q234" s="17">
        <f t="shared" si="86"/>
        <v>264.70000000000118</v>
      </c>
      <c r="R234" s="2"/>
    </row>
    <row r="235" spans="1:19" x14ac:dyDescent="0.25">
      <c r="A235" s="26">
        <v>43075</v>
      </c>
      <c r="B235" s="17">
        <v>3000</v>
      </c>
      <c r="D235" s="36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>
        <f t="shared" si="86"/>
        <v>3264.7000000000012</v>
      </c>
      <c r="R235" s="2"/>
    </row>
    <row r="236" spans="1:19" x14ac:dyDescent="0.25">
      <c r="A236" s="26">
        <v>43075</v>
      </c>
      <c r="B236" s="17"/>
      <c r="C236" s="7" t="s">
        <v>171</v>
      </c>
      <c r="D236" s="36">
        <v>100</v>
      </c>
      <c r="E236" s="17">
        <v>15.91</v>
      </c>
      <c r="F236" s="17">
        <f>D236*E236</f>
        <v>1591</v>
      </c>
      <c r="G236" s="17">
        <v>0.31</v>
      </c>
      <c r="H236" s="17">
        <v>0.08</v>
      </c>
      <c r="I236" s="17"/>
      <c r="J236" s="17">
        <v>2.4900000000000002</v>
      </c>
      <c r="K236" s="17">
        <f>SUM(F236:J236)</f>
        <v>1593.8799999999999</v>
      </c>
      <c r="L236" s="17"/>
      <c r="M236" s="17"/>
      <c r="N236" s="17"/>
      <c r="O236" s="17"/>
      <c r="P236" s="17"/>
      <c r="Q236" s="17">
        <f t="shared" si="86"/>
        <v>1670.8200000000013</v>
      </c>
      <c r="R236" s="2"/>
    </row>
    <row r="237" spans="1:19" x14ac:dyDescent="0.25">
      <c r="A237" s="26">
        <v>43075</v>
      </c>
      <c r="B237" s="17"/>
      <c r="C237" s="7" t="s">
        <v>92</v>
      </c>
      <c r="D237" s="36"/>
      <c r="E237" s="17"/>
      <c r="F237" s="17"/>
      <c r="G237" s="17"/>
      <c r="H237" s="17"/>
      <c r="I237" s="17"/>
      <c r="J237" s="17"/>
      <c r="K237" s="17">
        <v>227.45</v>
      </c>
      <c r="L237" s="17"/>
      <c r="M237" s="17"/>
      <c r="N237" s="17"/>
      <c r="O237" s="17"/>
      <c r="P237" s="17"/>
      <c r="Q237" s="17">
        <f t="shared" ref="Q237" si="87">Q236+B237-K237-L237-M237+N237+O237+P237</f>
        <v>1443.3700000000013</v>
      </c>
      <c r="R237" s="2"/>
    </row>
    <row r="238" spans="1:19" x14ac:dyDescent="0.25">
      <c r="A238" s="26">
        <v>43080</v>
      </c>
      <c r="B238" s="17">
        <v>2000</v>
      </c>
      <c r="D238" s="36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>
        <f t="shared" ref="Q238:Q285" si="88">Q237+B238-K238-L238-M238+N238+O238+P238</f>
        <v>3443.3700000000013</v>
      </c>
      <c r="R238" s="2"/>
    </row>
    <row r="239" spans="1:19" x14ac:dyDescent="0.25">
      <c r="A239" s="26">
        <v>43080</v>
      </c>
      <c r="B239" s="17"/>
      <c r="C239" s="7" t="s">
        <v>171</v>
      </c>
      <c r="D239" s="36">
        <v>100</v>
      </c>
      <c r="E239" s="17">
        <v>15.76</v>
      </c>
      <c r="F239" s="17">
        <f>D239*E239</f>
        <v>1576</v>
      </c>
      <c r="G239" s="17">
        <v>0.31</v>
      </c>
      <c r="H239" s="17">
        <v>0.08</v>
      </c>
      <c r="I239" s="17"/>
      <c r="J239" s="17">
        <v>2.4900000000000002</v>
      </c>
      <c r="K239" s="17">
        <f>SUM(F239:J239)</f>
        <v>1578.8799999999999</v>
      </c>
      <c r="L239" s="17"/>
      <c r="M239" s="17"/>
      <c r="N239" s="17"/>
      <c r="O239" s="17"/>
      <c r="P239" s="17"/>
      <c r="Q239" s="17">
        <f t="shared" si="88"/>
        <v>1864.4900000000014</v>
      </c>
      <c r="R239" s="2"/>
    </row>
    <row r="240" spans="1:19" x14ac:dyDescent="0.25">
      <c r="A240" s="26">
        <v>43080</v>
      </c>
      <c r="B240" s="17"/>
      <c r="C240" s="7" t="s">
        <v>173</v>
      </c>
      <c r="D240" s="36">
        <v>15</v>
      </c>
      <c r="E240" s="17">
        <v>77.709999999999994</v>
      </c>
      <c r="F240" s="17">
        <f>D240*E240</f>
        <v>1165.6499999999999</v>
      </c>
      <c r="G240" s="17">
        <v>0.28000000000000003</v>
      </c>
      <c r="H240" s="17">
        <v>0.05</v>
      </c>
      <c r="I240" s="17"/>
      <c r="J240" s="17">
        <v>0</v>
      </c>
      <c r="K240" s="17">
        <f>SUM(F240:J240)</f>
        <v>1165.9799999999998</v>
      </c>
      <c r="L240" s="17"/>
      <c r="M240" s="17"/>
      <c r="N240" s="17"/>
      <c r="O240" s="17"/>
      <c r="P240" s="17"/>
      <c r="Q240" s="17">
        <f t="shared" si="88"/>
        <v>698.51000000000158</v>
      </c>
      <c r="R240" s="2"/>
    </row>
    <row r="241" spans="1:19" x14ac:dyDescent="0.25">
      <c r="A241" s="26">
        <v>43082</v>
      </c>
      <c r="B241" s="17"/>
      <c r="C241" s="7" t="s">
        <v>96</v>
      </c>
      <c r="D241" s="36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>
        <v>81.61</v>
      </c>
      <c r="P241" s="17"/>
      <c r="Q241" s="17">
        <f t="shared" si="88"/>
        <v>780.1200000000016</v>
      </c>
      <c r="R241" s="2"/>
    </row>
    <row r="242" spans="1:19" x14ac:dyDescent="0.25">
      <c r="A242" s="26">
        <v>43083</v>
      </c>
      <c r="B242" s="17"/>
      <c r="C242" s="7" t="s">
        <v>173</v>
      </c>
      <c r="D242" s="36"/>
      <c r="E242" s="17"/>
      <c r="F242" s="17"/>
      <c r="G242" s="17"/>
      <c r="H242" s="17"/>
      <c r="I242" s="17"/>
      <c r="J242" s="17"/>
      <c r="K242" s="17"/>
      <c r="L242" s="17"/>
      <c r="M242" s="17"/>
      <c r="N242" s="17">
        <v>155.91999999999999</v>
      </c>
      <c r="O242" s="17"/>
      <c r="P242" s="17"/>
      <c r="Q242" s="17">
        <f t="shared" si="88"/>
        <v>936.04000000000156</v>
      </c>
      <c r="R242" s="2"/>
      <c r="S242" s="20"/>
    </row>
    <row r="243" spans="1:19" x14ac:dyDescent="0.25">
      <c r="A243" s="26">
        <v>43083</v>
      </c>
      <c r="B243" s="17"/>
      <c r="C243" s="7" t="s">
        <v>169</v>
      </c>
      <c r="D243" s="36"/>
      <c r="E243" s="17"/>
      <c r="F243" s="17"/>
      <c r="G243" s="17"/>
      <c r="H243" s="17"/>
      <c r="I243" s="17"/>
      <c r="J243" s="17"/>
      <c r="K243" s="17"/>
      <c r="L243" s="17"/>
      <c r="M243" s="17"/>
      <c r="N243" s="17">
        <v>12.2</v>
      </c>
      <c r="O243" s="17"/>
      <c r="P243" s="17"/>
      <c r="Q243" s="17">
        <f t="shared" si="88"/>
        <v>948.2400000000016</v>
      </c>
      <c r="R243" s="2"/>
    </row>
    <row r="244" spans="1:19" x14ac:dyDescent="0.25">
      <c r="A244" s="26">
        <v>43086</v>
      </c>
      <c r="B244" s="17"/>
      <c r="C244" s="7" t="s">
        <v>170</v>
      </c>
      <c r="D244" s="36">
        <v>40</v>
      </c>
      <c r="E244" s="17">
        <v>20.91</v>
      </c>
      <c r="F244" s="17">
        <f>D244*E244</f>
        <v>836.4</v>
      </c>
      <c r="G244" s="17">
        <v>0.28000000000000003</v>
      </c>
      <c r="H244" s="17">
        <v>0.05</v>
      </c>
      <c r="I244" s="17"/>
      <c r="J244" s="17">
        <v>0</v>
      </c>
      <c r="K244" s="17">
        <f>SUM(F244:J244)</f>
        <v>836.7299999999999</v>
      </c>
      <c r="L244" s="17"/>
      <c r="M244" s="17"/>
      <c r="N244" s="17"/>
      <c r="O244" s="17"/>
      <c r="P244" s="17"/>
      <c r="Q244" s="17">
        <f t="shared" si="88"/>
        <v>111.5100000000017</v>
      </c>
      <c r="R244" s="2"/>
    </row>
    <row r="245" spans="1:19" x14ac:dyDescent="0.25">
      <c r="A245" s="26">
        <v>43095</v>
      </c>
      <c r="B245" s="17">
        <v>1000</v>
      </c>
      <c r="D245" s="36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>
        <f t="shared" si="88"/>
        <v>1111.5100000000016</v>
      </c>
      <c r="R245" s="2"/>
    </row>
    <row r="246" spans="1:19" x14ac:dyDescent="0.25">
      <c r="A246" s="26">
        <v>43095</v>
      </c>
      <c r="B246" s="17"/>
      <c r="C246" s="7" t="s">
        <v>169</v>
      </c>
      <c r="D246" s="36">
        <v>10</v>
      </c>
      <c r="E246" s="17">
        <v>101.98</v>
      </c>
      <c r="F246" s="17">
        <f>D246*E246</f>
        <v>1019.8000000000001</v>
      </c>
      <c r="G246" s="17">
        <v>0.28000000000000003</v>
      </c>
      <c r="H246" s="17">
        <v>0.05</v>
      </c>
      <c r="I246" s="17"/>
      <c r="J246" s="17">
        <v>0</v>
      </c>
      <c r="K246" s="17">
        <f>SUM(F246:J246)</f>
        <v>1020.13</v>
      </c>
      <c r="L246" s="17"/>
      <c r="M246" s="17"/>
      <c r="N246" s="17"/>
      <c r="O246" s="17"/>
      <c r="P246" s="17"/>
      <c r="Q246" s="17">
        <f t="shared" si="88"/>
        <v>91.380000000001587</v>
      </c>
      <c r="R246" s="2"/>
    </row>
    <row r="247" spans="1:19" x14ac:dyDescent="0.25">
      <c r="A247" s="26">
        <v>43097</v>
      </c>
      <c r="B247" s="17"/>
      <c r="C247" s="7" t="s">
        <v>5</v>
      </c>
      <c r="D247" s="36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>
        <v>7.02</v>
      </c>
      <c r="Q247" s="17">
        <f t="shared" si="88"/>
        <v>98.400000000001583</v>
      </c>
      <c r="R247" s="2"/>
    </row>
    <row r="248" spans="1:19" x14ac:dyDescent="0.25">
      <c r="A248" s="26">
        <v>43097</v>
      </c>
      <c r="B248" s="17"/>
      <c r="C248" s="7" t="s">
        <v>17</v>
      </c>
      <c r="D248" s="36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>
        <v>231.03</v>
      </c>
      <c r="Q248" s="17">
        <f t="shared" si="88"/>
        <v>329.4300000000016</v>
      </c>
      <c r="R248" s="2"/>
    </row>
    <row r="249" spans="1:19" x14ac:dyDescent="0.25">
      <c r="A249" s="26">
        <v>43097</v>
      </c>
      <c r="B249" s="17"/>
      <c r="C249" s="7" t="s">
        <v>170</v>
      </c>
      <c r="D249" s="36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>
        <v>109.13</v>
      </c>
      <c r="Q249" s="17">
        <f t="shared" si="88"/>
        <v>438.56000000000159</v>
      </c>
      <c r="R249" s="2"/>
    </row>
    <row r="250" spans="1:19" x14ac:dyDescent="0.25">
      <c r="A250" s="26">
        <v>43102</v>
      </c>
      <c r="B250" s="17"/>
      <c r="C250" s="7" t="s">
        <v>85</v>
      </c>
      <c r="D250" s="36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>
        <v>30.33</v>
      </c>
      <c r="P250" s="17"/>
      <c r="Q250" s="17">
        <f t="shared" si="88"/>
        <v>468.89000000000158</v>
      </c>
      <c r="R250" s="2"/>
    </row>
    <row r="251" spans="1:19" x14ac:dyDescent="0.25">
      <c r="A251" s="26">
        <v>43102</v>
      </c>
      <c r="B251" s="17"/>
      <c r="C251" s="7" t="s">
        <v>92</v>
      </c>
      <c r="D251" s="36"/>
      <c r="E251" s="17"/>
      <c r="F251" s="17"/>
      <c r="G251" s="17"/>
      <c r="H251" s="17"/>
      <c r="I251" s="17"/>
      <c r="J251" s="17"/>
      <c r="K251" s="17"/>
      <c r="L251" s="17">
        <v>14.33</v>
      </c>
      <c r="M251" s="17"/>
      <c r="N251" s="17"/>
      <c r="O251" s="17"/>
      <c r="P251" s="17"/>
      <c r="Q251" s="17">
        <f t="shared" si="88"/>
        <v>454.56000000000159</v>
      </c>
      <c r="R251" s="2"/>
    </row>
    <row r="252" spans="1:19" x14ac:dyDescent="0.25">
      <c r="A252" s="26">
        <v>43102</v>
      </c>
      <c r="B252" s="17">
        <v>2000</v>
      </c>
      <c r="D252" s="36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>
        <f t="shared" si="88"/>
        <v>2454.5600000000018</v>
      </c>
      <c r="R252" s="2"/>
    </row>
    <row r="253" spans="1:19" x14ac:dyDescent="0.25">
      <c r="A253" s="26">
        <v>43104</v>
      </c>
      <c r="B253" s="17"/>
      <c r="C253" s="7" t="s">
        <v>173</v>
      </c>
      <c r="D253" s="36">
        <v>30</v>
      </c>
      <c r="E253" s="17">
        <v>79.05</v>
      </c>
      <c r="F253" s="17">
        <f>D253*E253</f>
        <v>2371.5</v>
      </c>
      <c r="G253" s="17">
        <v>0.28000000000000003</v>
      </c>
      <c r="H253" s="17">
        <v>0.05</v>
      </c>
      <c r="I253" s="17"/>
      <c r="J253" s="17">
        <v>0</v>
      </c>
      <c r="K253" s="17">
        <f>SUM(F253:J253)</f>
        <v>2371.8300000000004</v>
      </c>
      <c r="L253" s="17"/>
      <c r="M253" s="17"/>
      <c r="N253" s="17"/>
      <c r="O253" s="17"/>
      <c r="P253" s="17"/>
      <c r="Q253" s="17">
        <f t="shared" si="88"/>
        <v>82.730000000001382</v>
      </c>
      <c r="R253" s="2"/>
    </row>
    <row r="254" spans="1:19" x14ac:dyDescent="0.25">
      <c r="A254" s="26">
        <v>43095</v>
      </c>
      <c r="B254" s="17">
        <v>3000</v>
      </c>
      <c r="D254" s="36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>
        <f t="shared" ref="Q254" si="89">Q253+B254-K254-L254-M254+N254+O254+P254</f>
        <v>3082.7300000000014</v>
      </c>
      <c r="R254" s="2"/>
    </row>
    <row r="255" spans="1:19" x14ac:dyDescent="0.25">
      <c r="A255" s="26">
        <v>43115</v>
      </c>
      <c r="B255" s="17"/>
      <c r="C255" s="7" t="s">
        <v>169</v>
      </c>
      <c r="D255" s="36"/>
      <c r="E255" s="17"/>
      <c r="F255" s="17"/>
      <c r="G255" s="17"/>
      <c r="H255" s="17"/>
      <c r="I255" s="17"/>
      <c r="J255" s="17"/>
      <c r="K255" s="17"/>
      <c r="L255" s="17"/>
      <c r="M255" s="17"/>
      <c r="N255" s="17">
        <v>24.4</v>
      </c>
      <c r="O255" s="17"/>
      <c r="P255" s="17"/>
      <c r="Q255" s="17">
        <f t="shared" si="88"/>
        <v>3107.1300000000015</v>
      </c>
      <c r="R255" s="2"/>
    </row>
    <row r="256" spans="1:19" x14ac:dyDescent="0.25">
      <c r="A256" s="26">
        <v>43115</v>
      </c>
      <c r="B256" s="17"/>
      <c r="C256" s="7" t="s">
        <v>173</v>
      </c>
      <c r="D256" s="36"/>
      <c r="E256" s="17"/>
      <c r="F256" s="17"/>
      <c r="G256" s="17"/>
      <c r="H256" s="17"/>
      <c r="I256" s="17"/>
      <c r="J256" s="17"/>
      <c r="K256" s="17"/>
      <c r="L256" s="17"/>
      <c r="M256" s="17"/>
      <c r="N256" s="17">
        <v>183.18</v>
      </c>
      <c r="O256" s="17"/>
      <c r="P256" s="17"/>
      <c r="Q256" s="17">
        <f t="shared" si="88"/>
        <v>3290.3100000000013</v>
      </c>
      <c r="R256" s="2"/>
    </row>
    <row r="257" spans="1:19" x14ac:dyDescent="0.25">
      <c r="A257" s="26">
        <v>43123</v>
      </c>
      <c r="B257" s="17"/>
      <c r="C257" s="7" t="s">
        <v>170</v>
      </c>
      <c r="D257" s="36">
        <v>100</v>
      </c>
      <c r="E257" s="17">
        <v>20.32</v>
      </c>
      <c r="F257" s="17">
        <f>D257*E257</f>
        <v>2032</v>
      </c>
      <c r="G257" s="17">
        <v>0.28000000000000003</v>
      </c>
      <c r="H257" s="17">
        <v>0.05</v>
      </c>
      <c r="I257" s="17"/>
      <c r="J257" s="17">
        <v>0</v>
      </c>
      <c r="K257" s="17">
        <f>SUM(F257:J257)</f>
        <v>2032.33</v>
      </c>
      <c r="L257" s="17"/>
      <c r="M257" s="17"/>
      <c r="N257" s="17"/>
      <c r="O257" s="17"/>
      <c r="P257" s="17"/>
      <c r="Q257" s="17">
        <f t="shared" si="88"/>
        <v>1257.9800000000014</v>
      </c>
      <c r="R257" s="2"/>
    </row>
    <row r="258" spans="1:19" x14ac:dyDescent="0.25">
      <c r="A258" s="26">
        <v>43129</v>
      </c>
      <c r="B258" s="17"/>
      <c r="C258" s="7" t="s">
        <v>173</v>
      </c>
      <c r="D258" s="36">
        <v>15</v>
      </c>
      <c r="E258" s="17">
        <v>80.8</v>
      </c>
      <c r="F258" s="17">
        <f>D258*E258</f>
        <v>1212</v>
      </c>
      <c r="G258" s="17">
        <v>0.28000000000000003</v>
      </c>
      <c r="H258" s="17">
        <v>0.05</v>
      </c>
      <c r="I258" s="17"/>
      <c r="J258" s="17">
        <v>0</v>
      </c>
      <c r="K258" s="17">
        <f>SUM(F258:J258)</f>
        <v>1212.33</v>
      </c>
      <c r="L258" s="17"/>
      <c r="M258" s="17"/>
      <c r="N258" s="17"/>
      <c r="O258" s="17"/>
      <c r="P258" s="17"/>
      <c r="Q258" s="17">
        <f t="shared" si="88"/>
        <v>45.650000000001455</v>
      </c>
      <c r="R258" s="2"/>
    </row>
    <row r="259" spans="1:19" x14ac:dyDescent="0.25">
      <c r="A259" s="26">
        <v>43132</v>
      </c>
      <c r="B259" s="17">
        <v>1000</v>
      </c>
      <c r="D259" s="36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>
        <f t="shared" si="88"/>
        <v>1045.6500000000015</v>
      </c>
      <c r="R259" s="2"/>
    </row>
    <row r="260" spans="1:19" x14ac:dyDescent="0.25">
      <c r="A260" s="26">
        <v>43137</v>
      </c>
      <c r="B260" s="17"/>
      <c r="C260" s="7" t="s">
        <v>88</v>
      </c>
      <c r="D260" s="36">
        <v>300</v>
      </c>
      <c r="E260" s="17">
        <v>3.18</v>
      </c>
      <c r="F260" s="17">
        <f>D260*E260</f>
        <v>954</v>
      </c>
      <c r="G260" s="17">
        <v>0.28000000000000003</v>
      </c>
      <c r="H260" s="17">
        <v>0.05</v>
      </c>
      <c r="I260" s="17"/>
      <c r="J260" s="17">
        <v>0</v>
      </c>
      <c r="K260" s="17">
        <f>SUM(F260:J260)</f>
        <v>954.32999999999993</v>
      </c>
      <c r="L260" s="17"/>
      <c r="M260" s="17"/>
      <c r="N260" s="17"/>
      <c r="O260" s="17"/>
      <c r="P260" s="17"/>
      <c r="Q260" s="17">
        <f t="shared" si="88"/>
        <v>91.320000000001528</v>
      </c>
      <c r="R260" s="2"/>
    </row>
    <row r="261" spans="1:19" x14ac:dyDescent="0.25">
      <c r="A261" s="26">
        <v>43138</v>
      </c>
      <c r="B261" s="17">
        <v>3000</v>
      </c>
      <c r="D261" s="36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>
        <f t="shared" si="88"/>
        <v>3091.3200000000015</v>
      </c>
      <c r="R261" s="2"/>
    </row>
    <row r="262" spans="1:19" x14ac:dyDescent="0.25">
      <c r="A262" s="26">
        <v>43138</v>
      </c>
      <c r="B262" s="17"/>
      <c r="C262" s="7" t="s">
        <v>169</v>
      </c>
      <c r="D262" s="36">
        <v>10</v>
      </c>
      <c r="E262" s="17">
        <v>109.89</v>
      </c>
      <c r="F262" s="17">
        <f>D262*E262</f>
        <v>1098.9000000000001</v>
      </c>
      <c r="G262" s="17">
        <v>0.28000000000000003</v>
      </c>
      <c r="H262" s="17">
        <v>0.05</v>
      </c>
      <c r="I262" s="17"/>
      <c r="J262" s="17">
        <v>0</v>
      </c>
      <c r="K262" s="17">
        <f>SUM(F262:J262)</f>
        <v>1099.23</v>
      </c>
      <c r="L262" s="17"/>
      <c r="M262" s="17"/>
      <c r="N262" s="17"/>
      <c r="O262" s="17"/>
      <c r="P262" s="17"/>
      <c r="Q262" s="17">
        <f t="shared" si="88"/>
        <v>1992.0900000000015</v>
      </c>
      <c r="R262" s="2"/>
      <c r="S262" s="20"/>
    </row>
    <row r="263" spans="1:19" x14ac:dyDescent="0.25">
      <c r="A263" s="26">
        <v>43140</v>
      </c>
      <c r="B263" s="17"/>
      <c r="C263" s="7" t="s">
        <v>171</v>
      </c>
      <c r="D263" s="36">
        <v>10</v>
      </c>
      <c r="E263" s="17">
        <v>12.46</v>
      </c>
      <c r="F263" s="17">
        <f>D263*E263</f>
        <v>124.60000000000001</v>
      </c>
      <c r="G263" s="17">
        <v>0.28000000000000003</v>
      </c>
      <c r="H263" s="17">
        <v>0.05</v>
      </c>
      <c r="I263" s="17"/>
      <c r="J263" s="17">
        <v>0</v>
      </c>
      <c r="K263" s="17">
        <f>SUM(F263:J263)</f>
        <v>124.93</v>
      </c>
      <c r="L263" s="17"/>
      <c r="M263" s="17"/>
      <c r="N263" s="17"/>
      <c r="O263" s="17"/>
      <c r="P263" s="17"/>
      <c r="Q263" s="17">
        <f t="shared" si="88"/>
        <v>1867.1600000000014</v>
      </c>
      <c r="R263" s="2"/>
      <c r="S263" s="20"/>
    </row>
    <row r="264" spans="1:19" x14ac:dyDescent="0.25">
      <c r="A264" s="26">
        <v>43140</v>
      </c>
      <c r="B264" s="17"/>
      <c r="C264" s="7" t="s">
        <v>171</v>
      </c>
      <c r="D264" s="36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>
        <v>135.66</v>
      </c>
      <c r="Q264" s="17">
        <f t="shared" si="88"/>
        <v>2002.8200000000015</v>
      </c>
      <c r="R264" s="2"/>
    </row>
    <row r="265" spans="1:19" x14ac:dyDescent="0.25">
      <c r="A265" s="26">
        <v>43147</v>
      </c>
      <c r="B265" s="17"/>
      <c r="C265" s="7" t="s">
        <v>92</v>
      </c>
      <c r="D265" s="36"/>
      <c r="E265" s="17"/>
      <c r="F265" s="17"/>
      <c r="G265" s="17"/>
      <c r="H265" s="17"/>
      <c r="I265" s="17"/>
      <c r="J265" s="17"/>
      <c r="K265" s="17"/>
      <c r="L265" s="17"/>
      <c r="M265" s="17"/>
      <c r="N265" s="17">
        <v>354.23</v>
      </c>
      <c r="O265" s="17"/>
      <c r="P265" s="17"/>
      <c r="Q265" s="17">
        <f t="shared" si="88"/>
        <v>2357.0500000000015</v>
      </c>
      <c r="R265" s="2"/>
    </row>
    <row r="266" spans="1:19" x14ac:dyDescent="0.25">
      <c r="A266" s="26">
        <v>43147</v>
      </c>
      <c r="B266" s="17"/>
      <c r="C266" s="7" t="s">
        <v>173</v>
      </c>
      <c r="D266" s="36"/>
      <c r="E266" s="17"/>
      <c r="F266" s="17"/>
      <c r="G266" s="17"/>
      <c r="H266" s="17"/>
      <c r="I266" s="17"/>
      <c r="J266" s="17"/>
      <c r="K266" s="17"/>
      <c r="L266" s="17"/>
      <c r="M266" s="17"/>
      <c r="N266" s="17">
        <v>185.62</v>
      </c>
      <c r="O266" s="17"/>
      <c r="P266" s="17"/>
      <c r="Q266" s="17">
        <f t="shared" si="88"/>
        <v>2542.6700000000014</v>
      </c>
      <c r="R266" s="2"/>
    </row>
    <row r="267" spans="1:19" x14ac:dyDescent="0.25">
      <c r="A267" s="26">
        <v>43147</v>
      </c>
      <c r="B267" s="17"/>
      <c r="C267" s="7" t="s">
        <v>169</v>
      </c>
      <c r="D267" s="36"/>
      <c r="E267" s="17"/>
      <c r="F267" s="17"/>
      <c r="G267" s="17"/>
      <c r="H267" s="17"/>
      <c r="I267" s="17"/>
      <c r="J267" s="17"/>
      <c r="K267" s="17"/>
      <c r="L267" s="17"/>
      <c r="M267" s="17"/>
      <c r="N267" s="17">
        <v>24.4</v>
      </c>
      <c r="O267" s="17"/>
      <c r="P267" s="17"/>
      <c r="Q267" s="17">
        <f t="shared" si="88"/>
        <v>2567.0700000000015</v>
      </c>
      <c r="R267" s="2"/>
    </row>
    <row r="268" spans="1:19" x14ac:dyDescent="0.25">
      <c r="A268" s="26">
        <v>43147</v>
      </c>
      <c r="B268" s="17"/>
      <c r="C268" s="7" t="s">
        <v>173</v>
      </c>
      <c r="D268" s="36">
        <v>15</v>
      </c>
      <c r="E268" s="17">
        <v>84.94</v>
      </c>
      <c r="F268" s="17">
        <f>D268*E268</f>
        <v>1274.0999999999999</v>
      </c>
      <c r="G268" s="17">
        <v>0.28000000000000003</v>
      </c>
      <c r="H268" s="17">
        <v>0.05</v>
      </c>
      <c r="I268" s="17"/>
      <c r="J268" s="17">
        <v>0</v>
      </c>
      <c r="K268" s="17">
        <f>SUM(F268:J268)</f>
        <v>1274.4299999999998</v>
      </c>
      <c r="L268" s="17"/>
      <c r="M268" s="17"/>
      <c r="N268" s="17"/>
      <c r="O268" s="17"/>
      <c r="P268" s="17"/>
      <c r="Q268" s="17">
        <f t="shared" si="88"/>
        <v>1292.6400000000017</v>
      </c>
      <c r="R268" s="2"/>
    </row>
    <row r="269" spans="1:19" x14ac:dyDescent="0.25">
      <c r="A269" s="26">
        <v>43150</v>
      </c>
      <c r="B269" s="17"/>
      <c r="C269" s="7" t="s">
        <v>88</v>
      </c>
      <c r="D269" s="36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>
        <v>107.36</v>
      </c>
      <c r="P269" s="17"/>
      <c r="Q269" s="17">
        <f t="shared" si="88"/>
        <v>1400.0000000000016</v>
      </c>
      <c r="R269" s="2"/>
    </row>
    <row r="270" spans="1:19" x14ac:dyDescent="0.25">
      <c r="A270" s="26">
        <v>43153</v>
      </c>
      <c r="B270" s="17"/>
      <c r="C270" s="7" t="s">
        <v>173</v>
      </c>
      <c r="D270" s="36">
        <v>15</v>
      </c>
      <c r="E270" s="17">
        <v>84.99</v>
      </c>
      <c r="F270" s="17">
        <f>D270*E270</f>
        <v>1274.8499999999999</v>
      </c>
      <c r="G270" s="17">
        <v>0.28000000000000003</v>
      </c>
      <c r="H270" s="17">
        <v>0.05</v>
      </c>
      <c r="I270" s="17"/>
      <c r="J270" s="17">
        <v>0</v>
      </c>
      <c r="K270" s="17">
        <f>SUM(F270:J270)</f>
        <v>1275.1799999999998</v>
      </c>
      <c r="L270" s="17"/>
      <c r="M270" s="17"/>
      <c r="N270" s="17"/>
      <c r="O270" s="17"/>
      <c r="P270" s="17"/>
      <c r="Q270" s="17">
        <f t="shared" si="88"/>
        <v>124.82000000000176</v>
      </c>
      <c r="R270" s="2"/>
    </row>
    <row r="271" spans="1:19" x14ac:dyDescent="0.25">
      <c r="A271" s="26">
        <v>43157</v>
      </c>
      <c r="B271" s="17">
        <v>5000</v>
      </c>
      <c r="D271" s="36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>
        <f t="shared" si="88"/>
        <v>5124.8200000000015</v>
      </c>
      <c r="R271" s="2"/>
    </row>
    <row r="272" spans="1:19" x14ac:dyDescent="0.25">
      <c r="A272" s="26">
        <v>43157</v>
      </c>
      <c r="B272" s="17"/>
      <c r="C272" s="7" t="s">
        <v>173</v>
      </c>
      <c r="D272" s="36">
        <v>20</v>
      </c>
      <c r="E272" s="17">
        <v>84.99</v>
      </c>
      <c r="F272" s="17">
        <f>D272*E272</f>
        <v>1699.8</v>
      </c>
      <c r="G272" s="17">
        <v>0.28000000000000003</v>
      </c>
      <c r="H272" s="17">
        <v>0.05</v>
      </c>
      <c r="I272" s="17"/>
      <c r="J272" s="17">
        <v>0</v>
      </c>
      <c r="K272" s="17">
        <f>SUM(F272:J272)</f>
        <v>1700.1299999999999</v>
      </c>
      <c r="L272" s="17"/>
      <c r="M272" s="17"/>
      <c r="N272" s="17"/>
      <c r="O272" s="17"/>
      <c r="P272" s="17"/>
      <c r="Q272" s="17">
        <f t="shared" si="88"/>
        <v>3424.6900000000014</v>
      </c>
      <c r="R272" s="2"/>
    </row>
    <row r="273" spans="1:19" x14ac:dyDescent="0.25">
      <c r="A273" s="26">
        <v>43158</v>
      </c>
      <c r="B273" s="17"/>
      <c r="C273" s="7" t="s">
        <v>173</v>
      </c>
      <c r="D273" s="36">
        <v>25</v>
      </c>
      <c r="E273" s="17">
        <v>84.36</v>
      </c>
      <c r="F273" s="17">
        <f>D273*E273</f>
        <v>2109</v>
      </c>
      <c r="G273" s="17">
        <v>0.28000000000000003</v>
      </c>
      <c r="H273" s="17">
        <v>0.05</v>
      </c>
      <c r="I273" s="17"/>
      <c r="J273" s="17">
        <v>0</v>
      </c>
      <c r="K273" s="17">
        <f>SUM(F273:J273)</f>
        <v>2109.3300000000004</v>
      </c>
      <c r="L273" s="17"/>
      <c r="M273" s="17"/>
      <c r="N273" s="17"/>
      <c r="O273" s="17"/>
      <c r="P273" s="17"/>
      <c r="Q273" s="17">
        <f t="shared" si="88"/>
        <v>1315.360000000001</v>
      </c>
      <c r="R273" s="2"/>
    </row>
    <row r="274" spans="1:19" x14ac:dyDescent="0.25">
      <c r="A274" s="26">
        <v>43159</v>
      </c>
      <c r="B274" s="17"/>
      <c r="C274" s="7" t="s">
        <v>92</v>
      </c>
      <c r="D274" s="36"/>
      <c r="E274" s="17"/>
      <c r="F274" s="17"/>
      <c r="G274" s="17"/>
      <c r="H274" s="17"/>
      <c r="I274" s="17"/>
      <c r="J274" s="17"/>
      <c r="K274" s="17">
        <v>1169.45</v>
      </c>
      <c r="L274" s="17"/>
      <c r="M274" s="17"/>
      <c r="N274" s="17"/>
      <c r="O274" s="17"/>
      <c r="P274" s="17"/>
      <c r="Q274" s="17">
        <f t="shared" si="88"/>
        <v>145.91000000000099</v>
      </c>
      <c r="R274" s="2"/>
    </row>
    <row r="275" spans="1:19" x14ac:dyDescent="0.25">
      <c r="A275" s="26">
        <v>43161</v>
      </c>
      <c r="B275" s="17">
        <v>3000</v>
      </c>
      <c r="D275" s="36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>
        <f t="shared" si="88"/>
        <v>3145.9100000000008</v>
      </c>
      <c r="R275" s="2"/>
    </row>
    <row r="276" spans="1:19" x14ac:dyDescent="0.25">
      <c r="A276" s="26">
        <v>43161</v>
      </c>
      <c r="B276" s="17"/>
      <c r="C276" s="7" t="s">
        <v>183</v>
      </c>
      <c r="D276" s="36">
        <v>20</v>
      </c>
      <c r="E276" s="17">
        <v>49.1</v>
      </c>
      <c r="F276" s="17">
        <f>D276*E276</f>
        <v>982</v>
      </c>
      <c r="G276" s="17">
        <v>0.28000000000000003</v>
      </c>
      <c r="H276" s="17">
        <v>0.05</v>
      </c>
      <c r="I276" s="17"/>
      <c r="J276" s="17">
        <v>0</v>
      </c>
      <c r="K276" s="17">
        <f>SUM(F276:J276)</f>
        <v>982.32999999999993</v>
      </c>
      <c r="L276" s="17"/>
      <c r="M276" s="17"/>
      <c r="N276" s="17"/>
      <c r="O276" s="17"/>
      <c r="P276" s="17"/>
      <c r="Q276" s="17">
        <f t="shared" si="88"/>
        <v>2163.5800000000008</v>
      </c>
      <c r="R276" s="2"/>
      <c r="S276" s="20"/>
    </row>
    <row r="277" spans="1:19" x14ac:dyDescent="0.25">
      <c r="A277" s="26">
        <v>43164</v>
      </c>
      <c r="B277" s="17"/>
      <c r="C277" s="7" t="s">
        <v>171</v>
      </c>
      <c r="D277" s="36">
        <v>100</v>
      </c>
      <c r="E277" s="17">
        <v>18.87</v>
      </c>
      <c r="F277" s="17">
        <f>D277*E277</f>
        <v>1887</v>
      </c>
      <c r="G277" s="17">
        <v>0.28000000000000003</v>
      </c>
      <c r="H277" s="17">
        <v>0.05</v>
      </c>
      <c r="I277" s="17"/>
      <c r="J277" s="17">
        <v>0</v>
      </c>
      <c r="K277" s="17">
        <f>SUM(F277:J277)</f>
        <v>1887.33</v>
      </c>
      <c r="L277" s="17"/>
      <c r="M277" s="17"/>
      <c r="N277" s="17"/>
      <c r="O277" s="17"/>
      <c r="P277" s="17"/>
      <c r="Q277" s="17">
        <f t="shared" si="88"/>
        <v>276.25000000000091</v>
      </c>
      <c r="R277" s="2"/>
    </row>
    <row r="278" spans="1:19" x14ac:dyDescent="0.25">
      <c r="A278" s="26">
        <v>43166</v>
      </c>
      <c r="B278" s="17"/>
      <c r="C278" s="7" t="s">
        <v>85</v>
      </c>
      <c r="D278" s="36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>
        <f>642.79+288.84</f>
        <v>931.62999999999988</v>
      </c>
      <c r="Q278" s="17">
        <f t="shared" si="88"/>
        <v>1207.8800000000008</v>
      </c>
      <c r="R278" s="2"/>
      <c r="S278" s="20"/>
    </row>
    <row r="279" spans="1:19" x14ac:dyDescent="0.25">
      <c r="A279" s="26">
        <v>43166</v>
      </c>
      <c r="B279" s="17"/>
      <c r="C279" s="7" t="s">
        <v>85</v>
      </c>
      <c r="D279" s="36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>
        <v>222.92</v>
      </c>
      <c r="P279" s="17"/>
      <c r="Q279" s="17">
        <f t="shared" si="88"/>
        <v>1430.8000000000009</v>
      </c>
      <c r="R279" s="2"/>
    </row>
    <row r="280" spans="1:19" x14ac:dyDescent="0.25">
      <c r="A280" s="26">
        <v>43166</v>
      </c>
      <c r="B280" s="17"/>
      <c r="C280" s="7" t="s">
        <v>183</v>
      </c>
      <c r="D280" s="36">
        <v>25</v>
      </c>
      <c r="E280" s="17">
        <v>49.87</v>
      </c>
      <c r="F280" s="17">
        <f>D280*E280</f>
        <v>1246.75</v>
      </c>
      <c r="G280" s="17">
        <v>0.28000000000000003</v>
      </c>
      <c r="H280" s="17">
        <v>0.05</v>
      </c>
      <c r="I280" s="17"/>
      <c r="J280" s="17">
        <v>0</v>
      </c>
      <c r="K280" s="17">
        <f>SUM(F280:J280)</f>
        <v>1247.08</v>
      </c>
      <c r="L280" s="17"/>
      <c r="M280" s="17"/>
      <c r="N280" s="17">
        <v>24.4</v>
      </c>
      <c r="O280" s="17"/>
      <c r="P280" s="17"/>
      <c r="Q280" s="17">
        <f t="shared" si="88"/>
        <v>208.12000000000094</v>
      </c>
      <c r="R280" s="2"/>
    </row>
    <row r="281" spans="1:19" x14ac:dyDescent="0.25">
      <c r="A281" s="26">
        <v>43168</v>
      </c>
      <c r="B281" s="17">
        <v>4000</v>
      </c>
      <c r="D281" s="36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>
        <f t="shared" si="88"/>
        <v>4208.1200000000008</v>
      </c>
      <c r="R281" s="2"/>
    </row>
    <row r="282" spans="1:19" x14ac:dyDescent="0.25">
      <c r="A282" s="26">
        <v>43168</v>
      </c>
      <c r="B282" s="17"/>
      <c r="C282" s="7" t="s">
        <v>173</v>
      </c>
      <c r="D282" s="36">
        <v>30</v>
      </c>
      <c r="E282" s="17">
        <v>83.05</v>
      </c>
      <c r="F282" s="17">
        <f>D282*E282</f>
        <v>2491.5</v>
      </c>
      <c r="G282" s="17">
        <v>0.28000000000000003</v>
      </c>
      <c r="H282" s="17">
        <v>0.05</v>
      </c>
      <c r="I282" s="17"/>
      <c r="J282" s="17">
        <v>0</v>
      </c>
      <c r="K282" s="17">
        <f>SUM(F282:J282)</f>
        <v>2491.8300000000004</v>
      </c>
      <c r="L282" s="17"/>
      <c r="M282" s="17"/>
      <c r="N282" s="17"/>
      <c r="O282" s="17"/>
      <c r="P282" s="17"/>
      <c r="Q282" s="17">
        <f t="shared" si="88"/>
        <v>1716.2900000000004</v>
      </c>
      <c r="R282" s="2"/>
    </row>
    <row r="283" spans="1:19" x14ac:dyDescent="0.25">
      <c r="A283" s="26">
        <v>43171</v>
      </c>
      <c r="B283" s="17"/>
      <c r="C283" s="7" t="s">
        <v>5</v>
      </c>
      <c r="D283" s="36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>
        <f>20.63+0.24</f>
        <v>20.869999999999997</v>
      </c>
      <c r="Q283" s="17">
        <f t="shared" si="88"/>
        <v>1737.1600000000003</v>
      </c>
      <c r="R283" s="2"/>
    </row>
    <row r="284" spans="1:19" x14ac:dyDescent="0.25">
      <c r="A284" s="26">
        <v>43172</v>
      </c>
      <c r="B284" s="17"/>
      <c r="C284" s="7" t="s">
        <v>180</v>
      </c>
      <c r="D284" s="36">
        <v>26</v>
      </c>
      <c r="E284" s="17">
        <v>46.69</v>
      </c>
      <c r="F284" s="17">
        <f>D284*E284</f>
        <v>1213.94</v>
      </c>
      <c r="G284" s="17">
        <v>0.28000000000000003</v>
      </c>
      <c r="H284" s="17">
        <v>0.05</v>
      </c>
      <c r="I284" s="17"/>
      <c r="J284" s="17">
        <v>0</v>
      </c>
      <c r="K284" s="17">
        <f>SUM(F284:J284)</f>
        <v>1214.27</v>
      </c>
      <c r="L284" s="17"/>
      <c r="M284" s="17"/>
      <c r="N284" s="17"/>
      <c r="O284" s="17"/>
      <c r="P284" s="17"/>
      <c r="Q284" s="17">
        <f t="shared" si="88"/>
        <v>522.89000000000033</v>
      </c>
      <c r="R284" s="2"/>
    </row>
    <row r="285" spans="1:19" x14ac:dyDescent="0.25">
      <c r="A285" s="26">
        <v>43173</v>
      </c>
      <c r="B285" s="17"/>
      <c r="C285" s="7" t="s">
        <v>169</v>
      </c>
      <c r="D285" s="36"/>
      <c r="E285" s="17"/>
      <c r="F285" s="17"/>
      <c r="G285" s="17"/>
      <c r="H285" s="17"/>
      <c r="I285" s="17"/>
      <c r="J285" s="17"/>
      <c r="K285" s="17"/>
      <c r="L285" s="17"/>
      <c r="M285" s="17"/>
      <c r="N285" s="17">
        <v>30.5</v>
      </c>
      <c r="O285" s="17"/>
      <c r="P285" s="17"/>
      <c r="Q285" s="17">
        <f t="shared" si="88"/>
        <v>553.39000000000033</v>
      </c>
      <c r="R285" s="2"/>
    </row>
    <row r="286" spans="1:19" x14ac:dyDescent="0.25">
      <c r="A286" s="26">
        <v>43173</v>
      </c>
      <c r="B286" s="17"/>
      <c r="C286" s="7" t="s">
        <v>173</v>
      </c>
      <c r="D286" s="36"/>
      <c r="E286" s="17"/>
      <c r="F286" s="17"/>
      <c r="G286" s="17"/>
      <c r="H286" s="17"/>
      <c r="I286" s="17"/>
      <c r="J286" s="17"/>
      <c r="K286" s="17"/>
      <c r="L286" s="17"/>
      <c r="M286" s="17"/>
      <c r="N286" s="17">
        <v>222.75</v>
      </c>
      <c r="O286" s="17"/>
      <c r="P286" s="17"/>
      <c r="Q286" s="17">
        <f t="shared" ref="Q286:Q288" si="90">Q285+B286-K286-L286-M286+N286+O286+P286</f>
        <v>776.14000000000033</v>
      </c>
      <c r="R286" s="2"/>
    </row>
    <row r="287" spans="1:19" x14ac:dyDescent="0.25">
      <c r="A287" s="26">
        <v>43173</v>
      </c>
      <c r="B287" s="17">
        <v>1000</v>
      </c>
      <c r="D287" s="36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>
        <f t="shared" si="90"/>
        <v>1776.1400000000003</v>
      </c>
      <c r="R287" s="2"/>
    </row>
    <row r="288" spans="1:19" x14ac:dyDescent="0.25">
      <c r="A288" s="26">
        <v>43172</v>
      </c>
      <c r="B288" s="17"/>
      <c r="C288" s="7" t="s">
        <v>181</v>
      </c>
      <c r="D288" s="36">
        <v>10</v>
      </c>
      <c r="E288" s="17">
        <v>102.03</v>
      </c>
      <c r="F288" s="17">
        <f>D288*E288</f>
        <v>1020.3</v>
      </c>
      <c r="G288" s="17">
        <v>0.28000000000000003</v>
      </c>
      <c r="H288" s="17">
        <v>0.05</v>
      </c>
      <c r="I288" s="17"/>
      <c r="J288" s="17">
        <v>0</v>
      </c>
      <c r="K288" s="17">
        <f>SUM(F288:J288)</f>
        <v>1020.6299999999999</v>
      </c>
      <c r="L288" s="17"/>
      <c r="M288" s="17"/>
      <c r="N288" s="17"/>
      <c r="O288" s="17"/>
      <c r="P288" s="17"/>
      <c r="Q288" s="17">
        <f t="shared" si="90"/>
        <v>755.51000000000045</v>
      </c>
      <c r="R288" s="2"/>
    </row>
    <row r="289" spans="1:19" x14ac:dyDescent="0.25">
      <c r="A289" s="26">
        <v>43179</v>
      </c>
      <c r="B289" s="17">
        <v>3000</v>
      </c>
      <c r="D289" s="36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>
        <f t="shared" ref="Q289:Q290" si="91">Q288+B289-K289-L289-M289+N289+O289+P289</f>
        <v>3755.51</v>
      </c>
      <c r="R289" s="2"/>
    </row>
    <row r="290" spans="1:19" x14ac:dyDescent="0.25">
      <c r="A290" s="26">
        <v>43179</v>
      </c>
      <c r="B290" s="17"/>
      <c r="C290" s="7" t="s">
        <v>182</v>
      </c>
      <c r="D290" s="36">
        <v>200</v>
      </c>
      <c r="E290" s="17">
        <v>8.35</v>
      </c>
      <c r="F290" s="17">
        <f>D290*E290</f>
        <v>1670</v>
      </c>
      <c r="G290" s="17">
        <v>0.28000000000000003</v>
      </c>
      <c r="H290" s="17">
        <v>0.05</v>
      </c>
      <c r="I290" s="17"/>
      <c r="J290" s="17">
        <v>0</v>
      </c>
      <c r="K290" s="17">
        <f>SUM(F290:J290)</f>
        <v>1670.33</v>
      </c>
      <c r="L290" s="17"/>
      <c r="M290" s="17"/>
      <c r="N290" s="17"/>
      <c r="O290" s="17"/>
      <c r="P290" s="17"/>
      <c r="Q290" s="17">
        <f t="shared" si="91"/>
        <v>2085.1800000000003</v>
      </c>
      <c r="R290" s="2"/>
    </row>
    <row r="291" spans="1:19" x14ac:dyDescent="0.25">
      <c r="A291" s="26">
        <v>43182</v>
      </c>
      <c r="B291" s="17"/>
      <c r="C291" s="7" t="s">
        <v>173</v>
      </c>
      <c r="D291" s="36">
        <v>1</v>
      </c>
      <c r="E291" s="17">
        <v>85.15</v>
      </c>
      <c r="F291" s="17">
        <f>D291*E291</f>
        <v>85.15</v>
      </c>
      <c r="G291" s="17">
        <v>0.28000000000000003</v>
      </c>
      <c r="H291" s="17">
        <v>0.05</v>
      </c>
      <c r="I291" s="17"/>
      <c r="J291" s="17">
        <v>0</v>
      </c>
      <c r="K291" s="17">
        <f>SUM(F291:J291)</f>
        <v>85.48</v>
      </c>
      <c r="L291" s="17"/>
      <c r="M291" s="17"/>
      <c r="N291" s="17"/>
      <c r="O291" s="17"/>
      <c r="P291" s="17"/>
      <c r="Q291" s="17">
        <f t="shared" ref="Q291" si="92">Q290+B291-K291-L291-M291+N291+O291+P291</f>
        <v>1999.7000000000003</v>
      </c>
      <c r="R291" s="2"/>
    </row>
    <row r="292" spans="1:19" x14ac:dyDescent="0.25">
      <c r="A292" s="26">
        <v>43186</v>
      </c>
      <c r="B292" s="17"/>
      <c r="C292" s="7" t="s">
        <v>181</v>
      </c>
      <c r="D292" s="36">
        <v>10</v>
      </c>
      <c r="E292" s="17">
        <v>101.4</v>
      </c>
      <c r="F292" s="17">
        <f>D292*E292</f>
        <v>1014</v>
      </c>
      <c r="G292" s="17">
        <v>0.28000000000000003</v>
      </c>
      <c r="H292" s="17">
        <v>0.05</v>
      </c>
      <c r="I292" s="17"/>
      <c r="J292" s="17">
        <v>0</v>
      </c>
      <c r="K292" s="17">
        <f>SUM(F292:J292)</f>
        <v>1014.3299999999999</v>
      </c>
      <c r="L292" s="17"/>
      <c r="M292" s="17"/>
      <c r="N292" s="17"/>
      <c r="O292" s="17"/>
      <c r="P292" s="17"/>
      <c r="Q292" s="17">
        <f t="shared" ref="Q292" si="93">Q291+B292-K292-L292-M292+N292+O292+P292</f>
        <v>985.37000000000035</v>
      </c>
      <c r="R292" s="2"/>
    </row>
    <row r="293" spans="1:19" x14ac:dyDescent="0.25">
      <c r="A293" s="26">
        <v>43188</v>
      </c>
      <c r="B293" s="17"/>
      <c r="C293" s="7" t="s">
        <v>5</v>
      </c>
      <c r="D293" s="36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>
        <v>6.95</v>
      </c>
      <c r="Q293" s="17">
        <f t="shared" ref="Q293:Q301" si="94">Q292+B293-K293-L293-M293+N293+O293+P293</f>
        <v>992.32000000000039</v>
      </c>
      <c r="R293" s="2"/>
    </row>
    <row r="294" spans="1:19" x14ac:dyDescent="0.25">
      <c r="A294" s="26">
        <v>43188</v>
      </c>
      <c r="B294" s="17"/>
      <c r="C294" s="7" t="s">
        <v>180</v>
      </c>
      <c r="D294" s="36"/>
      <c r="E294" s="17"/>
      <c r="F294" s="17"/>
      <c r="G294" s="17"/>
      <c r="H294" s="17"/>
      <c r="I294" s="17"/>
      <c r="J294" s="17"/>
      <c r="K294" s="17"/>
      <c r="L294" s="17"/>
      <c r="M294" s="17"/>
      <c r="N294" s="17">
        <v>2.41</v>
      </c>
      <c r="O294" s="17"/>
      <c r="P294" s="17"/>
      <c r="Q294" s="17">
        <f t="shared" si="94"/>
        <v>994.73000000000036</v>
      </c>
      <c r="R294" s="2"/>
    </row>
    <row r="295" spans="1:19" x14ac:dyDescent="0.25">
      <c r="A295" s="26">
        <v>43192</v>
      </c>
      <c r="B295" s="17"/>
      <c r="C295" s="7" t="s">
        <v>85</v>
      </c>
      <c r="D295" s="36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>
        <v>30.33</v>
      </c>
      <c r="P295" s="17"/>
      <c r="Q295" s="17">
        <f t="shared" si="94"/>
        <v>1025.0600000000004</v>
      </c>
      <c r="R295" s="2"/>
    </row>
    <row r="296" spans="1:19" x14ac:dyDescent="0.25">
      <c r="A296" s="26">
        <v>43193</v>
      </c>
      <c r="B296" s="17">
        <v>2000</v>
      </c>
      <c r="D296" s="36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>
        <f t="shared" si="94"/>
        <v>3025.0600000000004</v>
      </c>
      <c r="R296" s="2"/>
    </row>
    <row r="297" spans="1:19" x14ac:dyDescent="0.25">
      <c r="A297" s="26">
        <v>43195</v>
      </c>
      <c r="B297" s="17"/>
      <c r="C297" s="7" t="s">
        <v>85</v>
      </c>
      <c r="D297" s="36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>
        <v>374.07</v>
      </c>
      <c r="P297" s="17"/>
      <c r="Q297" s="17">
        <f t="shared" si="94"/>
        <v>3399.1300000000006</v>
      </c>
      <c r="R297" s="2"/>
    </row>
    <row r="298" spans="1:19" x14ac:dyDescent="0.25">
      <c r="A298" s="26">
        <v>43195</v>
      </c>
      <c r="B298" s="17"/>
      <c r="C298" s="7" t="s">
        <v>85</v>
      </c>
      <c r="D298" s="36">
        <v>45</v>
      </c>
      <c r="E298" s="17">
        <v>7.8</v>
      </c>
      <c r="F298" s="17">
        <f>D298*E298</f>
        <v>351</v>
      </c>
      <c r="G298" s="17">
        <v>0.28000000000000003</v>
      </c>
      <c r="H298" s="17">
        <v>0.05</v>
      </c>
      <c r="I298" s="17"/>
      <c r="J298" s="17">
        <v>0</v>
      </c>
      <c r="K298" s="17">
        <f>SUM(F298:J298)</f>
        <v>351.33</v>
      </c>
      <c r="L298" s="17"/>
      <c r="M298" s="17"/>
      <c r="N298" s="17"/>
      <c r="O298" s="17"/>
      <c r="P298" s="17"/>
      <c r="Q298" s="17">
        <f t="shared" si="94"/>
        <v>3047.8000000000006</v>
      </c>
      <c r="R298" s="2"/>
      <c r="S298" s="20"/>
    </row>
    <row r="299" spans="1:19" x14ac:dyDescent="0.25">
      <c r="A299" s="26">
        <v>43195</v>
      </c>
      <c r="B299" s="17">
        <v>1000</v>
      </c>
      <c r="D299" s="36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>
        <f t="shared" si="94"/>
        <v>4047.8000000000006</v>
      </c>
      <c r="R299" s="2"/>
    </row>
    <row r="300" spans="1:19" x14ac:dyDescent="0.25">
      <c r="A300" s="26">
        <v>43195</v>
      </c>
      <c r="B300" s="17"/>
      <c r="C300" s="7" t="s">
        <v>173</v>
      </c>
      <c r="D300" s="36">
        <v>19</v>
      </c>
      <c r="E300" s="17">
        <v>88</v>
      </c>
      <c r="F300" s="17">
        <f>D300*E300</f>
        <v>1672</v>
      </c>
      <c r="G300" s="17">
        <v>0.28000000000000003</v>
      </c>
      <c r="H300" s="17">
        <v>0.05</v>
      </c>
      <c r="I300" s="17"/>
      <c r="J300" s="17">
        <v>0</v>
      </c>
      <c r="K300" s="17">
        <f>SUM(F300:J300)</f>
        <v>1672.33</v>
      </c>
      <c r="L300" s="17"/>
      <c r="M300" s="17"/>
      <c r="N300" s="17"/>
      <c r="O300" s="17"/>
      <c r="P300" s="17"/>
      <c r="Q300" s="17">
        <f t="shared" si="94"/>
        <v>2375.4700000000007</v>
      </c>
      <c r="R300" s="2"/>
    </row>
    <row r="301" spans="1:19" x14ac:dyDescent="0.25">
      <c r="A301" s="26">
        <v>43203</v>
      </c>
      <c r="B301" s="17"/>
      <c r="C301" s="7" t="s">
        <v>173</v>
      </c>
      <c r="D301" s="36"/>
      <c r="E301" s="17"/>
      <c r="F301" s="17"/>
      <c r="G301" s="17"/>
      <c r="H301" s="17"/>
      <c r="I301" s="17"/>
      <c r="J301" s="17"/>
      <c r="K301" s="17"/>
      <c r="L301" s="17"/>
      <c r="M301" s="17"/>
      <c r="N301" s="17">
        <v>247.5</v>
      </c>
      <c r="O301" s="17"/>
      <c r="P301" s="17"/>
      <c r="Q301" s="17">
        <f t="shared" si="94"/>
        <v>2622.9700000000007</v>
      </c>
      <c r="R301" s="2"/>
    </row>
    <row r="302" spans="1:19" x14ac:dyDescent="0.25">
      <c r="A302" s="26">
        <v>43203</v>
      </c>
      <c r="B302" s="17"/>
      <c r="C302" s="7" t="s">
        <v>183</v>
      </c>
      <c r="D302" s="36"/>
      <c r="E302" s="17"/>
      <c r="F302" s="17"/>
      <c r="G302" s="17"/>
      <c r="H302" s="17"/>
      <c r="I302" s="17"/>
      <c r="J302" s="17"/>
      <c r="K302" s="17"/>
      <c r="L302" s="17"/>
      <c r="M302" s="17"/>
      <c r="N302" s="17">
        <v>6.73</v>
      </c>
      <c r="O302" s="17"/>
      <c r="P302" s="17"/>
      <c r="Q302" s="17">
        <f t="shared" ref="Q302" si="95">Q301+B302-K302-L302-M302+N302+O302+P302</f>
        <v>2629.7000000000007</v>
      </c>
      <c r="R302" s="2"/>
    </row>
    <row r="303" spans="1:19" x14ac:dyDescent="0.25">
      <c r="A303" s="26">
        <v>43203</v>
      </c>
      <c r="B303" s="17"/>
      <c r="C303" s="7" t="s">
        <v>181</v>
      </c>
      <c r="D303" s="36"/>
      <c r="E303" s="17"/>
      <c r="F303" s="17"/>
      <c r="G303" s="17"/>
      <c r="H303" s="17"/>
      <c r="I303" s="17"/>
      <c r="J303" s="17"/>
      <c r="K303" s="17"/>
      <c r="L303" s="17"/>
      <c r="M303" s="17"/>
      <c r="N303" s="17">
        <v>12.4</v>
      </c>
      <c r="O303" s="17"/>
      <c r="P303" s="17"/>
      <c r="Q303" s="17">
        <f t="shared" ref="Q303:Q307" si="96">Q302+B303-K303-L303-M303+N303+O303+P303</f>
        <v>2642.1000000000008</v>
      </c>
      <c r="R303" s="2"/>
    </row>
    <row r="304" spans="1:19" x14ac:dyDescent="0.25">
      <c r="A304" s="26">
        <v>43203</v>
      </c>
      <c r="B304" s="17"/>
      <c r="C304" s="7" t="s">
        <v>169</v>
      </c>
      <c r="D304" s="36"/>
      <c r="E304" s="17"/>
      <c r="F304" s="17"/>
      <c r="G304" s="17"/>
      <c r="H304" s="17"/>
      <c r="I304" s="17"/>
      <c r="J304" s="17"/>
      <c r="K304" s="17"/>
      <c r="L304" s="17"/>
      <c r="M304" s="17"/>
      <c r="N304" s="17">
        <v>30.5</v>
      </c>
      <c r="O304" s="17"/>
      <c r="P304" s="17"/>
      <c r="Q304" s="17">
        <f t="shared" si="96"/>
        <v>2672.6000000000008</v>
      </c>
      <c r="R304" s="2"/>
    </row>
    <row r="305" spans="1:18" x14ac:dyDescent="0.25">
      <c r="A305" s="26">
        <v>43220</v>
      </c>
      <c r="B305" s="17"/>
      <c r="C305" s="7" t="s">
        <v>180</v>
      </c>
      <c r="D305" s="36"/>
      <c r="E305" s="17"/>
      <c r="F305" s="17"/>
      <c r="G305" s="17"/>
      <c r="H305" s="17"/>
      <c r="I305" s="17"/>
      <c r="J305" s="17"/>
      <c r="K305" s="17"/>
      <c r="L305" s="17"/>
      <c r="M305" s="17"/>
      <c r="N305" s="17">
        <v>2.6</v>
      </c>
      <c r="O305" s="17"/>
      <c r="P305" s="17"/>
      <c r="Q305" s="17">
        <f t="shared" si="96"/>
        <v>2675.2000000000007</v>
      </c>
      <c r="R305" s="2"/>
    </row>
    <row r="306" spans="1:18" x14ac:dyDescent="0.25">
      <c r="A306" s="26">
        <v>43220</v>
      </c>
      <c r="B306" s="17">
        <v>3000</v>
      </c>
      <c r="D306" s="36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>
        <f t="shared" si="96"/>
        <v>5675.2000000000007</v>
      </c>
      <c r="R306" s="2"/>
    </row>
    <row r="307" spans="1:18" x14ac:dyDescent="0.25">
      <c r="A307" s="26">
        <v>43220</v>
      </c>
      <c r="B307" s="17"/>
      <c r="C307" s="7" t="s">
        <v>180</v>
      </c>
      <c r="D307" s="36">
        <v>20</v>
      </c>
      <c r="E307" s="17">
        <v>44.78</v>
      </c>
      <c r="F307" s="17">
        <f>D307*E307</f>
        <v>895.6</v>
      </c>
      <c r="G307" s="17">
        <v>0.28000000000000003</v>
      </c>
      <c r="H307" s="17">
        <v>0.05</v>
      </c>
      <c r="I307" s="17"/>
      <c r="J307" s="17">
        <v>0</v>
      </c>
      <c r="K307" s="17">
        <f>SUM(F307:J307)</f>
        <v>895.93</v>
      </c>
      <c r="L307" s="17"/>
      <c r="M307" s="17"/>
      <c r="N307" s="17"/>
      <c r="O307" s="17"/>
      <c r="P307" s="17"/>
      <c r="Q307" s="17">
        <f t="shared" si="96"/>
        <v>4779.2700000000004</v>
      </c>
      <c r="R307" s="2"/>
    </row>
    <row r="308" spans="1:18" x14ac:dyDescent="0.25">
      <c r="A308" s="26">
        <v>43224</v>
      </c>
      <c r="B308" s="17"/>
      <c r="C308" s="7" t="s">
        <v>169</v>
      </c>
      <c r="D308" s="36">
        <v>10</v>
      </c>
      <c r="E308" s="17">
        <v>107.41</v>
      </c>
      <c r="F308" s="17">
        <f t="shared" ref="F308" si="97">D308*E308</f>
        <v>1074.0999999999999</v>
      </c>
      <c r="G308" s="17">
        <v>0.28999999999999998</v>
      </c>
      <c r="H308" s="17">
        <v>0.05</v>
      </c>
      <c r="I308" s="17"/>
      <c r="J308" s="17">
        <v>0</v>
      </c>
      <c r="K308" s="17">
        <f t="shared" ref="K308" si="98">SUM(F308:J308)</f>
        <v>1074.4399999999998</v>
      </c>
      <c r="L308" s="17"/>
      <c r="M308" s="17"/>
      <c r="N308" s="17"/>
      <c r="O308" s="17"/>
      <c r="P308" s="17"/>
      <c r="Q308" s="17">
        <f t="shared" ref="Q308:Q336" si="99">Q307+B308-K308-L308-M308+N308+O308+P308</f>
        <v>3704.8300000000008</v>
      </c>
      <c r="R308" s="2"/>
    </row>
    <row r="309" spans="1:18" x14ac:dyDescent="0.25">
      <c r="A309" s="26">
        <v>43227</v>
      </c>
      <c r="B309" s="17"/>
      <c r="C309" s="7" t="s">
        <v>184</v>
      </c>
      <c r="D309" s="36">
        <v>20</v>
      </c>
      <c r="E309" s="17">
        <v>78.03</v>
      </c>
      <c r="F309" s="17">
        <f t="shared" ref="F309" si="100">D309*E309</f>
        <v>1560.6</v>
      </c>
      <c r="G309" s="17">
        <v>0.42</v>
      </c>
      <c r="H309" s="17">
        <v>7.0000000000000007E-2</v>
      </c>
      <c r="I309" s="17"/>
      <c r="J309" s="17">
        <v>0</v>
      </c>
      <c r="K309" s="17">
        <f t="shared" ref="K309" si="101">SUM(F309:J309)</f>
        <v>1561.09</v>
      </c>
      <c r="L309" s="17"/>
      <c r="M309" s="17"/>
      <c r="N309" s="17"/>
      <c r="O309" s="17"/>
      <c r="P309" s="17"/>
      <c r="Q309" s="17">
        <f t="shared" si="99"/>
        <v>2143.7400000000007</v>
      </c>
      <c r="R309" s="2"/>
    </row>
    <row r="310" spans="1:18" x14ac:dyDescent="0.25">
      <c r="A310" s="26">
        <v>43228</v>
      </c>
      <c r="B310" s="17"/>
      <c r="C310" s="7" t="s">
        <v>184</v>
      </c>
      <c r="D310" s="36">
        <v>25</v>
      </c>
      <c r="E310" s="17">
        <v>77.02</v>
      </c>
      <c r="F310" s="17">
        <f t="shared" ref="F310" si="102">D310*E310</f>
        <v>1925.5</v>
      </c>
      <c r="G310" s="17">
        <v>0.52</v>
      </c>
      <c r="H310" s="17">
        <v>0.09</v>
      </c>
      <c r="I310" s="17"/>
      <c r="J310" s="17">
        <v>0</v>
      </c>
      <c r="K310" s="17">
        <f t="shared" ref="K310" si="103">SUM(F310:J310)</f>
        <v>1926.11</v>
      </c>
      <c r="L310" s="17"/>
      <c r="M310" s="17"/>
      <c r="N310" s="17"/>
      <c r="O310" s="17"/>
      <c r="P310" s="17"/>
      <c r="Q310" s="17">
        <f t="shared" si="99"/>
        <v>217.63000000000079</v>
      </c>
      <c r="R310" s="2"/>
    </row>
    <row r="311" spans="1:18" x14ac:dyDescent="0.25">
      <c r="A311" s="26">
        <v>43231</v>
      </c>
      <c r="B311" s="17"/>
      <c r="C311" s="7" t="s">
        <v>170</v>
      </c>
      <c r="D311" s="36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>
        <v>265.92</v>
      </c>
      <c r="P311" s="17"/>
      <c r="Q311" s="17">
        <f t="shared" si="99"/>
        <v>483.55000000000081</v>
      </c>
      <c r="R311" s="2"/>
    </row>
    <row r="312" spans="1:18" x14ac:dyDescent="0.25">
      <c r="A312" s="26">
        <v>43234</v>
      </c>
      <c r="B312" s="17"/>
      <c r="C312" s="7" t="s">
        <v>88</v>
      </c>
      <c r="D312" s="36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>
        <v>95.3</v>
      </c>
      <c r="P312" s="17"/>
      <c r="Q312" s="17">
        <f t="shared" si="99"/>
        <v>578.85000000000082</v>
      </c>
      <c r="R312" s="2"/>
    </row>
    <row r="313" spans="1:18" x14ac:dyDescent="0.25">
      <c r="A313" s="26">
        <v>43235</v>
      </c>
      <c r="B313" s="17"/>
      <c r="C313" s="7" t="s">
        <v>182</v>
      </c>
      <c r="D313" s="36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>
        <v>74.55</v>
      </c>
      <c r="P313" s="17"/>
      <c r="Q313" s="17">
        <f t="shared" si="99"/>
        <v>653.40000000000077</v>
      </c>
      <c r="R313" s="2"/>
    </row>
    <row r="314" spans="1:18" x14ac:dyDescent="0.25">
      <c r="A314" s="26">
        <v>43235</v>
      </c>
      <c r="B314" s="17"/>
      <c r="C314" s="7" t="s">
        <v>96</v>
      </c>
      <c r="D314" s="36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>
        <v>68.56</v>
      </c>
      <c r="P314" s="17"/>
      <c r="Q314" s="17">
        <f t="shared" si="99"/>
        <v>721.96000000000072</v>
      </c>
      <c r="R314" s="2"/>
    </row>
    <row r="315" spans="1:18" x14ac:dyDescent="0.25">
      <c r="A315" s="26">
        <v>43235</v>
      </c>
      <c r="B315" s="17"/>
      <c r="C315" s="7" t="s">
        <v>173</v>
      </c>
      <c r="D315" s="36"/>
      <c r="E315" s="17"/>
      <c r="F315" s="17"/>
      <c r="G315" s="17"/>
      <c r="H315" s="17"/>
      <c r="I315" s="17"/>
      <c r="J315" s="17"/>
      <c r="K315" s="17"/>
      <c r="L315" s="17"/>
      <c r="M315" s="17"/>
      <c r="N315" s="17">
        <v>255</v>
      </c>
      <c r="O315" s="17"/>
      <c r="P315" s="17"/>
      <c r="Q315" s="17">
        <f t="shared" si="99"/>
        <v>976.96000000000072</v>
      </c>
      <c r="R315" s="2"/>
    </row>
    <row r="316" spans="1:18" x14ac:dyDescent="0.25">
      <c r="A316" s="26">
        <v>43235</v>
      </c>
      <c r="B316" s="17"/>
      <c r="C316" s="7" t="s">
        <v>183</v>
      </c>
      <c r="D316" s="36"/>
      <c r="E316" s="17"/>
      <c r="F316" s="17"/>
      <c r="G316" s="17"/>
      <c r="H316" s="17"/>
      <c r="I316" s="17"/>
      <c r="J316" s="17"/>
      <c r="K316" s="17"/>
      <c r="L316" s="17"/>
      <c r="M316" s="17"/>
      <c r="N316" s="17">
        <v>6.16</v>
      </c>
      <c r="O316" s="17"/>
      <c r="P316" s="17"/>
      <c r="Q316" s="17">
        <f t="shared" si="99"/>
        <v>983.12000000000069</v>
      </c>
      <c r="R316" s="2"/>
    </row>
    <row r="317" spans="1:18" x14ac:dyDescent="0.25">
      <c r="A317" s="26">
        <v>43235</v>
      </c>
      <c r="B317" s="17"/>
      <c r="C317" s="7" t="s">
        <v>181</v>
      </c>
      <c r="D317" s="36"/>
      <c r="E317" s="17"/>
      <c r="F317" s="17"/>
      <c r="G317" s="17"/>
      <c r="H317" s="17"/>
      <c r="I317" s="17"/>
      <c r="J317" s="17"/>
      <c r="K317" s="17"/>
      <c r="L317" s="17"/>
      <c r="M317" s="17"/>
      <c r="N317" s="17">
        <v>12.4</v>
      </c>
      <c r="O317" s="17"/>
      <c r="P317" s="17"/>
      <c r="Q317" s="17">
        <f t="shared" si="99"/>
        <v>995.52000000000066</v>
      </c>
      <c r="R317" s="2"/>
    </row>
    <row r="318" spans="1:18" x14ac:dyDescent="0.25">
      <c r="A318" s="26">
        <v>43235</v>
      </c>
      <c r="B318" s="17"/>
      <c r="C318" s="7" t="s">
        <v>169</v>
      </c>
      <c r="D318" s="36"/>
      <c r="E318" s="17"/>
      <c r="F318" s="17"/>
      <c r="G318" s="17"/>
      <c r="H318" s="17"/>
      <c r="I318" s="17"/>
      <c r="J318" s="17"/>
      <c r="K318" s="17"/>
      <c r="L318" s="17"/>
      <c r="M318" s="17"/>
      <c r="N318" s="17">
        <v>30.5</v>
      </c>
      <c r="O318" s="17"/>
      <c r="P318" s="17"/>
      <c r="Q318" s="17">
        <f t="shared" si="99"/>
        <v>1026.0200000000007</v>
      </c>
      <c r="R318" s="2"/>
    </row>
    <row r="319" spans="1:18" x14ac:dyDescent="0.25">
      <c r="A319" s="26">
        <v>43237</v>
      </c>
      <c r="B319" s="17">
        <v>2000</v>
      </c>
      <c r="D319" s="36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>
        <f t="shared" si="99"/>
        <v>3026.0200000000004</v>
      </c>
      <c r="R319" s="2"/>
    </row>
    <row r="320" spans="1:18" x14ac:dyDescent="0.25">
      <c r="A320" s="26">
        <v>43237</v>
      </c>
      <c r="B320" s="17"/>
      <c r="C320" s="7" t="s">
        <v>92</v>
      </c>
      <c r="D320" s="36"/>
      <c r="E320" s="17"/>
      <c r="F320" s="17"/>
      <c r="G320" s="17"/>
      <c r="H320" s="17"/>
      <c r="I320" s="17"/>
      <c r="J320" s="17"/>
      <c r="K320" s="17">
        <v>500.08</v>
      </c>
      <c r="L320" s="17"/>
      <c r="M320" s="17"/>
      <c r="N320" s="17"/>
      <c r="O320" s="17"/>
      <c r="P320" s="17"/>
      <c r="Q320" s="17">
        <f t="shared" si="99"/>
        <v>2525.9400000000005</v>
      </c>
      <c r="R320" s="2"/>
    </row>
    <row r="321" spans="1:20" x14ac:dyDescent="0.25">
      <c r="A321" s="26">
        <v>43237</v>
      </c>
      <c r="B321" s="17"/>
      <c r="C321" s="7" t="s">
        <v>170</v>
      </c>
      <c r="D321" s="36">
        <v>50</v>
      </c>
      <c r="E321" s="17">
        <v>18.899999999999999</v>
      </c>
      <c r="F321" s="17">
        <f t="shared" ref="F321" si="104">D321*E321</f>
        <v>944.99999999999989</v>
      </c>
      <c r="G321" s="17">
        <v>0.25</v>
      </c>
      <c r="H321" s="17">
        <v>0.04</v>
      </c>
      <c r="I321" s="17"/>
      <c r="J321" s="17">
        <v>2.4900000000000002</v>
      </c>
      <c r="K321" s="17">
        <f t="shared" ref="K321" si="105">SUM(F321:J321)</f>
        <v>947.77999999999986</v>
      </c>
      <c r="L321" s="17"/>
      <c r="M321" s="17"/>
      <c r="N321" s="17"/>
      <c r="O321" s="17"/>
      <c r="P321" s="17"/>
      <c r="Q321" s="17">
        <f t="shared" si="99"/>
        <v>1578.1600000000008</v>
      </c>
      <c r="R321" s="2"/>
    </row>
    <row r="322" spans="1:20" x14ac:dyDescent="0.25">
      <c r="A322" s="26">
        <v>43238</v>
      </c>
      <c r="B322" s="17"/>
      <c r="C322" s="7" t="s">
        <v>181</v>
      </c>
      <c r="D322" s="36">
        <v>10</v>
      </c>
      <c r="E322" s="17">
        <v>93.7</v>
      </c>
      <c r="F322" s="17">
        <f t="shared" ref="F322" si="106">D322*E322</f>
        <v>937</v>
      </c>
      <c r="G322" s="17">
        <v>0.25</v>
      </c>
      <c r="H322" s="17">
        <v>0.04</v>
      </c>
      <c r="I322" s="17"/>
      <c r="J322" s="17">
        <v>0</v>
      </c>
      <c r="K322" s="17">
        <f t="shared" ref="K322" si="107">SUM(F322:J322)</f>
        <v>937.29</v>
      </c>
      <c r="L322" s="17"/>
      <c r="M322" s="17"/>
      <c r="N322" s="17"/>
      <c r="O322" s="17"/>
      <c r="P322" s="17"/>
      <c r="Q322" s="17">
        <f t="shared" si="99"/>
        <v>640.8700000000008</v>
      </c>
      <c r="R322" s="2"/>
    </row>
    <row r="323" spans="1:20" x14ac:dyDescent="0.25">
      <c r="A323" s="26">
        <v>43241</v>
      </c>
      <c r="B323" s="17"/>
      <c r="C323" s="7" t="s">
        <v>92</v>
      </c>
      <c r="D323" s="36"/>
      <c r="E323" s="17"/>
      <c r="F323" s="17"/>
      <c r="G323" s="17"/>
      <c r="H323" s="17"/>
      <c r="I323" s="17"/>
      <c r="J323" s="17"/>
      <c r="K323" s="17">
        <v>460.17</v>
      </c>
      <c r="L323" s="17"/>
      <c r="M323" s="17"/>
      <c r="N323" s="17"/>
      <c r="O323" s="17"/>
      <c r="P323" s="17"/>
      <c r="Q323" s="17">
        <f t="shared" si="99"/>
        <v>180.70000000000078</v>
      </c>
      <c r="R323" s="2"/>
      <c r="T323" s="20"/>
    </row>
    <row r="324" spans="1:20" x14ac:dyDescent="0.25">
      <c r="A324" s="26">
        <v>43243</v>
      </c>
      <c r="B324" s="17"/>
      <c r="C324" s="7" t="s">
        <v>170</v>
      </c>
      <c r="D324" s="36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>
        <v>313.92</v>
      </c>
      <c r="P324" s="17">
        <v>93.3</v>
      </c>
      <c r="Q324" s="17">
        <f t="shared" si="99"/>
        <v>587.92000000000075</v>
      </c>
      <c r="R324" s="2"/>
      <c r="S324" s="20"/>
    </row>
    <row r="325" spans="1:20" x14ac:dyDescent="0.25">
      <c r="A325" s="26">
        <v>43244</v>
      </c>
      <c r="B325" s="17">
        <v>2000</v>
      </c>
      <c r="D325" s="36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>
        <f t="shared" si="99"/>
        <v>2587.920000000001</v>
      </c>
      <c r="R325" s="2"/>
    </row>
    <row r="326" spans="1:20" x14ac:dyDescent="0.25">
      <c r="A326" s="26">
        <v>43244</v>
      </c>
      <c r="B326" s="17"/>
      <c r="C326" s="7" t="s">
        <v>181</v>
      </c>
      <c r="D326" s="36">
        <v>10</v>
      </c>
      <c r="E326" s="17">
        <v>88.22</v>
      </c>
      <c r="F326" s="17">
        <f t="shared" ref="F326:F327" si="108">D326*E326</f>
        <v>882.2</v>
      </c>
      <c r="G326" s="17">
        <v>0.25</v>
      </c>
      <c r="H326" s="17">
        <v>0.04</v>
      </c>
      <c r="I326" s="17"/>
      <c r="J326" s="17">
        <v>0</v>
      </c>
      <c r="K326" s="17">
        <f t="shared" ref="K326:K327" si="109">SUM(F326:J326)</f>
        <v>882.49</v>
      </c>
      <c r="L326" s="17"/>
      <c r="M326" s="17"/>
      <c r="N326" s="17"/>
      <c r="O326" s="17"/>
      <c r="P326" s="17"/>
      <c r="Q326" s="17">
        <f t="shared" si="99"/>
        <v>1705.430000000001</v>
      </c>
      <c r="R326" s="2"/>
    </row>
    <row r="327" spans="1:20" x14ac:dyDescent="0.25">
      <c r="A327" s="26">
        <v>43245</v>
      </c>
      <c r="B327" s="17"/>
      <c r="C327" s="7" t="s">
        <v>182</v>
      </c>
      <c r="D327" s="36">
        <v>100</v>
      </c>
      <c r="E327" s="17">
        <v>8.01</v>
      </c>
      <c r="F327" s="17">
        <f t="shared" si="108"/>
        <v>801</v>
      </c>
      <c r="G327" s="17">
        <v>0.25</v>
      </c>
      <c r="H327" s="17">
        <v>0.04</v>
      </c>
      <c r="I327" s="17"/>
      <c r="J327" s="17">
        <v>0</v>
      </c>
      <c r="K327" s="17">
        <f t="shared" si="109"/>
        <v>801.29</v>
      </c>
      <c r="L327" s="17"/>
      <c r="M327" s="17"/>
      <c r="N327" s="17"/>
      <c r="O327" s="17"/>
      <c r="P327" s="17"/>
      <c r="Q327" s="17">
        <f t="shared" si="99"/>
        <v>904.14000000000101</v>
      </c>
      <c r="R327" s="2"/>
    </row>
    <row r="328" spans="1:20" x14ac:dyDescent="0.25">
      <c r="A328" s="26">
        <v>43245</v>
      </c>
      <c r="B328" s="17"/>
      <c r="C328" s="7" t="s">
        <v>92</v>
      </c>
      <c r="D328" s="36"/>
      <c r="E328" s="17"/>
      <c r="F328" s="17"/>
      <c r="G328" s="17"/>
      <c r="H328" s="17"/>
      <c r="I328" s="17"/>
      <c r="J328" s="17"/>
      <c r="K328" s="17">
        <v>655.95</v>
      </c>
      <c r="L328" s="17"/>
      <c r="M328" s="17"/>
      <c r="N328" s="17"/>
      <c r="O328" s="17"/>
      <c r="P328" s="17"/>
      <c r="Q328" s="17">
        <f t="shared" si="99"/>
        <v>248.19000000000096</v>
      </c>
      <c r="R328" s="2"/>
    </row>
    <row r="329" spans="1:20" x14ac:dyDescent="0.25">
      <c r="A329" s="26">
        <v>43249</v>
      </c>
      <c r="B329" s="17"/>
      <c r="C329" s="7" t="s">
        <v>82</v>
      </c>
      <c r="D329" s="36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>
        <v>8.5</v>
      </c>
      <c r="Q329" s="17">
        <f t="shared" si="99"/>
        <v>256.69000000000096</v>
      </c>
      <c r="R329" s="2"/>
    </row>
    <row r="330" spans="1:20" x14ac:dyDescent="0.25">
      <c r="A330" s="26">
        <v>43250</v>
      </c>
      <c r="B330" s="17"/>
      <c r="C330" s="7" t="s">
        <v>5</v>
      </c>
      <c r="D330" s="36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>
        <v>18.190000000000001</v>
      </c>
      <c r="Q330" s="17">
        <f t="shared" si="99"/>
        <v>274.88000000000096</v>
      </c>
      <c r="R330" s="2"/>
    </row>
    <row r="331" spans="1:20" x14ac:dyDescent="0.25">
      <c r="A331" s="26">
        <v>43250</v>
      </c>
      <c r="B331" s="17"/>
      <c r="C331" s="7" t="s">
        <v>180</v>
      </c>
      <c r="D331" s="36"/>
      <c r="E331" s="17"/>
      <c r="F331" s="17"/>
      <c r="G331" s="17"/>
      <c r="H331" s="17"/>
      <c r="I331" s="17"/>
      <c r="J331" s="17"/>
      <c r="K331" s="17"/>
      <c r="L331" s="17"/>
      <c r="M331" s="17"/>
      <c r="N331" s="17">
        <v>3.07</v>
      </c>
      <c r="O331" s="17"/>
      <c r="P331" s="17"/>
      <c r="Q331" s="17">
        <f t="shared" si="99"/>
        <v>277.95000000000095</v>
      </c>
      <c r="R331" s="2"/>
    </row>
    <row r="332" spans="1:20" x14ac:dyDescent="0.25">
      <c r="A332" s="26">
        <v>43252</v>
      </c>
      <c r="B332" s="17">
        <v>1000</v>
      </c>
      <c r="D332" s="36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>
        <f t="shared" si="99"/>
        <v>1277.950000000001</v>
      </c>
      <c r="R332" s="2"/>
    </row>
    <row r="333" spans="1:20" x14ac:dyDescent="0.25">
      <c r="A333" s="26">
        <v>43252</v>
      </c>
      <c r="B333" s="17"/>
      <c r="C333" s="7" t="s">
        <v>85</v>
      </c>
      <c r="D333" s="36">
        <v>100</v>
      </c>
      <c r="E333" s="17">
        <v>10.15</v>
      </c>
      <c r="F333" s="17">
        <f t="shared" ref="F333" si="110">D333*E333</f>
        <v>1015</v>
      </c>
      <c r="G333" s="17">
        <v>0.25</v>
      </c>
      <c r="H333" s="17">
        <v>0.04</v>
      </c>
      <c r="I333" s="17"/>
      <c r="J333" s="17">
        <v>2.4900000000000002</v>
      </c>
      <c r="K333" s="17">
        <f t="shared" ref="K333" si="111">SUM(F333:J333)</f>
        <v>1017.78</v>
      </c>
      <c r="L333" s="17"/>
      <c r="M333" s="17"/>
      <c r="N333" s="17"/>
      <c r="O333" s="17"/>
      <c r="P333" s="17"/>
      <c r="Q333" s="17">
        <f t="shared" si="99"/>
        <v>260.17000000000098</v>
      </c>
      <c r="R333" s="2"/>
      <c r="S333" s="20"/>
      <c r="T333" s="20"/>
    </row>
    <row r="334" spans="1:20" x14ac:dyDescent="0.25">
      <c r="A334" s="26">
        <v>43256</v>
      </c>
      <c r="B334" s="17">
        <v>2000</v>
      </c>
      <c r="D334" s="36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>
        <f t="shared" si="99"/>
        <v>2260.170000000001</v>
      </c>
      <c r="R334" s="2"/>
    </row>
    <row r="335" spans="1:20" x14ac:dyDescent="0.25">
      <c r="A335" s="26">
        <v>43256</v>
      </c>
      <c r="B335" s="17"/>
      <c r="C335" s="7" t="s">
        <v>96</v>
      </c>
      <c r="D335" s="36">
        <v>100</v>
      </c>
      <c r="E335" s="17">
        <v>17.82</v>
      </c>
      <c r="F335" s="17">
        <f t="shared" ref="F335" si="112">D335*E335</f>
        <v>1782</v>
      </c>
      <c r="G335" s="17">
        <v>0.25</v>
      </c>
      <c r="H335" s="17">
        <v>0.04</v>
      </c>
      <c r="I335" s="17"/>
      <c r="J335" s="17">
        <v>2.4900000000000002</v>
      </c>
      <c r="K335" s="17">
        <f t="shared" ref="K335" si="113">SUM(F335:J335)</f>
        <v>1784.78</v>
      </c>
      <c r="L335" s="17"/>
      <c r="M335" s="17"/>
      <c r="N335" s="17"/>
      <c r="O335" s="17"/>
      <c r="P335" s="17"/>
      <c r="Q335" s="17">
        <f t="shared" si="99"/>
        <v>475.39000000000101</v>
      </c>
      <c r="R335" s="2"/>
      <c r="S335" s="20"/>
    </row>
    <row r="336" spans="1:20" x14ac:dyDescent="0.25">
      <c r="A336" s="26">
        <v>43256</v>
      </c>
      <c r="B336" s="17"/>
      <c r="C336" s="7" t="s">
        <v>85</v>
      </c>
      <c r="D336" s="36">
        <v>206</v>
      </c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>
        <f t="shared" si="99"/>
        <v>475.39000000000101</v>
      </c>
      <c r="R336" s="2"/>
      <c r="S336" s="20"/>
    </row>
    <row r="337" spans="1:19" x14ac:dyDescent="0.25">
      <c r="A337" s="26">
        <v>43258</v>
      </c>
      <c r="B337" s="17">
        <v>1000</v>
      </c>
      <c r="D337" s="36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>
        <f t="shared" ref="Q337:Q403" si="114">Q336+B337-K337-L337-M337+N337+O337+P337</f>
        <v>1475.390000000001</v>
      </c>
      <c r="R337" s="2"/>
    </row>
    <row r="338" spans="1:19" x14ac:dyDescent="0.25">
      <c r="A338" s="26">
        <v>43258</v>
      </c>
      <c r="B338" s="17"/>
      <c r="C338" s="7" t="s">
        <v>186</v>
      </c>
      <c r="D338" s="36">
        <v>10</v>
      </c>
      <c r="E338" s="17">
        <v>70.599999999999994</v>
      </c>
      <c r="F338" s="17">
        <f t="shared" ref="F338" si="115">D338*E338</f>
        <v>706</v>
      </c>
      <c r="G338" s="17">
        <v>0.25</v>
      </c>
      <c r="H338" s="17">
        <v>0.04</v>
      </c>
      <c r="I338" s="17"/>
      <c r="J338" s="17">
        <v>0</v>
      </c>
      <c r="K338" s="17">
        <f t="shared" ref="K338" si="116">SUM(F338:J338)</f>
        <v>706.29</v>
      </c>
      <c r="L338" s="17"/>
      <c r="M338" s="17"/>
      <c r="N338" s="17"/>
      <c r="O338" s="17"/>
      <c r="P338" s="17"/>
      <c r="Q338" s="17">
        <f t="shared" si="114"/>
        <v>769.10000000000105</v>
      </c>
      <c r="R338" s="2"/>
      <c r="S338" s="20"/>
    </row>
    <row r="339" spans="1:19" x14ac:dyDescent="0.25">
      <c r="A339" s="26">
        <v>43263</v>
      </c>
      <c r="B339" s="17"/>
      <c r="C339" s="7" t="s">
        <v>184</v>
      </c>
      <c r="D339" s="36">
        <v>9</v>
      </c>
      <c r="E339" s="17">
        <v>67.88</v>
      </c>
      <c r="F339" s="17">
        <f t="shared" ref="F339" si="117">D339*E339</f>
        <v>610.91999999999996</v>
      </c>
      <c r="G339" s="17">
        <v>0.16</v>
      </c>
      <c r="H339" s="17">
        <v>0.02</v>
      </c>
      <c r="I339" s="17"/>
      <c r="J339" s="17">
        <v>0</v>
      </c>
      <c r="K339" s="17">
        <f t="shared" ref="K339" si="118">SUM(F339:J339)</f>
        <v>611.09999999999991</v>
      </c>
      <c r="L339" s="17"/>
      <c r="M339" s="17"/>
      <c r="N339" s="17"/>
      <c r="O339" s="17"/>
      <c r="P339" s="17"/>
      <c r="Q339" s="17">
        <f t="shared" ref="Q339" si="119">Q338+B339-K339-L339-M339+N339+O339+P339</f>
        <v>158.00000000000114</v>
      </c>
      <c r="R339" s="2"/>
    </row>
    <row r="340" spans="1:19" x14ac:dyDescent="0.25">
      <c r="A340" s="26">
        <v>43265</v>
      </c>
      <c r="B340" s="17"/>
      <c r="C340" s="7" t="s">
        <v>173</v>
      </c>
      <c r="D340" s="36"/>
      <c r="E340" s="17"/>
      <c r="F340" s="17"/>
      <c r="G340" s="17"/>
      <c r="H340" s="17"/>
      <c r="I340" s="17"/>
      <c r="J340" s="17"/>
      <c r="K340" s="17"/>
      <c r="L340" s="17"/>
      <c r="M340" s="17"/>
      <c r="N340" s="17">
        <v>255</v>
      </c>
      <c r="O340" s="17"/>
      <c r="P340" s="17"/>
      <c r="Q340" s="17">
        <f t="shared" si="114"/>
        <v>413.00000000000114</v>
      </c>
      <c r="R340" s="2"/>
    </row>
    <row r="341" spans="1:19" x14ac:dyDescent="0.25">
      <c r="A341" s="26">
        <v>43265</v>
      </c>
      <c r="B341" s="17"/>
      <c r="C341" s="7" t="s">
        <v>184</v>
      </c>
      <c r="D341" s="36"/>
      <c r="E341" s="17"/>
      <c r="F341" s="17"/>
      <c r="G341" s="17"/>
      <c r="H341" s="17"/>
      <c r="I341" s="17"/>
      <c r="J341" s="17"/>
      <c r="K341" s="17"/>
      <c r="L341" s="17"/>
      <c r="M341" s="17"/>
      <c r="N341" s="17">
        <v>37.5</v>
      </c>
      <c r="O341" s="17"/>
      <c r="P341" s="17"/>
      <c r="Q341" s="17">
        <f t="shared" si="114"/>
        <v>450.50000000000114</v>
      </c>
      <c r="R341" s="2"/>
    </row>
    <row r="342" spans="1:19" x14ac:dyDescent="0.25">
      <c r="A342" s="26">
        <v>43265</v>
      </c>
      <c r="B342" s="17"/>
      <c r="C342" s="7" t="s">
        <v>169</v>
      </c>
      <c r="D342" s="36"/>
      <c r="E342" s="17"/>
      <c r="F342" s="17"/>
      <c r="G342" s="17"/>
      <c r="H342" s="17"/>
      <c r="I342" s="17"/>
      <c r="J342" s="17"/>
      <c r="K342" s="17"/>
      <c r="L342" s="17"/>
      <c r="M342" s="17"/>
      <c r="N342" s="17">
        <v>36.6</v>
      </c>
      <c r="O342" s="17"/>
      <c r="P342" s="17"/>
      <c r="Q342" s="17">
        <f t="shared" si="114"/>
        <v>487.10000000000116</v>
      </c>
      <c r="R342" s="2"/>
    </row>
    <row r="343" spans="1:19" x14ac:dyDescent="0.25">
      <c r="A343" s="26">
        <v>43265</v>
      </c>
      <c r="B343" s="17"/>
      <c r="C343" s="7" t="s">
        <v>183</v>
      </c>
      <c r="D343" s="36"/>
      <c r="E343" s="17"/>
      <c r="F343" s="17"/>
      <c r="G343" s="17"/>
      <c r="H343" s="17"/>
      <c r="I343" s="17"/>
      <c r="J343" s="17"/>
      <c r="K343" s="17"/>
      <c r="L343" s="17"/>
      <c r="M343" s="17"/>
      <c r="N343" s="17">
        <v>8.6199999999999992</v>
      </c>
      <c r="O343" s="17"/>
      <c r="P343" s="17"/>
      <c r="Q343" s="17">
        <f t="shared" si="114"/>
        <v>495.72000000000116</v>
      </c>
      <c r="R343" s="2"/>
    </row>
    <row r="344" spans="1:19" x14ac:dyDescent="0.25">
      <c r="A344" s="26">
        <v>43265</v>
      </c>
      <c r="B344" s="17"/>
      <c r="C344" s="7" t="s">
        <v>181</v>
      </c>
      <c r="D344" s="36"/>
      <c r="E344" s="17"/>
      <c r="F344" s="17"/>
      <c r="G344" s="17"/>
      <c r="H344" s="17"/>
      <c r="I344" s="17"/>
      <c r="J344" s="17"/>
      <c r="K344" s="17"/>
      <c r="L344" s="17"/>
      <c r="M344" s="17"/>
      <c r="N344" s="17">
        <v>25.2</v>
      </c>
      <c r="O344" s="17"/>
      <c r="P344" s="17"/>
      <c r="Q344" s="17">
        <f t="shared" si="114"/>
        <v>520.92000000000121</v>
      </c>
      <c r="R344" s="2"/>
    </row>
    <row r="345" spans="1:19" x14ac:dyDescent="0.25">
      <c r="A345" s="26">
        <v>43269</v>
      </c>
      <c r="B345" s="17"/>
      <c r="C345" s="7" t="s">
        <v>184</v>
      </c>
      <c r="D345" s="36">
        <v>6</v>
      </c>
      <c r="E345" s="17">
        <v>65.599999999999994</v>
      </c>
      <c r="F345" s="17">
        <f t="shared" ref="F345" si="120">D345*E345</f>
        <v>393.59999999999997</v>
      </c>
      <c r="G345" s="17">
        <v>0.16</v>
      </c>
      <c r="H345" s="17">
        <v>0.02</v>
      </c>
      <c r="I345" s="17"/>
      <c r="J345" s="17">
        <v>0</v>
      </c>
      <c r="K345" s="17">
        <f t="shared" ref="K345" si="121">SUM(F345:J345)</f>
        <v>393.78</v>
      </c>
      <c r="L345" s="17"/>
      <c r="M345" s="17"/>
      <c r="N345" s="17"/>
      <c r="O345" s="17"/>
      <c r="P345" s="17"/>
      <c r="Q345" s="17">
        <f t="shared" si="114"/>
        <v>127.14000000000124</v>
      </c>
      <c r="R345" s="2"/>
    </row>
    <row r="346" spans="1:19" x14ac:dyDescent="0.25">
      <c r="A346" s="26">
        <v>43272</v>
      </c>
      <c r="B346" s="17">
        <v>1000</v>
      </c>
      <c r="D346" s="36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>
        <f t="shared" si="114"/>
        <v>1127.1400000000012</v>
      </c>
      <c r="R346" s="2"/>
    </row>
    <row r="347" spans="1:19" x14ac:dyDescent="0.25">
      <c r="A347" s="26">
        <v>43272</v>
      </c>
      <c r="B347" s="17"/>
      <c r="C347" s="7" t="s">
        <v>181</v>
      </c>
      <c r="D347" s="36">
        <v>11</v>
      </c>
      <c r="E347" s="17">
        <v>81.5</v>
      </c>
      <c r="F347" s="17">
        <f t="shared" ref="F347" si="122">D347*E347</f>
        <v>896.5</v>
      </c>
      <c r="G347" s="17">
        <v>0.24</v>
      </c>
      <c r="H347" s="17">
        <v>0.03</v>
      </c>
      <c r="I347" s="17"/>
      <c r="J347" s="17">
        <v>0</v>
      </c>
      <c r="K347" s="17">
        <f t="shared" ref="K347" si="123">SUM(F347:J347)</f>
        <v>896.77</v>
      </c>
      <c r="L347" s="17"/>
      <c r="M347" s="17"/>
      <c r="N347" s="17"/>
      <c r="O347" s="17"/>
      <c r="P347" s="17"/>
      <c r="Q347" s="17">
        <f t="shared" si="114"/>
        <v>230.37000000000126</v>
      </c>
      <c r="R347" s="2"/>
    </row>
    <row r="348" spans="1:19" x14ac:dyDescent="0.25">
      <c r="A348" s="26">
        <v>43278</v>
      </c>
      <c r="B348" s="17"/>
      <c r="C348" s="7" t="s">
        <v>96</v>
      </c>
      <c r="D348" s="36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>
        <v>98.72</v>
      </c>
      <c r="P348" s="17"/>
      <c r="Q348" s="17">
        <f t="shared" si="114"/>
        <v>329.09000000000128</v>
      </c>
      <c r="R348" s="2"/>
    </row>
    <row r="349" spans="1:19" x14ac:dyDescent="0.25">
      <c r="A349" s="26">
        <v>43278</v>
      </c>
      <c r="B349" s="17">
        <v>1500</v>
      </c>
      <c r="D349" s="36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>
        <f>Q348+B349-K349-L349-M349+N349+O349+P349</f>
        <v>1829.0900000000013</v>
      </c>
      <c r="R349" s="2"/>
    </row>
    <row r="350" spans="1:19" x14ac:dyDescent="0.25">
      <c r="A350" s="26">
        <v>43278</v>
      </c>
      <c r="B350" s="17"/>
      <c r="C350" s="7" t="s">
        <v>186</v>
      </c>
      <c r="D350" s="36">
        <v>10</v>
      </c>
      <c r="E350" s="17">
        <v>72</v>
      </c>
      <c r="F350" s="17">
        <f t="shared" ref="F350" si="124">D350*E350</f>
        <v>720</v>
      </c>
      <c r="G350" s="17">
        <v>0.19</v>
      </c>
      <c r="H350" s="17">
        <v>0.03</v>
      </c>
      <c r="I350" s="17"/>
      <c r="J350" s="17">
        <v>0</v>
      </c>
      <c r="K350" s="17">
        <f t="shared" ref="K350" si="125">SUM(F350:J350)</f>
        <v>720.22</v>
      </c>
      <c r="L350" s="17"/>
      <c r="M350" s="17"/>
      <c r="N350" s="17"/>
      <c r="O350" s="17"/>
      <c r="P350" s="17"/>
      <c r="Q350" s="17">
        <f>Q349+B350-K350-L350-M350+N350+O350+P350</f>
        <v>1108.8700000000013</v>
      </c>
      <c r="R350" s="2"/>
    </row>
    <row r="351" spans="1:19" x14ac:dyDescent="0.25">
      <c r="A351" s="26">
        <v>43279</v>
      </c>
      <c r="B351" s="17"/>
      <c r="C351" s="7" t="s">
        <v>169</v>
      </c>
      <c r="D351" s="36">
        <v>10</v>
      </c>
      <c r="E351" s="17">
        <v>99.82</v>
      </c>
      <c r="F351" s="17">
        <f t="shared" ref="F351" si="126">D351*E351</f>
        <v>998.19999999999993</v>
      </c>
      <c r="G351" s="17">
        <v>0.27</v>
      </c>
      <c r="H351" s="17">
        <v>0.04</v>
      </c>
      <c r="I351" s="17"/>
      <c r="J351" s="17">
        <v>0</v>
      </c>
      <c r="K351" s="17">
        <f t="shared" ref="K351" si="127">SUM(F351:J351)</f>
        <v>998.50999999999988</v>
      </c>
      <c r="L351" s="17"/>
      <c r="M351" s="17"/>
      <c r="N351" s="17"/>
      <c r="O351" s="17"/>
      <c r="P351" s="17"/>
      <c r="Q351" s="17">
        <f t="shared" si="114"/>
        <v>110.36000000000138</v>
      </c>
      <c r="R351" s="2"/>
    </row>
    <row r="352" spans="1:19" x14ac:dyDescent="0.25">
      <c r="A352" s="26">
        <v>43280</v>
      </c>
      <c r="B352" s="17"/>
      <c r="C352" s="7" t="s">
        <v>5</v>
      </c>
      <c r="D352" s="36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>
        <v>6.57</v>
      </c>
      <c r="Q352" s="17">
        <f t="shared" si="114"/>
        <v>116.93000000000137</v>
      </c>
      <c r="R352" s="2"/>
    </row>
    <row r="353" spans="1:19" x14ac:dyDescent="0.25">
      <c r="A353" s="26">
        <v>43280</v>
      </c>
      <c r="B353" s="17"/>
      <c r="C353" s="7" t="s">
        <v>180</v>
      </c>
      <c r="D353" s="36"/>
      <c r="E353" s="17"/>
      <c r="F353" s="17"/>
      <c r="G353" s="17"/>
      <c r="H353" s="17"/>
      <c r="I353" s="17"/>
      <c r="J353" s="17"/>
      <c r="K353" s="17"/>
      <c r="L353" s="17"/>
      <c r="M353" s="17"/>
      <c r="N353" s="17">
        <v>5.45</v>
      </c>
      <c r="O353" s="17"/>
      <c r="P353" s="17"/>
      <c r="Q353" s="17">
        <f t="shared" si="114"/>
        <v>122.38000000000137</v>
      </c>
      <c r="R353" s="2"/>
    </row>
    <row r="354" spans="1:19" x14ac:dyDescent="0.25">
      <c r="A354" s="26">
        <v>43283</v>
      </c>
      <c r="B354" s="17"/>
      <c r="C354" s="7" t="s">
        <v>85</v>
      </c>
      <c r="D354" s="36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>
        <v>34.119999999999997</v>
      </c>
      <c r="P354" s="17"/>
      <c r="Q354" s="17">
        <f t="shared" si="114"/>
        <v>156.50000000000136</v>
      </c>
      <c r="R354" s="2"/>
    </row>
    <row r="355" spans="1:19" x14ac:dyDescent="0.25">
      <c r="A355" s="26">
        <v>43283</v>
      </c>
      <c r="B355" s="17"/>
      <c r="C355" s="7" t="s">
        <v>92</v>
      </c>
      <c r="D355" s="36"/>
      <c r="E355" s="17"/>
      <c r="F355" s="17"/>
      <c r="G355" s="17"/>
      <c r="H355" s="17"/>
      <c r="I355" s="17"/>
      <c r="J355" s="17"/>
      <c r="K355" s="17"/>
      <c r="L355" s="17">
        <v>16.079999999999998</v>
      </c>
      <c r="M355" s="17"/>
      <c r="N355" s="17"/>
      <c r="O355" s="17"/>
      <c r="P355" s="17"/>
      <c r="Q355" s="17">
        <f t="shared" si="114"/>
        <v>140.42000000000138</v>
      </c>
      <c r="R355" s="2"/>
    </row>
    <row r="356" spans="1:19" x14ac:dyDescent="0.25">
      <c r="A356" s="26">
        <v>43284</v>
      </c>
      <c r="B356" s="17">
        <v>1000</v>
      </c>
      <c r="D356" s="36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>
        <f t="shared" si="114"/>
        <v>1140.4200000000014</v>
      </c>
      <c r="R356" s="2"/>
    </row>
    <row r="357" spans="1:19" x14ac:dyDescent="0.25">
      <c r="A357" s="26">
        <v>43284</v>
      </c>
      <c r="B357" s="17"/>
      <c r="C357" s="7" t="s">
        <v>92</v>
      </c>
      <c r="D357" s="36"/>
      <c r="E357" s="17"/>
      <c r="F357" s="17"/>
      <c r="G357" s="17"/>
      <c r="H357" s="17"/>
      <c r="I357" s="17"/>
      <c r="J357" s="17"/>
      <c r="K357" s="17">
        <v>490.27</v>
      </c>
      <c r="L357" s="17"/>
      <c r="M357" s="17"/>
      <c r="N357" s="17"/>
      <c r="O357" s="17"/>
      <c r="P357" s="17"/>
      <c r="Q357" s="17">
        <f t="shared" si="114"/>
        <v>650.15000000000146</v>
      </c>
      <c r="R357" s="2"/>
    </row>
    <row r="358" spans="1:19" x14ac:dyDescent="0.25">
      <c r="A358" s="26">
        <v>43284</v>
      </c>
      <c r="B358" s="17"/>
      <c r="C358" s="7" t="s">
        <v>96</v>
      </c>
      <c r="D358" s="36">
        <v>30</v>
      </c>
      <c r="E358" s="17">
        <v>14.39</v>
      </c>
      <c r="F358" s="17">
        <f t="shared" ref="F358" si="128">D358*E358</f>
        <v>431.70000000000005</v>
      </c>
      <c r="G358" s="17">
        <v>0.11</v>
      </c>
      <c r="H358" s="17">
        <v>0.02</v>
      </c>
      <c r="I358" s="17"/>
      <c r="J358" s="17">
        <v>2.4900000000000002</v>
      </c>
      <c r="K358" s="17">
        <f t="shared" ref="K358" si="129">SUM(F358:J358)</f>
        <v>434.32000000000005</v>
      </c>
      <c r="L358" s="17"/>
      <c r="M358" s="17"/>
      <c r="N358" s="17"/>
      <c r="O358" s="17"/>
      <c r="P358" s="17"/>
      <c r="Q358" s="17">
        <f t="shared" si="114"/>
        <v>215.83000000000141</v>
      </c>
      <c r="R358" s="2"/>
    </row>
    <row r="359" spans="1:19" x14ac:dyDescent="0.25">
      <c r="A359" s="26">
        <v>43286</v>
      </c>
      <c r="B359" s="17">
        <v>2000</v>
      </c>
      <c r="D359" s="36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>
        <f t="shared" si="114"/>
        <v>2215.8300000000013</v>
      </c>
      <c r="R359" s="2"/>
    </row>
    <row r="360" spans="1:19" x14ac:dyDescent="0.25">
      <c r="A360" s="26">
        <v>43286</v>
      </c>
      <c r="B360" s="17"/>
      <c r="C360" s="7" t="s">
        <v>181</v>
      </c>
      <c r="D360" s="36">
        <v>10</v>
      </c>
      <c r="E360" s="17">
        <v>88.78</v>
      </c>
      <c r="F360" s="17">
        <f t="shared" ref="F360" si="130">D360*E360</f>
        <v>887.8</v>
      </c>
      <c r="G360" s="17">
        <v>0.24</v>
      </c>
      <c r="H360" s="17">
        <v>0.04</v>
      </c>
      <c r="I360" s="17"/>
      <c r="J360" s="17">
        <v>0</v>
      </c>
      <c r="K360" s="17">
        <f t="shared" ref="K360" si="131">SUM(F360:J360)</f>
        <v>888.07999999999993</v>
      </c>
      <c r="L360" s="17"/>
      <c r="M360" s="17"/>
      <c r="N360" s="17"/>
      <c r="O360" s="17"/>
      <c r="P360" s="17"/>
      <c r="Q360" s="17">
        <f t="shared" si="114"/>
        <v>1327.7500000000014</v>
      </c>
      <c r="R360" s="2"/>
    </row>
    <row r="361" spans="1:19" x14ac:dyDescent="0.25">
      <c r="A361" s="26">
        <v>43286</v>
      </c>
      <c r="B361" s="17"/>
      <c r="C361" s="7" t="s">
        <v>216</v>
      </c>
      <c r="D361" s="36">
        <v>100</v>
      </c>
      <c r="E361" s="17">
        <v>8.92</v>
      </c>
      <c r="F361" s="17">
        <f t="shared" ref="F361" si="132">D361*E361</f>
        <v>892</v>
      </c>
      <c r="G361" s="17">
        <v>0.24</v>
      </c>
      <c r="H361" s="17">
        <v>0.04</v>
      </c>
      <c r="I361" s="17"/>
      <c r="J361" s="17">
        <v>2.4900000000000002</v>
      </c>
      <c r="K361" s="17">
        <f t="shared" ref="K361" si="133">SUM(F361:J361)</f>
        <v>894.77</v>
      </c>
      <c r="L361" s="17"/>
      <c r="M361" s="17"/>
      <c r="N361" s="17"/>
      <c r="O361" s="17"/>
      <c r="P361" s="17"/>
      <c r="Q361" s="17">
        <f t="shared" si="114"/>
        <v>432.98000000000138</v>
      </c>
      <c r="R361" s="2"/>
      <c r="S361" s="20"/>
    </row>
    <row r="362" spans="1:19" x14ac:dyDescent="0.25">
      <c r="A362" s="26">
        <v>43287</v>
      </c>
      <c r="B362" s="17"/>
      <c r="C362" s="7" t="s">
        <v>186</v>
      </c>
      <c r="D362" s="36"/>
      <c r="E362" s="17"/>
      <c r="F362" s="17"/>
      <c r="G362" s="17"/>
      <c r="H362" s="17"/>
      <c r="I362" s="17"/>
      <c r="J362" s="17"/>
      <c r="K362" s="17"/>
      <c r="L362" s="17"/>
      <c r="M362" s="17"/>
      <c r="N362" s="17">
        <v>11</v>
      </c>
      <c r="O362" s="17"/>
      <c r="P362" s="17"/>
      <c r="Q362" s="17">
        <f t="shared" si="114"/>
        <v>443.98000000000138</v>
      </c>
      <c r="R362" s="2"/>
    </row>
    <row r="363" spans="1:19" x14ac:dyDescent="0.25">
      <c r="A363" s="26">
        <v>43292</v>
      </c>
      <c r="B363" s="17">
        <v>1000</v>
      </c>
      <c r="D363" s="36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>
        <f t="shared" si="114"/>
        <v>1443.9800000000014</v>
      </c>
      <c r="R363" s="2"/>
    </row>
    <row r="364" spans="1:19" x14ac:dyDescent="0.25">
      <c r="A364" s="26">
        <v>43292</v>
      </c>
      <c r="B364" s="17"/>
      <c r="C364" s="7" t="s">
        <v>184</v>
      </c>
      <c r="D364" s="36">
        <v>10</v>
      </c>
      <c r="E364" s="17">
        <v>68.5</v>
      </c>
      <c r="F364" s="17">
        <f t="shared" ref="F364" si="134">D364*E364</f>
        <v>685</v>
      </c>
      <c r="G364" s="17">
        <v>0.16</v>
      </c>
      <c r="H364" s="17">
        <v>0.03</v>
      </c>
      <c r="I364" s="17"/>
      <c r="J364" s="17">
        <v>0</v>
      </c>
      <c r="K364" s="17">
        <f t="shared" ref="K364" si="135">SUM(F364:J364)</f>
        <v>685.18999999999994</v>
      </c>
      <c r="L364" s="17"/>
      <c r="M364" s="17"/>
      <c r="N364" s="17"/>
      <c r="O364" s="17"/>
      <c r="P364" s="17"/>
      <c r="Q364" s="17">
        <f t="shared" si="114"/>
        <v>758.79000000000144</v>
      </c>
      <c r="R364" s="2"/>
    </row>
    <row r="365" spans="1:19" x14ac:dyDescent="0.25">
      <c r="A365" s="26">
        <v>43292</v>
      </c>
      <c r="B365" s="17"/>
      <c r="C365" s="7" t="s">
        <v>217</v>
      </c>
      <c r="D365" s="36">
        <v>5</v>
      </c>
      <c r="E365" s="17">
        <v>96</v>
      </c>
      <c r="F365" s="17">
        <f t="shared" ref="F365" si="136">D365*E365</f>
        <v>480</v>
      </c>
      <c r="G365" s="17">
        <v>0.16</v>
      </c>
      <c r="H365" s="17">
        <v>0.03</v>
      </c>
      <c r="I365" s="17"/>
      <c r="J365" s="17">
        <v>0</v>
      </c>
      <c r="K365" s="17">
        <f t="shared" ref="K365" si="137">SUM(F365:J365)</f>
        <v>480.19</v>
      </c>
      <c r="L365" s="17"/>
      <c r="M365" s="17"/>
      <c r="N365" s="17"/>
      <c r="O365" s="17"/>
      <c r="P365" s="17"/>
      <c r="Q365" s="17">
        <f t="shared" si="114"/>
        <v>278.60000000000144</v>
      </c>
      <c r="R365" s="2"/>
      <c r="S365" s="20"/>
    </row>
    <row r="366" spans="1:19" x14ac:dyDescent="0.25">
      <c r="A366" s="26">
        <v>43294</v>
      </c>
      <c r="B366" s="17"/>
      <c r="C366" s="7" t="s">
        <v>183</v>
      </c>
      <c r="D366" s="36"/>
      <c r="E366" s="17"/>
      <c r="F366" s="17"/>
      <c r="G366" s="17"/>
      <c r="H366" s="17"/>
      <c r="I366" s="17"/>
      <c r="J366" s="17"/>
      <c r="K366" s="17"/>
      <c r="L366" s="17"/>
      <c r="M366" s="17"/>
      <c r="N366" s="17">
        <v>3.85</v>
      </c>
      <c r="O366" s="17"/>
      <c r="P366" s="17"/>
      <c r="Q366" s="17">
        <f t="shared" si="114"/>
        <v>282.45000000000147</v>
      </c>
      <c r="R366" s="2"/>
    </row>
    <row r="367" spans="1:19" x14ac:dyDescent="0.25">
      <c r="A367" s="26">
        <v>43297</v>
      </c>
      <c r="B367" s="17"/>
      <c r="C367" s="7" t="s">
        <v>169</v>
      </c>
      <c r="D367" s="36"/>
      <c r="E367" s="17"/>
      <c r="F367" s="17"/>
      <c r="G367" s="17"/>
      <c r="H367" s="17"/>
      <c r="I367" s="17"/>
      <c r="J367" s="17"/>
      <c r="K367" s="17"/>
      <c r="L367" s="17"/>
      <c r="M367" s="17"/>
      <c r="N367" s="17">
        <v>42.7</v>
      </c>
      <c r="O367" s="17"/>
      <c r="P367" s="17"/>
      <c r="Q367" s="17">
        <f t="shared" si="114"/>
        <v>325.15000000000146</v>
      </c>
      <c r="R367" s="2"/>
    </row>
    <row r="368" spans="1:19" x14ac:dyDescent="0.25">
      <c r="A368" s="26">
        <v>43297</v>
      </c>
      <c r="B368" s="17"/>
      <c r="C368" s="7" t="s">
        <v>181</v>
      </c>
      <c r="D368" s="36"/>
      <c r="E368" s="17"/>
      <c r="F368" s="17"/>
      <c r="G368" s="17"/>
      <c r="H368" s="17"/>
      <c r="I368" s="17"/>
      <c r="J368" s="17"/>
      <c r="K368" s="17"/>
      <c r="L368" s="17"/>
      <c r="M368" s="17"/>
      <c r="N368" s="17">
        <v>32.130000000000003</v>
      </c>
      <c r="O368" s="17"/>
      <c r="P368" s="17"/>
      <c r="Q368" s="17">
        <f t="shared" si="114"/>
        <v>357.28000000000145</v>
      </c>
      <c r="R368" s="2"/>
    </row>
    <row r="369" spans="1:19" x14ac:dyDescent="0.25">
      <c r="A369" s="26">
        <v>43297</v>
      </c>
      <c r="B369" s="17"/>
      <c r="C369" s="7" t="s">
        <v>184</v>
      </c>
      <c r="D369" s="36"/>
      <c r="E369" s="17"/>
      <c r="F369" s="17"/>
      <c r="G369" s="17"/>
      <c r="H369" s="17"/>
      <c r="I369" s="17"/>
      <c r="J369" s="17"/>
      <c r="K369" s="17"/>
      <c r="L369" s="17"/>
      <c r="M369" s="17"/>
      <c r="N369" s="17">
        <v>49.99</v>
      </c>
      <c r="O369" s="17"/>
      <c r="P369" s="17"/>
      <c r="Q369" s="17">
        <f t="shared" si="114"/>
        <v>407.27000000000146</v>
      </c>
      <c r="R369" s="2"/>
    </row>
    <row r="370" spans="1:19" x14ac:dyDescent="0.25">
      <c r="A370" s="26">
        <v>43297</v>
      </c>
      <c r="B370" s="17"/>
      <c r="C370" s="7" t="s">
        <v>173</v>
      </c>
      <c r="D370" s="36"/>
      <c r="E370" s="17"/>
      <c r="F370" s="17"/>
      <c r="G370" s="17"/>
      <c r="H370" s="17"/>
      <c r="I370" s="17"/>
      <c r="J370" s="17"/>
      <c r="K370" s="17"/>
      <c r="L370" s="17"/>
      <c r="M370" s="17"/>
      <c r="N370" s="17">
        <v>255</v>
      </c>
      <c r="O370" s="17"/>
      <c r="P370" s="17"/>
      <c r="Q370" s="17">
        <f t="shared" si="114"/>
        <v>662.27000000000146</v>
      </c>
      <c r="R370" s="2"/>
    </row>
    <row r="371" spans="1:19" x14ac:dyDescent="0.25">
      <c r="A371" s="26">
        <v>43299</v>
      </c>
      <c r="B371" s="17">
        <v>1000</v>
      </c>
      <c r="D371" s="36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>
        <f t="shared" si="114"/>
        <v>1662.2700000000013</v>
      </c>
      <c r="R371" s="2"/>
    </row>
    <row r="372" spans="1:19" x14ac:dyDescent="0.25">
      <c r="A372" s="26">
        <v>43299</v>
      </c>
      <c r="B372" s="17"/>
      <c r="C372" s="7" t="s">
        <v>217</v>
      </c>
      <c r="D372" s="36">
        <v>5</v>
      </c>
      <c r="E372" s="17">
        <v>95.5</v>
      </c>
      <c r="F372" s="17">
        <f t="shared" ref="F372" si="138">D372*E372</f>
        <v>477.5</v>
      </c>
      <c r="G372" s="17">
        <v>0.17</v>
      </c>
      <c r="H372" s="17">
        <v>0.03</v>
      </c>
      <c r="I372" s="17"/>
      <c r="J372" s="17">
        <v>0</v>
      </c>
      <c r="K372" s="17">
        <f t="shared" ref="K372" si="139">SUM(F372:J372)</f>
        <v>477.7</v>
      </c>
      <c r="L372" s="17"/>
      <c r="M372" s="17"/>
      <c r="N372" s="17"/>
      <c r="O372" s="17"/>
      <c r="P372" s="17"/>
      <c r="Q372" s="17">
        <f t="shared" si="114"/>
        <v>1184.5700000000013</v>
      </c>
      <c r="R372" s="2"/>
    </row>
    <row r="373" spans="1:19" x14ac:dyDescent="0.25">
      <c r="A373" s="26">
        <v>43299</v>
      </c>
      <c r="B373" s="17"/>
      <c r="C373" s="7" t="s">
        <v>186</v>
      </c>
      <c r="D373" s="36">
        <v>10</v>
      </c>
      <c r="E373" s="17">
        <v>73.599999999999994</v>
      </c>
      <c r="F373" s="17">
        <f t="shared" ref="F373" si="140">D373*E373</f>
        <v>736</v>
      </c>
      <c r="G373" s="17">
        <v>0.16</v>
      </c>
      <c r="H373" s="17">
        <v>0.02</v>
      </c>
      <c r="I373" s="17"/>
      <c r="J373" s="17">
        <v>0</v>
      </c>
      <c r="K373" s="17">
        <f t="shared" ref="K373" si="141">SUM(F373:J373)</f>
        <v>736.18</v>
      </c>
      <c r="L373" s="17"/>
      <c r="M373" s="17"/>
      <c r="N373" s="17"/>
      <c r="O373" s="17"/>
      <c r="P373" s="17"/>
      <c r="Q373" s="17">
        <f t="shared" si="114"/>
        <v>448.39000000000135</v>
      </c>
      <c r="R373" s="2"/>
      <c r="S373" s="20"/>
    </row>
    <row r="374" spans="1:19" x14ac:dyDescent="0.25">
      <c r="A374" s="26">
        <v>43299</v>
      </c>
      <c r="B374" s="17"/>
      <c r="C374" s="7" t="s">
        <v>92</v>
      </c>
      <c r="D374" s="36"/>
      <c r="E374" s="17"/>
      <c r="F374" s="17"/>
      <c r="G374" s="17"/>
      <c r="H374" s="17"/>
      <c r="I374" s="17"/>
      <c r="J374" s="17"/>
      <c r="K374" s="17">
        <v>295.49</v>
      </c>
      <c r="L374" s="17"/>
      <c r="M374" s="17"/>
      <c r="N374" s="17"/>
      <c r="O374" s="17"/>
      <c r="P374" s="17"/>
      <c r="Q374" s="17">
        <f t="shared" si="114"/>
        <v>152.90000000000134</v>
      </c>
      <c r="R374" s="2"/>
    </row>
    <row r="375" spans="1:19" x14ac:dyDescent="0.25">
      <c r="A375" s="26">
        <v>43301</v>
      </c>
      <c r="B375" s="17">
        <v>1000</v>
      </c>
      <c r="D375" s="36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>
        <f t="shared" si="114"/>
        <v>1152.9000000000015</v>
      </c>
      <c r="R375" s="2"/>
    </row>
    <row r="376" spans="1:19" x14ac:dyDescent="0.25">
      <c r="A376" s="26">
        <v>43301</v>
      </c>
      <c r="B376" s="17"/>
      <c r="C376" s="7" t="s">
        <v>220</v>
      </c>
      <c r="D376" s="36">
        <v>5</v>
      </c>
      <c r="E376" s="17">
        <v>95.7</v>
      </c>
      <c r="F376" s="17">
        <f>D376*E376</f>
        <v>478.5</v>
      </c>
      <c r="G376" s="17">
        <v>0.13</v>
      </c>
      <c r="H376" s="17">
        <v>0.02</v>
      </c>
      <c r="I376" s="17"/>
      <c r="J376" s="17">
        <v>0</v>
      </c>
      <c r="K376" s="17">
        <f t="shared" ref="K376" si="142">SUM(F376:J376)</f>
        <v>478.65</v>
      </c>
      <c r="L376" s="17"/>
      <c r="M376" s="17"/>
      <c r="N376" s="17"/>
      <c r="O376" s="17"/>
      <c r="P376" s="17"/>
      <c r="Q376" s="17">
        <f t="shared" si="114"/>
        <v>674.25000000000148</v>
      </c>
      <c r="R376" s="2"/>
    </row>
    <row r="377" spans="1:19" x14ac:dyDescent="0.25">
      <c r="A377" s="26">
        <v>43305</v>
      </c>
      <c r="B377" s="17"/>
      <c r="C377" s="7" t="s">
        <v>221</v>
      </c>
      <c r="D377" s="36">
        <v>50</v>
      </c>
      <c r="E377" s="17">
        <v>10.029999999999999</v>
      </c>
      <c r="F377" s="17">
        <f>D377*E377</f>
        <v>501.49999999999994</v>
      </c>
      <c r="G377" s="17">
        <v>0.13</v>
      </c>
      <c r="H377" s="17">
        <v>0.02</v>
      </c>
      <c r="I377" s="17"/>
      <c r="J377" s="17">
        <v>0</v>
      </c>
      <c r="K377" s="17">
        <f t="shared" ref="K377" si="143">SUM(F377:J377)</f>
        <v>501.64999999999992</v>
      </c>
      <c r="L377" s="17"/>
      <c r="M377" s="17"/>
      <c r="N377" s="17"/>
      <c r="O377" s="17"/>
      <c r="P377" s="17"/>
      <c r="Q377" s="17">
        <f t="shared" si="114"/>
        <v>172.60000000000156</v>
      </c>
      <c r="R377" s="2"/>
    </row>
    <row r="378" spans="1:19" x14ac:dyDescent="0.25">
      <c r="A378" s="26">
        <v>43312</v>
      </c>
      <c r="B378" s="17"/>
      <c r="C378" s="7" t="s">
        <v>180</v>
      </c>
      <c r="D378" s="36"/>
      <c r="E378" s="17"/>
      <c r="F378" s="17"/>
      <c r="G378" s="17"/>
      <c r="H378" s="17"/>
      <c r="I378" s="17"/>
      <c r="J378" s="17"/>
      <c r="K378" s="17"/>
      <c r="L378" s="17"/>
      <c r="M378" s="17"/>
      <c r="N378" s="17">
        <v>4.47</v>
      </c>
      <c r="O378" s="17"/>
      <c r="P378" s="17"/>
      <c r="Q378" s="17">
        <f t="shared" si="114"/>
        <v>177.07000000000156</v>
      </c>
      <c r="R378" s="2"/>
    </row>
    <row r="379" spans="1:19" x14ac:dyDescent="0.25">
      <c r="A379" s="26">
        <v>43312</v>
      </c>
      <c r="B379" s="17">
        <v>1000</v>
      </c>
      <c r="D379" s="36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>
        <f t="shared" si="114"/>
        <v>1177.0700000000015</v>
      </c>
      <c r="R379" s="2"/>
    </row>
    <row r="380" spans="1:19" x14ac:dyDescent="0.25">
      <c r="A380" s="26">
        <v>43312</v>
      </c>
      <c r="B380" s="17"/>
      <c r="C380" s="7" t="s">
        <v>222</v>
      </c>
      <c r="D380" s="36">
        <v>8</v>
      </c>
      <c r="E380" s="17">
        <v>91.65</v>
      </c>
      <c r="F380" s="17">
        <f>D380*E380</f>
        <v>733.2</v>
      </c>
      <c r="G380" s="17">
        <v>0.2</v>
      </c>
      <c r="H380" s="17">
        <v>0.03</v>
      </c>
      <c r="I380" s="17"/>
      <c r="J380" s="17">
        <v>0</v>
      </c>
      <c r="K380" s="17">
        <f t="shared" ref="K380" si="144">SUM(F380:J380)</f>
        <v>733.43000000000006</v>
      </c>
      <c r="L380" s="17"/>
      <c r="M380" s="17"/>
      <c r="N380" s="17"/>
      <c r="O380" s="17"/>
      <c r="P380" s="17"/>
      <c r="Q380" s="17">
        <f t="shared" si="114"/>
        <v>443.64000000000146</v>
      </c>
      <c r="R380" s="2"/>
      <c r="S380" s="20"/>
    </row>
    <row r="381" spans="1:19" x14ac:dyDescent="0.25">
      <c r="A381" s="26">
        <v>43318</v>
      </c>
      <c r="B381" s="17">
        <v>1000</v>
      </c>
      <c r="D381" s="36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>
        <f t="shared" si="114"/>
        <v>1443.6400000000015</v>
      </c>
      <c r="R381" s="2"/>
    </row>
    <row r="382" spans="1:19" x14ac:dyDescent="0.25">
      <c r="A382" s="26">
        <v>43319</v>
      </c>
      <c r="B382" s="17">
        <v>2000</v>
      </c>
      <c r="D382" s="36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>
        <f t="shared" si="114"/>
        <v>3443.6400000000012</v>
      </c>
      <c r="R382" s="2"/>
    </row>
    <row r="383" spans="1:19" x14ac:dyDescent="0.25">
      <c r="A383" s="26">
        <v>43319</v>
      </c>
      <c r="B383" s="17"/>
      <c r="C383" s="7" t="s">
        <v>186</v>
      </c>
      <c r="D383" s="36"/>
      <c r="E383" s="17"/>
      <c r="F383" s="17"/>
      <c r="G383" s="17"/>
      <c r="H383" s="17"/>
      <c r="I383" s="17"/>
      <c r="J383" s="17"/>
      <c r="K383" s="17"/>
      <c r="L383" s="17"/>
      <c r="M383" s="17"/>
      <c r="N383" s="17">
        <v>16.5</v>
      </c>
      <c r="O383" s="17"/>
      <c r="P383" s="17"/>
      <c r="Q383" s="17">
        <f t="shared" si="114"/>
        <v>3460.1400000000012</v>
      </c>
      <c r="R383" s="2"/>
    </row>
    <row r="384" spans="1:19" x14ac:dyDescent="0.25">
      <c r="A384" s="26">
        <v>43319</v>
      </c>
      <c r="B384" s="17"/>
      <c r="C384" s="7" t="s">
        <v>222</v>
      </c>
      <c r="D384" s="36"/>
      <c r="E384" s="17"/>
      <c r="F384" s="17"/>
      <c r="G384" s="17"/>
      <c r="H384" s="17"/>
      <c r="I384" s="17"/>
      <c r="J384" s="17"/>
      <c r="K384" s="17"/>
      <c r="L384" s="17"/>
      <c r="M384" s="17"/>
      <c r="N384" s="17">
        <v>5.36</v>
      </c>
      <c r="O384" s="17"/>
      <c r="P384" s="17"/>
      <c r="Q384" s="17">
        <f t="shared" si="114"/>
        <v>3465.5000000000014</v>
      </c>
      <c r="R384" s="2"/>
    </row>
    <row r="385" spans="1:19" x14ac:dyDescent="0.25">
      <c r="A385" s="26">
        <v>43319</v>
      </c>
      <c r="B385" s="17"/>
      <c r="C385" s="7" t="s">
        <v>222</v>
      </c>
      <c r="D385" s="36">
        <v>7</v>
      </c>
      <c r="E385" s="17">
        <v>90.1</v>
      </c>
      <c r="F385" s="17">
        <f>D385*E385</f>
        <v>630.69999999999993</v>
      </c>
      <c r="G385" s="17">
        <v>0.15</v>
      </c>
      <c r="H385" s="17">
        <v>0.03</v>
      </c>
      <c r="I385" s="17"/>
      <c r="J385" s="17">
        <v>0</v>
      </c>
      <c r="K385" s="17">
        <f>SUM(F385:J385)</f>
        <v>630.87999999999988</v>
      </c>
      <c r="L385" s="17"/>
      <c r="M385" s="17"/>
      <c r="N385" s="17"/>
      <c r="O385" s="17"/>
      <c r="P385" s="17"/>
      <c r="Q385" s="17">
        <f>Q384+B385-K385-L385-M385+N385+O385+P385</f>
        <v>2834.6200000000017</v>
      </c>
      <c r="R385" s="2"/>
      <c r="S385" s="20"/>
    </row>
    <row r="386" spans="1:19" x14ac:dyDescent="0.25">
      <c r="A386" s="26">
        <v>43319</v>
      </c>
      <c r="B386" s="17"/>
      <c r="C386" s="7" t="s">
        <v>221</v>
      </c>
      <c r="D386" s="36">
        <v>50</v>
      </c>
      <c r="E386" s="17">
        <v>10.1</v>
      </c>
      <c r="F386" s="17">
        <f>D386*E386</f>
        <v>505</v>
      </c>
      <c r="G386" s="17">
        <v>0.16</v>
      </c>
      <c r="H386" s="17">
        <v>0.02</v>
      </c>
      <c r="I386" s="17"/>
      <c r="J386" s="17">
        <v>0</v>
      </c>
      <c r="K386" s="17">
        <f>SUM(F386:J386)</f>
        <v>505.18</v>
      </c>
      <c r="L386" s="17"/>
      <c r="M386" s="17"/>
      <c r="N386" s="17"/>
      <c r="O386" s="17"/>
      <c r="P386" s="17"/>
      <c r="Q386" s="17">
        <f>Q385+B386-K386-L386-M386+N386+O386+P386</f>
        <v>2329.4400000000019</v>
      </c>
      <c r="R386" s="2"/>
    </row>
    <row r="387" spans="1:19" x14ac:dyDescent="0.25">
      <c r="A387" s="26">
        <v>43319</v>
      </c>
      <c r="B387" s="17"/>
      <c r="C387" s="7" t="s">
        <v>92</v>
      </c>
      <c r="D387" s="36"/>
      <c r="E387" s="17"/>
      <c r="F387" s="17"/>
      <c r="G387" s="17"/>
      <c r="H387" s="17"/>
      <c r="I387" s="17"/>
      <c r="J387" s="17"/>
      <c r="K387" s="17">
        <v>368.86</v>
      </c>
      <c r="L387" s="17"/>
      <c r="M387" s="17"/>
      <c r="N387" s="17"/>
      <c r="O387" s="17"/>
      <c r="P387" s="17"/>
      <c r="Q387" s="17">
        <f>Q386+B387-K387-L387-M387+N387+O387+P387</f>
        <v>1960.5800000000017</v>
      </c>
      <c r="R387" s="2"/>
      <c r="S387" s="20"/>
    </row>
    <row r="388" spans="1:19" x14ac:dyDescent="0.25">
      <c r="A388" s="26">
        <v>43320</v>
      </c>
      <c r="B388" s="17"/>
      <c r="C388" s="7" t="s">
        <v>184</v>
      </c>
      <c r="D388" s="36">
        <v>10</v>
      </c>
      <c r="E388" s="17">
        <v>66.5</v>
      </c>
      <c r="F388" s="17">
        <f>D388*E388</f>
        <v>665</v>
      </c>
      <c r="G388" s="17">
        <v>0.18</v>
      </c>
      <c r="H388" s="17">
        <v>0.03</v>
      </c>
      <c r="I388" s="17"/>
      <c r="J388" s="17">
        <v>0</v>
      </c>
      <c r="K388" s="17">
        <f>SUM(F388:J388)</f>
        <v>665.20999999999992</v>
      </c>
      <c r="L388" s="17"/>
      <c r="M388" s="17"/>
      <c r="N388" s="17"/>
      <c r="O388" s="17"/>
      <c r="P388" s="17"/>
      <c r="Q388" s="17">
        <f>Q387+B388-K388-L388-M388+N388+O388+P388</f>
        <v>1295.3700000000017</v>
      </c>
      <c r="R388" s="2"/>
    </row>
    <row r="389" spans="1:19" x14ac:dyDescent="0.25">
      <c r="A389" s="26">
        <v>43321</v>
      </c>
      <c r="B389" s="17"/>
      <c r="C389" s="7" t="s">
        <v>180</v>
      </c>
      <c r="D389" s="36">
        <v>10</v>
      </c>
      <c r="E389" s="17">
        <v>38.1</v>
      </c>
      <c r="F389" s="17">
        <f>D389*E389</f>
        <v>381</v>
      </c>
      <c r="G389" s="17">
        <v>0.15</v>
      </c>
      <c r="H389" s="17">
        <v>0.03</v>
      </c>
      <c r="I389" s="17"/>
      <c r="J389" s="17">
        <v>0</v>
      </c>
      <c r="K389" s="17">
        <f>SUM(F389:J389)</f>
        <v>381.17999999999995</v>
      </c>
      <c r="L389" s="17"/>
      <c r="M389" s="17"/>
      <c r="N389" s="17"/>
      <c r="O389" s="17"/>
      <c r="P389" s="17"/>
      <c r="Q389" s="17">
        <f t="shared" si="114"/>
        <v>914.19000000000176</v>
      </c>
      <c r="R389" s="2"/>
    </row>
    <row r="390" spans="1:19" x14ac:dyDescent="0.25">
      <c r="A390" s="26">
        <v>43321</v>
      </c>
      <c r="B390" s="17"/>
      <c r="C390" s="7" t="s">
        <v>186</v>
      </c>
      <c r="D390" s="36">
        <v>10</v>
      </c>
      <c r="E390" s="17">
        <v>72.400000000000006</v>
      </c>
      <c r="F390" s="17">
        <f>D390*E390</f>
        <v>724</v>
      </c>
      <c r="G390" s="17">
        <v>0.15</v>
      </c>
      <c r="H390" s="17">
        <v>0.02</v>
      </c>
      <c r="I390" s="17"/>
      <c r="J390" s="17">
        <v>0</v>
      </c>
      <c r="K390" s="17">
        <f>SUM(F390:J390)</f>
        <v>724.17</v>
      </c>
      <c r="L390" s="17"/>
      <c r="M390" s="17"/>
      <c r="N390" s="17"/>
      <c r="O390" s="17"/>
      <c r="P390" s="17"/>
      <c r="Q390" s="17">
        <f t="shared" si="114"/>
        <v>190.0200000000018</v>
      </c>
      <c r="R390" s="2"/>
    </row>
    <row r="391" spans="1:19" x14ac:dyDescent="0.25">
      <c r="A391" s="26" t="s">
        <v>224</v>
      </c>
      <c r="B391" s="17"/>
      <c r="C391" s="7" t="s">
        <v>171</v>
      </c>
      <c r="D391" s="36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>
        <v>188.19</v>
      </c>
      <c r="Q391" s="17">
        <f t="shared" si="114"/>
        <v>378.2100000000018</v>
      </c>
      <c r="R391" s="2"/>
    </row>
    <row r="392" spans="1:19" x14ac:dyDescent="0.25">
      <c r="A392" s="26">
        <v>43322</v>
      </c>
      <c r="B392" s="17"/>
      <c r="C392" s="7" t="s">
        <v>171</v>
      </c>
      <c r="D392" s="36">
        <v>15</v>
      </c>
      <c r="E392" s="17">
        <f>182.05/15</f>
        <v>12.136666666666667</v>
      </c>
      <c r="F392" s="17">
        <f>D392*E392</f>
        <v>182.05</v>
      </c>
      <c r="G392" s="17">
        <v>0</v>
      </c>
      <c r="H392" s="17">
        <v>0</v>
      </c>
      <c r="I392" s="17"/>
      <c r="J392" s="17">
        <v>0</v>
      </c>
      <c r="K392" s="17">
        <f>SUM(F392:J392)</f>
        <v>182.05</v>
      </c>
      <c r="L392" s="17"/>
      <c r="M392" s="17"/>
      <c r="N392" s="17"/>
      <c r="O392" s="17"/>
      <c r="P392" s="17"/>
      <c r="Q392" s="17">
        <f t="shared" si="114"/>
        <v>196.16000000000179</v>
      </c>
      <c r="R392" s="2"/>
    </row>
    <row r="393" spans="1:19" x14ac:dyDescent="0.25">
      <c r="A393" s="26">
        <v>43326</v>
      </c>
      <c r="B393" s="17"/>
      <c r="C393" s="7" t="s">
        <v>217</v>
      </c>
      <c r="D393" s="36"/>
      <c r="E393" s="17"/>
      <c r="F393" s="17"/>
      <c r="G393" s="17"/>
      <c r="H393" s="17"/>
      <c r="I393" s="17"/>
      <c r="J393" s="17"/>
      <c r="K393" s="17"/>
      <c r="L393" s="17"/>
      <c r="M393" s="17"/>
      <c r="N393" s="17">
        <v>1.34</v>
      </c>
      <c r="O393" s="17"/>
      <c r="P393" s="17"/>
      <c r="Q393" s="17">
        <f t="shared" si="114"/>
        <v>197.50000000000179</v>
      </c>
      <c r="R393" s="2"/>
    </row>
    <row r="394" spans="1:19" x14ac:dyDescent="0.25">
      <c r="A394" s="26">
        <v>43326</v>
      </c>
      <c r="B394" s="17"/>
      <c r="C394" s="7" t="s">
        <v>169</v>
      </c>
      <c r="D394" s="36"/>
      <c r="E394" s="17"/>
      <c r="F394" s="17"/>
      <c r="G394" s="17"/>
      <c r="H394" s="17"/>
      <c r="I394" s="17"/>
      <c r="J394" s="17"/>
      <c r="K394" s="17"/>
      <c r="L394" s="17"/>
      <c r="M394" s="17"/>
      <c r="N394" s="17">
        <v>42.7</v>
      </c>
      <c r="O394" s="17"/>
      <c r="P394" s="17"/>
      <c r="Q394" s="17">
        <f t="shared" si="114"/>
        <v>240.20000000000181</v>
      </c>
      <c r="R394" s="2"/>
    </row>
    <row r="395" spans="1:19" x14ac:dyDescent="0.25">
      <c r="A395" s="26">
        <v>43326</v>
      </c>
      <c r="B395" s="17"/>
      <c r="C395" s="7" t="s">
        <v>181</v>
      </c>
      <c r="D395" s="36"/>
      <c r="E395" s="17"/>
      <c r="F395" s="17"/>
      <c r="G395" s="17"/>
      <c r="H395" s="17"/>
      <c r="I395" s="17"/>
      <c r="J395" s="17"/>
      <c r="K395" s="17"/>
      <c r="L395" s="17"/>
      <c r="M395" s="17"/>
      <c r="N395" s="17">
        <v>39.04</v>
      </c>
      <c r="O395" s="17"/>
      <c r="P395" s="17"/>
      <c r="Q395" s="17">
        <f t="shared" si="114"/>
        <v>279.24000000000183</v>
      </c>
      <c r="R395" s="2"/>
    </row>
    <row r="396" spans="1:19" x14ac:dyDescent="0.25">
      <c r="A396" s="26">
        <v>43326</v>
      </c>
      <c r="B396" s="17"/>
      <c r="C396" s="7" t="s">
        <v>183</v>
      </c>
      <c r="D396" s="36"/>
      <c r="E396" s="17"/>
      <c r="F396" s="17"/>
      <c r="G396" s="17"/>
      <c r="H396" s="17"/>
      <c r="I396" s="17"/>
      <c r="J396" s="17"/>
      <c r="K396" s="17"/>
      <c r="L396" s="17"/>
      <c r="M396" s="17"/>
      <c r="N396" s="17">
        <v>7.61</v>
      </c>
      <c r="O396" s="17"/>
      <c r="P396" s="17"/>
      <c r="Q396" s="17">
        <f t="shared" si="114"/>
        <v>286.85000000000184</v>
      </c>
      <c r="R396" s="2"/>
    </row>
    <row r="397" spans="1:19" x14ac:dyDescent="0.25">
      <c r="A397" s="26">
        <v>43326</v>
      </c>
      <c r="B397" s="17"/>
      <c r="C397" s="7" t="s">
        <v>221</v>
      </c>
      <c r="D397" s="36"/>
      <c r="E397" s="17"/>
      <c r="F397" s="17"/>
      <c r="G397" s="17"/>
      <c r="H397" s="17"/>
      <c r="I397" s="17"/>
      <c r="J397" s="17"/>
      <c r="K397" s="17"/>
      <c r="L397" s="17"/>
      <c r="M397" s="17"/>
      <c r="N397" s="17">
        <v>4</v>
      </c>
      <c r="O397" s="17"/>
      <c r="P397" s="17"/>
      <c r="Q397" s="17">
        <f t="shared" si="114"/>
        <v>290.85000000000184</v>
      </c>
      <c r="R397" s="2"/>
      <c r="S397" s="20"/>
    </row>
    <row r="398" spans="1:19" x14ac:dyDescent="0.25">
      <c r="A398" s="26">
        <v>43326</v>
      </c>
      <c r="B398" s="17"/>
      <c r="C398" s="7" t="s">
        <v>184</v>
      </c>
      <c r="D398" s="36"/>
      <c r="E398" s="17"/>
      <c r="F398" s="17"/>
      <c r="G398" s="17"/>
      <c r="H398" s="17"/>
      <c r="I398" s="17"/>
      <c r="J398" s="17"/>
      <c r="K398" s="17"/>
      <c r="L398" s="17"/>
      <c r="M398" s="17"/>
      <c r="N398" s="17">
        <v>58.33</v>
      </c>
      <c r="O398" s="17"/>
      <c r="P398" s="17"/>
      <c r="Q398" s="17">
        <f t="shared" si="114"/>
        <v>349.18000000000183</v>
      </c>
      <c r="R398" s="2"/>
    </row>
    <row r="399" spans="1:19" x14ac:dyDescent="0.25">
      <c r="A399" s="26">
        <v>43326</v>
      </c>
      <c r="B399" s="17"/>
      <c r="C399" s="7" t="s">
        <v>173</v>
      </c>
      <c r="D399" s="36"/>
      <c r="E399" s="17"/>
      <c r="F399" s="17"/>
      <c r="G399" s="17"/>
      <c r="H399" s="17"/>
      <c r="I399" s="17"/>
      <c r="J399" s="17"/>
      <c r="K399" s="17"/>
      <c r="L399" s="17"/>
      <c r="M399" s="17"/>
      <c r="N399" s="17">
        <v>265</v>
      </c>
      <c r="O399" s="17"/>
      <c r="P399" s="17"/>
      <c r="Q399" s="17">
        <f t="shared" si="114"/>
        <v>614.18000000000188</v>
      </c>
      <c r="R399" s="2"/>
    </row>
    <row r="400" spans="1:19" x14ac:dyDescent="0.25">
      <c r="A400" s="26">
        <v>43327</v>
      </c>
      <c r="B400" s="17"/>
      <c r="C400" s="7" t="s">
        <v>88</v>
      </c>
      <c r="D400" s="36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>
        <v>110.97</v>
      </c>
      <c r="P400" s="17"/>
      <c r="Q400" s="17">
        <f t="shared" si="114"/>
        <v>725.15000000000191</v>
      </c>
      <c r="R400" s="2"/>
    </row>
    <row r="401" spans="1:20" x14ac:dyDescent="0.25">
      <c r="A401" s="26">
        <v>43327</v>
      </c>
      <c r="B401" s="17"/>
      <c r="C401" s="7" t="s">
        <v>92</v>
      </c>
      <c r="D401" s="36"/>
      <c r="E401" s="17"/>
      <c r="F401" s="17"/>
      <c r="G401" s="17"/>
      <c r="H401" s="17"/>
      <c r="I401" s="17"/>
      <c r="J401" s="17"/>
      <c r="K401" s="17"/>
      <c r="L401" s="17"/>
      <c r="M401" s="17"/>
      <c r="N401" s="17">
        <v>397.23</v>
      </c>
      <c r="O401" s="17"/>
      <c r="P401" s="17"/>
      <c r="Q401" s="17">
        <f t="shared" si="114"/>
        <v>1122.3800000000019</v>
      </c>
      <c r="R401" s="2"/>
    </row>
    <row r="402" spans="1:20" x14ac:dyDescent="0.25">
      <c r="A402" s="26">
        <v>43327</v>
      </c>
      <c r="B402" s="17"/>
      <c r="C402" s="7" t="s">
        <v>219</v>
      </c>
      <c r="D402" s="36">
        <v>100</v>
      </c>
      <c r="E402" s="17">
        <v>5.52</v>
      </c>
      <c r="F402" s="17">
        <f>D402*E402</f>
        <v>552</v>
      </c>
      <c r="G402" s="17">
        <v>0.15</v>
      </c>
      <c r="H402" s="17">
        <v>0.02</v>
      </c>
      <c r="I402" s="17"/>
      <c r="J402" s="17">
        <v>2.4900000000000002</v>
      </c>
      <c r="K402" s="17">
        <f>SUM(F402:J402)</f>
        <v>554.66</v>
      </c>
      <c r="L402" s="17"/>
      <c r="M402" s="17"/>
      <c r="N402" s="17"/>
      <c r="O402" s="17"/>
      <c r="P402" s="17"/>
      <c r="Q402" s="17">
        <f t="shared" si="114"/>
        <v>567.72000000000196</v>
      </c>
      <c r="R402" s="2"/>
    </row>
    <row r="403" spans="1:20" x14ac:dyDescent="0.25">
      <c r="A403" s="26">
        <v>43328</v>
      </c>
      <c r="B403" s="17"/>
      <c r="C403" s="7" t="s">
        <v>220</v>
      </c>
      <c r="D403" s="36"/>
      <c r="E403" s="17"/>
      <c r="F403" s="17"/>
      <c r="G403" s="17"/>
      <c r="H403" s="17"/>
      <c r="I403" s="17"/>
      <c r="J403" s="17"/>
      <c r="K403" s="17"/>
      <c r="L403" s="17"/>
      <c r="M403" s="17"/>
      <c r="N403" s="17">
        <v>3.52</v>
      </c>
      <c r="O403" s="17"/>
      <c r="P403" s="17"/>
      <c r="Q403" s="17">
        <f t="shared" si="114"/>
        <v>571.24000000000194</v>
      </c>
      <c r="R403" s="2"/>
    </row>
    <row r="404" spans="1:20" x14ac:dyDescent="0.25">
      <c r="A404" s="26">
        <v>43328</v>
      </c>
      <c r="B404" s="17"/>
      <c r="C404" s="7" t="s">
        <v>180</v>
      </c>
      <c r="D404" s="36">
        <v>10</v>
      </c>
      <c r="E404" s="17">
        <v>38.549999999999997</v>
      </c>
      <c r="F404" s="17">
        <f>D404*E404</f>
        <v>385.5</v>
      </c>
      <c r="G404" s="17">
        <v>0.1</v>
      </c>
      <c r="H404" s="17">
        <v>0.01</v>
      </c>
      <c r="I404" s="17"/>
      <c r="J404" s="17">
        <v>0</v>
      </c>
      <c r="K404" s="17">
        <f>SUM(F404:J404)</f>
        <v>385.61</v>
      </c>
      <c r="L404" s="17"/>
      <c r="M404" s="17"/>
      <c r="N404" s="17"/>
      <c r="O404" s="17"/>
      <c r="P404" s="17"/>
      <c r="Q404" s="17">
        <f t="shared" ref="Q404:Q449" si="145">Q403+B404-K404-L404-M404+N404+O404+P404</f>
        <v>185.63000000000193</v>
      </c>
      <c r="R404" s="2"/>
    </row>
    <row r="405" spans="1:20" x14ac:dyDescent="0.25">
      <c r="A405" s="26">
        <v>43329</v>
      </c>
      <c r="B405" s="17">
        <v>1000</v>
      </c>
      <c r="D405" s="36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>
        <f t="shared" si="145"/>
        <v>1185.6300000000019</v>
      </c>
      <c r="R405" s="2"/>
    </row>
    <row r="406" spans="1:20" x14ac:dyDescent="0.25">
      <c r="A406" s="26">
        <v>43332</v>
      </c>
      <c r="B406" s="17"/>
      <c r="C406" s="7" t="s">
        <v>170</v>
      </c>
      <c r="D406" s="36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>
        <v>166.59</v>
      </c>
      <c r="P406" s="17"/>
      <c r="Q406" s="17">
        <f t="shared" si="145"/>
        <v>1352.2200000000018</v>
      </c>
      <c r="R406" s="2"/>
      <c r="T406" s="20"/>
    </row>
    <row r="407" spans="1:20" x14ac:dyDescent="0.25">
      <c r="A407" s="26">
        <v>43332</v>
      </c>
      <c r="B407" s="17"/>
      <c r="C407" s="7" t="s">
        <v>170</v>
      </c>
      <c r="D407" s="36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>
        <v>111.84</v>
      </c>
      <c r="Q407" s="17">
        <f t="shared" si="145"/>
        <v>1464.0600000000018</v>
      </c>
      <c r="R407" s="2"/>
    </row>
    <row r="408" spans="1:20" x14ac:dyDescent="0.25">
      <c r="A408" s="26">
        <v>43332</v>
      </c>
      <c r="B408" s="17"/>
      <c r="C408" s="7" t="s">
        <v>171</v>
      </c>
      <c r="D408" s="36">
        <v>60</v>
      </c>
      <c r="E408" s="17">
        <v>14.93</v>
      </c>
      <c r="F408" s="17">
        <f>D408*E408</f>
        <v>895.8</v>
      </c>
      <c r="G408" s="17">
        <v>0.16</v>
      </c>
      <c r="H408" s="17">
        <v>0.03</v>
      </c>
      <c r="I408" s="17"/>
      <c r="J408" s="17">
        <v>2.4900000000000002</v>
      </c>
      <c r="K408" s="17">
        <f>SUM(F408:J408)</f>
        <v>898.4799999999999</v>
      </c>
      <c r="L408" s="17"/>
      <c r="M408" s="17"/>
      <c r="N408" s="17"/>
      <c r="O408" s="17"/>
      <c r="P408" s="17"/>
      <c r="Q408" s="17">
        <f t="shared" si="145"/>
        <v>565.58000000000186</v>
      </c>
      <c r="R408" s="2"/>
    </row>
    <row r="409" spans="1:20" x14ac:dyDescent="0.25">
      <c r="A409" s="26">
        <v>43332</v>
      </c>
      <c r="B409" s="17"/>
      <c r="C409" s="7" t="s">
        <v>221</v>
      </c>
      <c r="D409" s="36">
        <v>30</v>
      </c>
      <c r="E409" s="17">
        <v>10.11</v>
      </c>
      <c r="F409" s="17">
        <f>D409*E409</f>
        <v>303.29999999999995</v>
      </c>
      <c r="G409" s="17">
        <v>0.16</v>
      </c>
      <c r="H409" s="17">
        <v>0.02</v>
      </c>
      <c r="I409" s="17"/>
      <c r="J409" s="17">
        <v>0</v>
      </c>
      <c r="K409" s="17">
        <f>SUM(F409:J409)</f>
        <v>303.47999999999996</v>
      </c>
      <c r="L409" s="17"/>
      <c r="M409" s="17"/>
      <c r="N409" s="17"/>
      <c r="O409" s="17"/>
      <c r="P409" s="17"/>
      <c r="Q409" s="17">
        <f t="shared" si="145"/>
        <v>262.1000000000019</v>
      </c>
      <c r="R409" s="2"/>
      <c r="S409" s="20"/>
    </row>
    <row r="410" spans="1:20" x14ac:dyDescent="0.25">
      <c r="A410" s="26">
        <v>43334</v>
      </c>
      <c r="B410" s="17"/>
      <c r="C410" s="7" t="s">
        <v>92</v>
      </c>
      <c r="D410" s="36"/>
      <c r="E410" s="17"/>
      <c r="F410" s="17"/>
      <c r="G410" s="17"/>
      <c r="H410" s="17"/>
      <c r="I410" s="17"/>
      <c r="J410" s="17"/>
      <c r="K410" s="17">
        <v>133.07</v>
      </c>
      <c r="L410" s="17"/>
      <c r="M410" s="17"/>
      <c r="N410" s="17"/>
      <c r="O410" s="17"/>
      <c r="P410" s="17"/>
      <c r="Q410" s="17">
        <f t="shared" si="145"/>
        <v>129.03000000000191</v>
      </c>
      <c r="R410" s="2"/>
    </row>
    <row r="411" spans="1:20" x14ac:dyDescent="0.25">
      <c r="A411" s="26">
        <v>43335</v>
      </c>
      <c r="B411" s="17"/>
      <c r="C411" s="7" t="s">
        <v>82</v>
      </c>
      <c r="D411" s="36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>
        <v>8.5</v>
      </c>
      <c r="Q411" s="17">
        <f t="shared" si="145"/>
        <v>137.53000000000191</v>
      </c>
      <c r="R411" s="2"/>
    </row>
    <row r="412" spans="1:20" x14ac:dyDescent="0.25">
      <c r="A412" s="26">
        <v>43340</v>
      </c>
      <c r="B412" s="17"/>
      <c r="C412" s="7" t="s">
        <v>85</v>
      </c>
      <c r="D412" s="36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>
        <v>7.94</v>
      </c>
      <c r="P412" s="17"/>
      <c r="Q412" s="17">
        <f t="shared" si="145"/>
        <v>145.4700000000019</v>
      </c>
      <c r="R412" s="2"/>
    </row>
    <row r="413" spans="1:20" x14ac:dyDescent="0.25">
      <c r="A413" s="26">
        <v>43342</v>
      </c>
      <c r="B413" s="17"/>
      <c r="C413" s="7" t="s">
        <v>85</v>
      </c>
      <c r="D413" s="36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>
        <v>472.9</v>
      </c>
      <c r="P413" s="17">
        <v>19.38</v>
      </c>
      <c r="Q413" s="17">
        <f t="shared" si="145"/>
        <v>637.75000000000193</v>
      </c>
      <c r="R413" s="2"/>
    </row>
    <row r="414" spans="1:20" x14ac:dyDescent="0.25">
      <c r="A414" s="26">
        <v>43342</v>
      </c>
      <c r="B414" s="17"/>
      <c r="C414" s="7" t="s">
        <v>92</v>
      </c>
      <c r="D414" s="36"/>
      <c r="E414" s="17"/>
      <c r="F414" s="17"/>
      <c r="G414" s="17"/>
      <c r="H414" s="17"/>
      <c r="I414" s="17"/>
      <c r="J414" s="17"/>
      <c r="K414" s="17">
        <v>506.23</v>
      </c>
      <c r="L414" s="17"/>
      <c r="M414" s="17"/>
      <c r="N414" s="17"/>
      <c r="O414" s="17"/>
      <c r="P414" s="17"/>
      <c r="Q414" s="17">
        <f t="shared" si="145"/>
        <v>131.52000000000191</v>
      </c>
      <c r="R414" s="2"/>
    </row>
    <row r="415" spans="1:20" x14ac:dyDescent="0.25">
      <c r="A415" s="26">
        <v>43343</v>
      </c>
      <c r="B415" s="17">
        <v>2000</v>
      </c>
      <c r="D415" s="36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>
        <f t="shared" si="145"/>
        <v>2131.5200000000018</v>
      </c>
      <c r="R415" s="2"/>
    </row>
    <row r="416" spans="1:20" x14ac:dyDescent="0.25">
      <c r="A416" s="26">
        <v>43343</v>
      </c>
      <c r="B416" s="17"/>
      <c r="C416" s="7" t="s">
        <v>173</v>
      </c>
      <c r="D416" s="36">
        <v>10</v>
      </c>
      <c r="E416" s="17">
        <v>77.900000000000006</v>
      </c>
      <c r="F416" s="17">
        <f>D416*E416</f>
        <v>779</v>
      </c>
      <c r="G416" s="17">
        <v>0.21</v>
      </c>
      <c r="H416" s="17">
        <v>0.03</v>
      </c>
      <c r="I416" s="17"/>
      <c r="J416" s="17">
        <v>0</v>
      </c>
      <c r="K416" s="17">
        <f>SUM(F416:J416)</f>
        <v>779.24</v>
      </c>
      <c r="L416" s="17"/>
      <c r="M416" s="17"/>
      <c r="N416" s="17"/>
      <c r="O416" s="17"/>
      <c r="P416" s="17"/>
      <c r="Q416" s="17">
        <f t="shared" si="145"/>
        <v>1352.2800000000018</v>
      </c>
      <c r="R416" s="2"/>
    </row>
    <row r="417" spans="1:18" x14ac:dyDescent="0.25">
      <c r="A417" s="26">
        <v>43343</v>
      </c>
      <c r="B417" s="17"/>
      <c r="C417" s="7" t="s">
        <v>226</v>
      </c>
      <c r="D417" s="36"/>
      <c r="E417" s="17"/>
      <c r="F417" s="17"/>
      <c r="G417" s="17"/>
      <c r="H417" s="17"/>
      <c r="I417" s="17"/>
      <c r="J417" s="17"/>
      <c r="K417" s="17">
        <v>492</v>
      </c>
      <c r="L417" s="17"/>
      <c r="M417" s="17"/>
      <c r="N417" s="17"/>
      <c r="O417" s="17"/>
      <c r="P417" s="17"/>
      <c r="Q417" s="17">
        <f t="shared" si="145"/>
        <v>860.28000000000179</v>
      </c>
      <c r="R417" s="2"/>
    </row>
    <row r="418" spans="1:18" x14ac:dyDescent="0.25">
      <c r="A418" s="26">
        <v>43346</v>
      </c>
      <c r="B418" s="17"/>
      <c r="C418" s="7" t="s">
        <v>217</v>
      </c>
      <c r="D418" s="36">
        <v>8</v>
      </c>
      <c r="E418" s="17">
        <v>89.3</v>
      </c>
      <c r="F418" s="17">
        <f>D418*E418</f>
        <v>714.4</v>
      </c>
      <c r="G418" s="17">
        <v>0.25</v>
      </c>
      <c r="H418" s="17">
        <v>0.04</v>
      </c>
      <c r="I418" s="17"/>
      <c r="J418" s="17">
        <v>0</v>
      </c>
      <c r="K418" s="17">
        <f>SUM(F418:J418)</f>
        <v>714.68999999999994</v>
      </c>
      <c r="L418" s="17"/>
      <c r="M418" s="17"/>
      <c r="N418" s="17"/>
      <c r="O418" s="17"/>
      <c r="P418" s="17"/>
      <c r="Q418" s="17">
        <f t="shared" si="145"/>
        <v>145.59000000000185</v>
      </c>
      <c r="R418" s="2"/>
    </row>
    <row r="419" spans="1:18" x14ac:dyDescent="0.25">
      <c r="A419" s="26">
        <v>43348</v>
      </c>
      <c r="B419" s="17">
        <v>2000</v>
      </c>
      <c r="D419" s="36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>
        <f t="shared" si="145"/>
        <v>2145.590000000002</v>
      </c>
      <c r="R419" s="2"/>
    </row>
    <row r="420" spans="1:18" x14ac:dyDescent="0.25">
      <c r="A420" s="26">
        <v>43348</v>
      </c>
      <c r="B420" s="17"/>
      <c r="C420" s="7" t="s">
        <v>226</v>
      </c>
      <c r="D420" s="36"/>
      <c r="E420" s="17"/>
      <c r="F420" s="17"/>
      <c r="G420" s="17"/>
      <c r="H420" s="17"/>
      <c r="I420" s="17"/>
      <c r="J420" s="17"/>
      <c r="K420" s="17">
        <v>496.6</v>
      </c>
      <c r="L420" s="17"/>
      <c r="M420" s="17"/>
      <c r="N420" s="17"/>
      <c r="O420" s="17"/>
      <c r="P420" s="17"/>
      <c r="Q420" s="17">
        <f t="shared" si="145"/>
        <v>1648.9900000000021</v>
      </c>
      <c r="R420" s="2"/>
    </row>
    <row r="421" spans="1:18" x14ac:dyDescent="0.25">
      <c r="A421" s="26">
        <v>43348</v>
      </c>
      <c r="B421" s="17"/>
      <c r="C421" s="7" t="s">
        <v>169</v>
      </c>
      <c r="D421" s="36">
        <v>10</v>
      </c>
      <c r="E421" s="17">
        <v>97.97</v>
      </c>
      <c r="F421" s="17">
        <f>D421*E421</f>
        <v>979.7</v>
      </c>
      <c r="G421" s="17">
        <v>0.25</v>
      </c>
      <c r="H421" s="17">
        <v>0.04</v>
      </c>
      <c r="I421" s="17"/>
      <c r="J421" s="17">
        <v>0</v>
      </c>
      <c r="K421" s="17">
        <f>SUM(F421:J421)</f>
        <v>979.99</v>
      </c>
      <c r="L421" s="17"/>
      <c r="M421" s="17"/>
      <c r="N421" s="17"/>
      <c r="O421" s="17"/>
      <c r="P421" s="17"/>
      <c r="Q421" s="17">
        <f t="shared" si="145"/>
        <v>669.00000000000205</v>
      </c>
      <c r="R421" s="2"/>
    </row>
    <row r="422" spans="1:18" x14ac:dyDescent="0.25">
      <c r="A422" s="26">
        <v>43349</v>
      </c>
      <c r="B422" s="17">
        <v>2000</v>
      </c>
      <c r="D422" s="36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>
        <f t="shared" si="145"/>
        <v>2669.0000000000018</v>
      </c>
      <c r="R422" s="2"/>
    </row>
    <row r="423" spans="1:18" x14ac:dyDescent="0.25">
      <c r="A423" s="26">
        <v>43349</v>
      </c>
      <c r="B423" s="17"/>
      <c r="C423" s="7" t="s">
        <v>173</v>
      </c>
      <c r="D423" s="36">
        <v>10</v>
      </c>
      <c r="E423" s="17">
        <v>78.150000000000006</v>
      </c>
      <c r="F423" s="17">
        <f>D423*E423</f>
        <v>781.5</v>
      </c>
      <c r="G423" s="17">
        <v>0.25</v>
      </c>
      <c r="H423" s="17">
        <v>0.04</v>
      </c>
      <c r="I423" s="17"/>
      <c r="J423" s="17">
        <v>0</v>
      </c>
      <c r="K423" s="17">
        <f>SUM(F423:J423)</f>
        <v>781.79</v>
      </c>
      <c r="L423" s="17"/>
      <c r="M423" s="17"/>
      <c r="N423" s="17"/>
      <c r="O423" s="17"/>
      <c r="P423" s="17"/>
      <c r="Q423" s="17">
        <f t="shared" si="145"/>
        <v>1887.2100000000019</v>
      </c>
      <c r="R423" s="2"/>
    </row>
    <row r="424" spans="1:18" x14ac:dyDescent="0.25">
      <c r="A424" s="26">
        <v>43349</v>
      </c>
      <c r="B424" s="17"/>
      <c r="C424" s="7" t="s">
        <v>220</v>
      </c>
      <c r="D424" s="36">
        <v>5</v>
      </c>
      <c r="E424" s="17">
        <v>97.5</v>
      </c>
      <c r="F424" s="17">
        <f>D424*E424</f>
        <v>487.5</v>
      </c>
      <c r="G424" s="17">
        <v>0.25</v>
      </c>
      <c r="H424" s="17">
        <v>0.04</v>
      </c>
      <c r="I424" s="17"/>
      <c r="J424" s="17">
        <v>0</v>
      </c>
      <c r="K424" s="17">
        <f>SUM(F424:J424)</f>
        <v>487.79</v>
      </c>
      <c r="L424" s="17"/>
      <c r="M424" s="17"/>
      <c r="N424" s="17"/>
      <c r="O424" s="17"/>
      <c r="P424" s="17"/>
      <c r="Q424" s="17">
        <f t="shared" si="145"/>
        <v>1399.4200000000019</v>
      </c>
      <c r="R424" s="2"/>
    </row>
    <row r="425" spans="1:18" x14ac:dyDescent="0.25">
      <c r="A425" s="26">
        <v>43353</v>
      </c>
      <c r="B425" s="17"/>
      <c r="C425" s="7" t="s">
        <v>226</v>
      </c>
      <c r="D425" s="36"/>
      <c r="E425" s="17"/>
      <c r="F425" s="17"/>
      <c r="G425" s="17"/>
      <c r="H425" s="17"/>
      <c r="I425" s="17"/>
      <c r="J425" s="17"/>
      <c r="K425" s="17">
        <v>533.75</v>
      </c>
      <c r="L425" s="17"/>
      <c r="M425" s="17"/>
      <c r="N425" s="17"/>
      <c r="O425" s="17"/>
      <c r="P425" s="17"/>
      <c r="Q425" s="17">
        <f t="shared" si="145"/>
        <v>865.67000000000189</v>
      </c>
      <c r="R425" s="2"/>
    </row>
    <row r="426" spans="1:18" x14ac:dyDescent="0.25">
      <c r="A426" s="26">
        <v>43354</v>
      </c>
      <c r="B426" s="17"/>
      <c r="C426" s="7" t="s">
        <v>171</v>
      </c>
      <c r="D426" s="36">
        <v>50</v>
      </c>
      <c r="E426" s="17">
        <v>14.43</v>
      </c>
      <c r="F426" s="17">
        <f>D426*E426</f>
        <v>721.5</v>
      </c>
      <c r="G426" s="17">
        <v>0.25</v>
      </c>
      <c r="H426" s="17">
        <v>0.04</v>
      </c>
      <c r="I426" s="17"/>
      <c r="J426" s="17">
        <v>0</v>
      </c>
      <c r="K426" s="17">
        <f>SUM(F426:J426)</f>
        <v>721.79</v>
      </c>
      <c r="L426" s="17"/>
      <c r="M426" s="17"/>
      <c r="N426" s="17"/>
      <c r="O426" s="17"/>
      <c r="P426" s="17"/>
      <c r="Q426" s="17">
        <f t="shared" si="145"/>
        <v>143.88000000000193</v>
      </c>
      <c r="R426" s="2"/>
    </row>
    <row r="427" spans="1:18" x14ac:dyDescent="0.25">
      <c r="A427" s="26">
        <v>43354</v>
      </c>
      <c r="B427" s="17">
        <v>1000</v>
      </c>
      <c r="D427" s="36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>
        <f t="shared" si="145"/>
        <v>1143.8800000000019</v>
      </c>
      <c r="R427" s="2"/>
    </row>
    <row r="428" spans="1:18" x14ac:dyDescent="0.25">
      <c r="A428" s="26">
        <v>43356</v>
      </c>
      <c r="B428" s="17"/>
      <c r="C428" s="7" t="s">
        <v>181</v>
      </c>
      <c r="D428" s="36">
        <v>9</v>
      </c>
      <c r="E428" s="17">
        <v>90</v>
      </c>
      <c r="F428" s="17">
        <f>D428*E428</f>
        <v>810</v>
      </c>
      <c r="G428" s="17">
        <v>0.25</v>
      </c>
      <c r="H428" s="17">
        <v>0.04</v>
      </c>
      <c r="I428" s="17"/>
      <c r="J428" s="17">
        <v>0</v>
      </c>
      <c r="K428" s="17">
        <f>SUM(F428:J428)</f>
        <v>810.29</v>
      </c>
      <c r="L428" s="17"/>
      <c r="M428" s="17"/>
      <c r="N428" s="17"/>
      <c r="O428" s="17"/>
      <c r="P428" s="17"/>
      <c r="Q428" s="17">
        <f t="shared" si="145"/>
        <v>333.59000000000196</v>
      </c>
      <c r="R428" s="2"/>
    </row>
    <row r="429" spans="1:18" x14ac:dyDescent="0.25">
      <c r="A429" s="26">
        <v>43356</v>
      </c>
      <c r="B429" s="17"/>
      <c r="C429" s="7" t="s">
        <v>221</v>
      </c>
      <c r="D429" s="36">
        <v>25</v>
      </c>
      <c r="E429" s="17">
        <v>10</v>
      </c>
      <c r="F429" s="17">
        <f>D429*E429</f>
        <v>250</v>
      </c>
      <c r="G429" s="17">
        <v>0.25</v>
      </c>
      <c r="H429" s="17">
        <v>0.04</v>
      </c>
      <c r="I429" s="17"/>
      <c r="J429" s="17">
        <v>0</v>
      </c>
      <c r="K429" s="17">
        <f>SUM(F429:J429)</f>
        <v>250.29</v>
      </c>
      <c r="L429" s="17"/>
      <c r="M429" s="17"/>
      <c r="N429" s="17"/>
      <c r="O429" s="17"/>
      <c r="P429" s="17"/>
      <c r="Q429" s="17">
        <f t="shared" si="145"/>
        <v>83.300000000001972</v>
      </c>
      <c r="R429" s="2"/>
    </row>
    <row r="430" spans="1:18" x14ac:dyDescent="0.25">
      <c r="A430" s="26">
        <v>43360</v>
      </c>
      <c r="B430" s="17"/>
      <c r="C430" s="7" t="s">
        <v>217</v>
      </c>
      <c r="D430" s="36"/>
      <c r="E430" s="17"/>
      <c r="F430" s="17"/>
      <c r="G430" s="17"/>
      <c r="H430" s="17"/>
      <c r="I430" s="17"/>
      <c r="J430" s="17"/>
      <c r="K430" s="17"/>
      <c r="L430" s="17"/>
      <c r="M430" s="17"/>
      <c r="N430" s="17">
        <v>5</v>
      </c>
      <c r="O430" s="17"/>
      <c r="P430" s="17"/>
      <c r="Q430" s="17">
        <f t="shared" si="145"/>
        <v>88.300000000001972</v>
      </c>
      <c r="R430" s="2"/>
    </row>
    <row r="431" spans="1:18" x14ac:dyDescent="0.25">
      <c r="A431" s="26">
        <v>43360</v>
      </c>
      <c r="B431" s="17"/>
      <c r="C431" s="7" t="s">
        <v>181</v>
      </c>
      <c r="D431" s="36"/>
      <c r="E431" s="17"/>
      <c r="F431" s="17"/>
      <c r="G431" s="17"/>
      <c r="H431" s="17"/>
      <c r="I431" s="17"/>
      <c r="J431" s="17"/>
      <c r="K431" s="17"/>
      <c r="L431" s="17"/>
      <c r="M431" s="17"/>
      <c r="N431" s="17">
        <v>39.04</v>
      </c>
      <c r="O431" s="17"/>
      <c r="P431" s="17"/>
      <c r="Q431" s="17">
        <f t="shared" si="145"/>
        <v>127.34000000000196</v>
      </c>
      <c r="R431" s="2"/>
    </row>
    <row r="432" spans="1:18" x14ac:dyDescent="0.25">
      <c r="A432" s="26">
        <v>43360</v>
      </c>
      <c r="B432" s="17"/>
      <c r="C432" s="7" t="s">
        <v>183</v>
      </c>
      <c r="D432" s="36"/>
      <c r="E432" s="17"/>
      <c r="F432" s="17"/>
      <c r="G432" s="17"/>
      <c r="H432" s="17"/>
      <c r="I432" s="17"/>
      <c r="J432" s="17"/>
      <c r="K432" s="17"/>
      <c r="L432" s="17"/>
      <c r="M432" s="17"/>
      <c r="N432" s="17">
        <v>5.41</v>
      </c>
      <c r="O432" s="17"/>
      <c r="P432" s="17"/>
      <c r="Q432" s="17">
        <f t="shared" si="145"/>
        <v>132.75000000000196</v>
      </c>
      <c r="R432" s="2"/>
    </row>
    <row r="433" spans="1:18" x14ac:dyDescent="0.25">
      <c r="A433" s="26">
        <v>43360</v>
      </c>
      <c r="B433" s="17"/>
      <c r="C433" s="7" t="s">
        <v>221</v>
      </c>
      <c r="D433" s="36"/>
      <c r="E433" s="17"/>
      <c r="F433" s="17"/>
      <c r="G433" s="17"/>
      <c r="H433" s="17"/>
      <c r="I433" s="17"/>
      <c r="J433" s="17"/>
      <c r="K433" s="17"/>
      <c r="L433" s="17"/>
      <c r="M433" s="17"/>
      <c r="N433" s="17">
        <v>9.1</v>
      </c>
      <c r="O433" s="17"/>
      <c r="P433" s="17"/>
      <c r="Q433" s="17">
        <f t="shared" si="145"/>
        <v>141.85000000000196</v>
      </c>
      <c r="R433" s="2"/>
    </row>
    <row r="434" spans="1:18" x14ac:dyDescent="0.25">
      <c r="A434" s="26">
        <v>43360</v>
      </c>
      <c r="B434" s="17"/>
      <c r="C434" s="7" t="s">
        <v>184</v>
      </c>
      <c r="D434" s="36"/>
      <c r="E434" s="17"/>
      <c r="F434" s="17"/>
      <c r="G434" s="17"/>
      <c r="H434" s="17"/>
      <c r="I434" s="17"/>
      <c r="J434" s="17"/>
      <c r="K434" s="17"/>
      <c r="L434" s="17"/>
      <c r="M434" s="17"/>
      <c r="N434" s="17">
        <v>66.66</v>
      </c>
      <c r="O434" s="17"/>
      <c r="P434" s="17"/>
      <c r="Q434" s="17">
        <f t="shared" si="145"/>
        <v>208.51000000000195</v>
      </c>
      <c r="R434" s="2"/>
    </row>
    <row r="435" spans="1:18" x14ac:dyDescent="0.25">
      <c r="A435" s="26">
        <v>43360</v>
      </c>
      <c r="B435" s="17"/>
      <c r="C435" s="7" t="s">
        <v>173</v>
      </c>
      <c r="D435" s="36"/>
      <c r="E435" s="17"/>
      <c r="F435" s="17"/>
      <c r="G435" s="17"/>
      <c r="H435" s="17"/>
      <c r="I435" s="17"/>
      <c r="J435" s="17"/>
      <c r="K435" s="17"/>
      <c r="L435" s="17"/>
      <c r="M435" s="17"/>
      <c r="N435" s="17">
        <v>275.60000000000002</v>
      </c>
      <c r="O435" s="17"/>
      <c r="P435" s="17"/>
      <c r="Q435" s="17">
        <f t="shared" si="145"/>
        <v>484.11000000000195</v>
      </c>
      <c r="R435" s="2"/>
    </row>
    <row r="436" spans="1:18" x14ac:dyDescent="0.25">
      <c r="A436" s="26">
        <v>43360</v>
      </c>
      <c r="B436" s="17"/>
      <c r="C436" s="7" t="s">
        <v>169</v>
      </c>
      <c r="D436" s="36"/>
      <c r="E436" s="17"/>
      <c r="F436" s="17"/>
      <c r="G436" s="17"/>
      <c r="H436" s="17"/>
      <c r="I436" s="17"/>
      <c r="J436" s="17"/>
      <c r="K436" s="17"/>
      <c r="L436" s="17"/>
      <c r="M436" s="17"/>
      <c r="N436" s="17">
        <v>42.7</v>
      </c>
      <c r="O436" s="17"/>
      <c r="P436" s="17"/>
      <c r="Q436" s="17">
        <f t="shared" si="145"/>
        <v>526.81000000000199</v>
      </c>
      <c r="R436" s="2"/>
    </row>
    <row r="437" spans="1:18" x14ac:dyDescent="0.25">
      <c r="A437" s="26">
        <v>43360</v>
      </c>
      <c r="B437" s="17"/>
      <c r="C437" s="7" t="s">
        <v>226</v>
      </c>
      <c r="D437" s="36"/>
      <c r="E437" s="17"/>
      <c r="F437" s="17"/>
      <c r="G437" s="17"/>
      <c r="H437" s="17"/>
      <c r="I437" s="17"/>
      <c r="J437" s="17"/>
      <c r="K437" s="17">
        <v>475.22</v>
      </c>
      <c r="L437" s="17"/>
      <c r="M437" s="17"/>
      <c r="N437" s="17"/>
      <c r="O437" s="17"/>
      <c r="P437" s="17"/>
      <c r="Q437" s="17">
        <f t="shared" si="145"/>
        <v>51.590000000001965</v>
      </c>
      <c r="R437" s="2"/>
    </row>
    <row r="438" spans="1:18" x14ac:dyDescent="0.25">
      <c r="A438" s="26">
        <v>43361</v>
      </c>
      <c r="B438" s="17">
        <v>1000</v>
      </c>
      <c r="D438" s="36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>
        <f t="shared" si="145"/>
        <v>1051.590000000002</v>
      </c>
      <c r="R438" s="2"/>
    </row>
    <row r="439" spans="1:18" x14ac:dyDescent="0.25">
      <c r="A439" s="26">
        <v>43361</v>
      </c>
      <c r="B439" s="17"/>
      <c r="C439" s="7" t="s">
        <v>217</v>
      </c>
      <c r="D439" s="36">
        <v>5</v>
      </c>
      <c r="E439" s="17">
        <v>87.9</v>
      </c>
      <c r="F439" s="17">
        <f>D439*E439</f>
        <v>439.5</v>
      </c>
      <c r="G439" s="17">
        <v>0.12</v>
      </c>
      <c r="H439" s="17">
        <v>0.02</v>
      </c>
      <c r="I439" s="17"/>
      <c r="J439" s="17">
        <v>0</v>
      </c>
      <c r="K439" s="17">
        <f>SUM(F439:J439)</f>
        <v>439.64</v>
      </c>
      <c r="L439" s="17"/>
      <c r="M439" s="17"/>
      <c r="N439" s="17"/>
      <c r="O439" s="17"/>
      <c r="P439" s="17"/>
      <c r="Q439" s="17">
        <f t="shared" si="145"/>
        <v>611.95000000000198</v>
      </c>
      <c r="R439" s="2"/>
    </row>
    <row r="440" spans="1:18" x14ac:dyDescent="0.25">
      <c r="A440" s="26">
        <v>43364</v>
      </c>
      <c r="B440" s="17">
        <v>2000</v>
      </c>
      <c r="D440" s="36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>
        <f t="shared" si="145"/>
        <v>2611.9500000000021</v>
      </c>
      <c r="R440" s="2"/>
    </row>
    <row r="441" spans="1:18" x14ac:dyDescent="0.25">
      <c r="A441" s="26">
        <v>43365</v>
      </c>
      <c r="B441" s="17"/>
      <c r="C441" s="7" t="s">
        <v>171</v>
      </c>
      <c r="D441" s="36">
        <v>50</v>
      </c>
      <c r="E441" s="17">
        <v>14.35</v>
      </c>
      <c r="F441" s="17">
        <f>D441*E441</f>
        <v>717.5</v>
      </c>
      <c r="G441" s="17">
        <v>0.25</v>
      </c>
      <c r="H441" s="17">
        <v>0.04</v>
      </c>
      <c r="I441" s="17"/>
      <c r="J441" s="17">
        <v>0</v>
      </c>
      <c r="K441" s="17">
        <f>SUM(F441:J441)</f>
        <v>717.79</v>
      </c>
      <c r="L441" s="17"/>
      <c r="M441" s="17"/>
      <c r="N441" s="17"/>
      <c r="O441" s="17"/>
      <c r="P441" s="17"/>
      <c r="Q441" s="17">
        <f t="shared" si="145"/>
        <v>1894.1600000000021</v>
      </c>
      <c r="R441" s="2"/>
    </row>
    <row r="442" spans="1:18" x14ac:dyDescent="0.25">
      <c r="A442" s="26">
        <v>43365</v>
      </c>
      <c r="B442" s="17"/>
      <c r="C442" s="7" t="s">
        <v>184</v>
      </c>
      <c r="D442" s="36">
        <v>10</v>
      </c>
      <c r="E442" s="17">
        <v>67.680000000000007</v>
      </c>
      <c r="F442" s="17">
        <f>D442*E442</f>
        <v>676.80000000000007</v>
      </c>
      <c r="G442" s="17">
        <v>0.25</v>
      </c>
      <c r="H442" s="17">
        <v>0.04</v>
      </c>
      <c r="I442" s="17"/>
      <c r="J442" s="17">
        <v>0</v>
      </c>
      <c r="K442" s="17">
        <f>SUM(F442:J442)</f>
        <v>677.09</v>
      </c>
      <c r="L442" s="17"/>
      <c r="M442" s="17"/>
      <c r="N442" s="17"/>
      <c r="O442" s="17"/>
      <c r="P442" s="17"/>
      <c r="Q442" s="17">
        <f t="shared" si="145"/>
        <v>1217.070000000002</v>
      </c>
      <c r="R442" s="2"/>
    </row>
    <row r="443" spans="1:18" x14ac:dyDescent="0.25">
      <c r="A443" s="26">
        <v>43367</v>
      </c>
      <c r="B443" s="17"/>
      <c r="C443" s="7" t="s">
        <v>85</v>
      </c>
      <c r="D443" s="36">
        <v>50</v>
      </c>
      <c r="E443" s="17">
        <v>9.6999999999999993</v>
      </c>
      <c r="F443" s="17">
        <f>D443*E443</f>
        <v>484.99999999999994</v>
      </c>
      <c r="G443" s="17">
        <v>0.13</v>
      </c>
      <c r="H443" s="17">
        <v>0.02</v>
      </c>
      <c r="I443" s="17"/>
      <c r="J443" s="17">
        <v>2.4900000000000002</v>
      </c>
      <c r="K443" s="17">
        <f>SUM(F443:J443)</f>
        <v>487.63999999999993</v>
      </c>
      <c r="L443" s="17"/>
      <c r="M443" s="17"/>
      <c r="N443" s="17"/>
      <c r="O443" s="17"/>
      <c r="P443" s="17"/>
      <c r="Q443" s="17">
        <f t="shared" si="145"/>
        <v>729.43000000000211</v>
      </c>
      <c r="R443" s="2"/>
    </row>
    <row r="444" spans="1:18" x14ac:dyDescent="0.25">
      <c r="A444" s="26">
        <v>43367</v>
      </c>
      <c r="B444" s="17">
        <v>1500</v>
      </c>
      <c r="D444" s="36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>
        <f t="shared" si="145"/>
        <v>2229.4300000000021</v>
      </c>
      <c r="R444" s="2"/>
    </row>
    <row r="445" spans="1:18" x14ac:dyDescent="0.25">
      <c r="A445" s="26">
        <v>43367</v>
      </c>
      <c r="B445" s="17"/>
      <c r="C445" s="7" t="s">
        <v>218</v>
      </c>
      <c r="D445" s="36">
        <v>100</v>
      </c>
      <c r="E445" s="17">
        <v>9.66</v>
      </c>
      <c r="F445" s="17">
        <f>D445*E445</f>
        <v>966</v>
      </c>
      <c r="G445" s="17">
        <v>0.13</v>
      </c>
      <c r="H445" s="17">
        <v>0.02</v>
      </c>
      <c r="I445" s="17"/>
      <c r="J445" s="17">
        <v>2.4900000000000002</v>
      </c>
      <c r="K445" s="17">
        <f>SUM(F445:J445)</f>
        <v>968.64</v>
      </c>
      <c r="L445" s="17"/>
      <c r="M445" s="17"/>
      <c r="N445" s="17"/>
      <c r="O445" s="17"/>
      <c r="P445" s="17"/>
      <c r="Q445" s="17">
        <f t="shared" si="145"/>
        <v>1260.7900000000022</v>
      </c>
      <c r="R445" s="2"/>
    </row>
    <row r="446" spans="1:18" x14ac:dyDescent="0.25">
      <c r="A446" s="26">
        <v>43367</v>
      </c>
      <c r="B446" s="17"/>
      <c r="C446" s="7" t="s">
        <v>180</v>
      </c>
      <c r="D446" s="36">
        <v>10</v>
      </c>
      <c r="E446" s="17">
        <v>37.049999999999997</v>
      </c>
      <c r="F446" s="17">
        <f>D446*E446</f>
        <v>370.5</v>
      </c>
      <c r="G446" s="17">
        <v>0.13</v>
      </c>
      <c r="H446" s="17">
        <v>0.02</v>
      </c>
      <c r="I446" s="17"/>
      <c r="J446" s="17">
        <v>0</v>
      </c>
      <c r="K446" s="17">
        <f>SUM(F446:J446)</f>
        <v>370.65</v>
      </c>
      <c r="L446" s="17"/>
      <c r="M446" s="17"/>
      <c r="N446" s="17"/>
      <c r="O446" s="17"/>
      <c r="P446" s="17"/>
      <c r="Q446" s="17">
        <f t="shared" si="145"/>
        <v>890.14000000000226</v>
      </c>
      <c r="R446" s="2"/>
    </row>
    <row r="447" spans="1:18" x14ac:dyDescent="0.25">
      <c r="A447" s="26">
        <v>43367</v>
      </c>
      <c r="B447" s="17"/>
      <c r="C447" s="7" t="s">
        <v>221</v>
      </c>
      <c r="D447" s="36">
        <v>45</v>
      </c>
      <c r="E447" s="17">
        <v>9.82</v>
      </c>
      <c r="F447" s="17">
        <f>D447*E447</f>
        <v>441.90000000000003</v>
      </c>
      <c r="G447" s="17">
        <v>0.13</v>
      </c>
      <c r="H447" s="17">
        <v>0.02</v>
      </c>
      <c r="I447" s="17"/>
      <c r="J447" s="17">
        <v>0</v>
      </c>
      <c r="K447" s="17">
        <f>SUM(F447:J447)</f>
        <v>442.05</v>
      </c>
      <c r="L447" s="17"/>
      <c r="M447" s="17"/>
      <c r="N447" s="17"/>
      <c r="O447" s="17"/>
      <c r="P447" s="17"/>
      <c r="Q447" s="17">
        <f t="shared" si="145"/>
        <v>448.09000000000225</v>
      </c>
      <c r="R447" s="2"/>
    </row>
    <row r="448" spans="1:18" x14ac:dyDescent="0.25">
      <c r="A448" s="26">
        <v>43369</v>
      </c>
      <c r="B448" s="17"/>
      <c r="C448" s="7" t="s">
        <v>226</v>
      </c>
      <c r="D448" s="36"/>
      <c r="E448" s="17"/>
      <c r="F448" s="17"/>
      <c r="G448" s="17"/>
      <c r="H448" s="17"/>
      <c r="I448" s="17"/>
      <c r="J448" s="17"/>
      <c r="K448" s="17">
        <v>407.52</v>
      </c>
      <c r="L448" s="17"/>
      <c r="M448" s="17"/>
      <c r="N448" s="17"/>
      <c r="O448" s="17"/>
      <c r="P448" s="17"/>
      <c r="Q448" s="17">
        <f t="shared" si="145"/>
        <v>40.570000000002267</v>
      </c>
      <c r="R448" s="2"/>
    </row>
    <row r="449" spans="1:19" x14ac:dyDescent="0.25">
      <c r="A449" s="26">
        <v>43374</v>
      </c>
      <c r="B449" s="17"/>
      <c r="C449" s="7" t="s">
        <v>85</v>
      </c>
      <c r="D449" s="36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>
        <v>35.61</v>
      </c>
      <c r="P449" s="17"/>
      <c r="Q449" s="17">
        <f t="shared" si="145"/>
        <v>76.180000000002266</v>
      </c>
      <c r="R449" s="2"/>
    </row>
    <row r="450" spans="1:19" x14ac:dyDescent="0.25">
      <c r="A450" s="26">
        <v>43376</v>
      </c>
      <c r="B450" s="17">
        <v>1500</v>
      </c>
      <c r="D450" s="36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>
        <f t="shared" ref="Q450:Q477" si="146">Q449+B450-K450-L450-M450+N450+O450+P450</f>
        <v>1576.1800000000023</v>
      </c>
      <c r="R450" s="2"/>
    </row>
    <row r="451" spans="1:19" x14ac:dyDescent="0.25">
      <c r="A451" s="26">
        <v>43376</v>
      </c>
      <c r="B451" s="17"/>
      <c r="C451" s="7" t="s">
        <v>186</v>
      </c>
      <c r="D451" s="36">
        <v>10</v>
      </c>
      <c r="E451" s="17">
        <v>71.150000000000006</v>
      </c>
      <c r="F451" s="17">
        <f>D451*E451</f>
        <v>711.5</v>
      </c>
      <c r="G451" s="17">
        <v>0.19</v>
      </c>
      <c r="H451" s="17">
        <v>0.03</v>
      </c>
      <c r="I451" s="17"/>
      <c r="J451" s="17">
        <v>0</v>
      </c>
      <c r="K451" s="17">
        <f>SUM(F451:J451)</f>
        <v>711.72</v>
      </c>
      <c r="L451" s="17"/>
      <c r="M451" s="17"/>
      <c r="N451" s="17"/>
      <c r="O451" s="17"/>
      <c r="P451" s="17"/>
      <c r="Q451" s="17">
        <f t="shared" si="146"/>
        <v>864.46000000000231</v>
      </c>
      <c r="R451" s="2"/>
    </row>
    <row r="452" spans="1:19" x14ac:dyDescent="0.25">
      <c r="A452" s="26">
        <v>43377</v>
      </c>
      <c r="B452" s="17"/>
      <c r="C452" s="7" t="s">
        <v>217</v>
      </c>
      <c r="D452" s="36">
        <v>7</v>
      </c>
      <c r="E452" s="17">
        <v>86.97</v>
      </c>
      <c r="F452" s="17">
        <f>D452*E452</f>
        <v>608.79</v>
      </c>
      <c r="G452" s="17">
        <v>0.16</v>
      </c>
      <c r="H452" s="17">
        <v>0.03</v>
      </c>
      <c r="I452" s="17"/>
      <c r="J452" s="17">
        <v>0</v>
      </c>
      <c r="K452" s="17">
        <f>SUM(F452:J452)</f>
        <v>608.9799999999999</v>
      </c>
      <c r="L452" s="17"/>
      <c r="M452" s="17"/>
      <c r="N452" s="17"/>
      <c r="O452" s="17"/>
      <c r="P452" s="17"/>
      <c r="Q452" s="17">
        <f t="shared" si="146"/>
        <v>255.48000000000241</v>
      </c>
      <c r="R452" s="2"/>
    </row>
    <row r="453" spans="1:19" x14ac:dyDescent="0.25">
      <c r="A453" s="26">
        <v>43378</v>
      </c>
      <c r="B453" s="17">
        <v>2000</v>
      </c>
      <c r="D453" s="36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>
        <f t="shared" si="146"/>
        <v>2255.4800000000023</v>
      </c>
      <c r="R453" s="2"/>
    </row>
    <row r="454" spans="1:19" x14ac:dyDescent="0.25">
      <c r="A454" s="26">
        <v>43378</v>
      </c>
      <c r="B454" s="17"/>
      <c r="C454" s="7" t="s">
        <v>222</v>
      </c>
      <c r="D454" s="36"/>
      <c r="E454" s="17"/>
      <c r="F454" s="17"/>
      <c r="G454" s="17"/>
      <c r="H454" s="17"/>
      <c r="I454" s="17"/>
      <c r="J454" s="17"/>
      <c r="K454" s="17"/>
      <c r="L454" s="17"/>
      <c r="M454" s="17"/>
      <c r="N454" s="17">
        <v>9</v>
      </c>
      <c r="O454" s="17"/>
      <c r="P454" s="17"/>
      <c r="Q454" s="17">
        <f t="shared" si="146"/>
        <v>2264.4800000000023</v>
      </c>
      <c r="R454" s="2"/>
    </row>
    <row r="455" spans="1:19" x14ac:dyDescent="0.25">
      <c r="A455" s="26">
        <v>43378</v>
      </c>
      <c r="B455" s="17"/>
      <c r="C455" s="7" t="s">
        <v>186</v>
      </c>
      <c r="D455" s="36"/>
      <c r="E455" s="17"/>
      <c r="F455" s="17"/>
      <c r="G455" s="17"/>
      <c r="H455" s="17"/>
      <c r="I455" s="17"/>
      <c r="J455" s="17"/>
      <c r="K455" s="17"/>
      <c r="L455" s="17"/>
      <c r="M455" s="17"/>
      <c r="N455" s="17">
        <v>22</v>
      </c>
      <c r="O455" s="17"/>
      <c r="P455" s="17"/>
      <c r="Q455" s="17">
        <f t="shared" si="146"/>
        <v>2286.4800000000023</v>
      </c>
      <c r="R455" s="2"/>
    </row>
    <row r="456" spans="1:19" x14ac:dyDescent="0.25">
      <c r="A456" s="26">
        <v>43378</v>
      </c>
      <c r="B456" s="17"/>
      <c r="C456" s="7" t="s">
        <v>182</v>
      </c>
      <c r="D456" s="36">
        <v>100</v>
      </c>
      <c r="E456" s="17">
        <v>7.81</v>
      </c>
      <c r="F456" s="17">
        <f>D456*E456</f>
        <v>781</v>
      </c>
      <c r="G456" s="17">
        <v>0.3</v>
      </c>
      <c r="H456" s="17">
        <v>0.04</v>
      </c>
      <c r="I456" s="17"/>
      <c r="J456" s="17">
        <v>2.4900000000000002</v>
      </c>
      <c r="K456" s="17">
        <f>SUM(F456:J456)</f>
        <v>783.82999999999993</v>
      </c>
      <c r="L456" s="17"/>
      <c r="M456" s="17"/>
      <c r="N456" s="17"/>
      <c r="O456" s="17"/>
      <c r="P456" s="17"/>
      <c r="Q456" s="17">
        <f t="shared" si="146"/>
        <v>1502.6500000000024</v>
      </c>
      <c r="R456" s="2"/>
    </row>
    <row r="457" spans="1:19" x14ac:dyDescent="0.25">
      <c r="A457" s="26">
        <v>43378</v>
      </c>
      <c r="B457" s="17"/>
      <c r="C457" s="7" t="s">
        <v>169</v>
      </c>
      <c r="D457" s="36">
        <v>10</v>
      </c>
      <c r="E457" s="17">
        <v>96.91</v>
      </c>
      <c r="F457" s="17">
        <f>D457*E457</f>
        <v>969.09999999999991</v>
      </c>
      <c r="G457" s="17">
        <v>0.18</v>
      </c>
      <c r="H457" s="17">
        <v>0.04</v>
      </c>
      <c r="I457" s="17"/>
      <c r="J457" s="17">
        <v>0</v>
      </c>
      <c r="K457" s="17">
        <f>SUM(F457:J457)</f>
        <v>969.31999999999982</v>
      </c>
      <c r="L457" s="17"/>
      <c r="M457" s="17"/>
      <c r="N457" s="17"/>
      <c r="O457" s="17"/>
      <c r="P457" s="17"/>
      <c r="Q457" s="17">
        <f t="shared" si="146"/>
        <v>533.33000000000254</v>
      </c>
      <c r="R457" s="2"/>
      <c r="S457" s="20"/>
    </row>
    <row r="458" spans="1:19" x14ac:dyDescent="0.25">
      <c r="A458" s="26">
        <v>43378</v>
      </c>
      <c r="B458" s="17"/>
      <c r="C458" s="7" t="s">
        <v>226</v>
      </c>
      <c r="D458" s="36"/>
      <c r="E458" s="17"/>
      <c r="F458" s="17"/>
      <c r="G458" s="17"/>
      <c r="H458" s="17"/>
      <c r="I458" s="17"/>
      <c r="J458" s="17"/>
      <c r="K458" s="17">
        <v>498.12</v>
      </c>
      <c r="L458" s="17"/>
      <c r="M458" s="17"/>
      <c r="N458" s="17"/>
      <c r="O458" s="17"/>
      <c r="P458" s="17"/>
      <c r="Q458" s="17">
        <f t="shared" si="146"/>
        <v>35.210000000002537</v>
      </c>
      <c r="R458" s="2"/>
    </row>
    <row r="459" spans="1:19" x14ac:dyDescent="0.25">
      <c r="A459" s="26">
        <v>43388</v>
      </c>
      <c r="B459" s="17"/>
      <c r="C459" s="7" t="s">
        <v>173</v>
      </c>
      <c r="D459" s="36"/>
      <c r="E459" s="17"/>
      <c r="F459" s="17"/>
      <c r="G459" s="17"/>
      <c r="H459" s="17"/>
      <c r="I459" s="17"/>
      <c r="J459" s="17"/>
      <c r="K459" s="17"/>
      <c r="L459" s="17"/>
      <c r="M459" s="17"/>
      <c r="N459" s="17">
        <v>275.60000000000002</v>
      </c>
      <c r="O459" s="17"/>
      <c r="P459" s="17"/>
      <c r="Q459" s="17">
        <f t="shared" si="146"/>
        <v>310.81000000000256</v>
      </c>
      <c r="R459" s="2"/>
    </row>
    <row r="460" spans="1:19" x14ac:dyDescent="0.25">
      <c r="A460" s="26">
        <v>43388</v>
      </c>
      <c r="B460" s="17"/>
      <c r="C460" s="7" t="s">
        <v>169</v>
      </c>
      <c r="D460" s="36"/>
      <c r="E460" s="17"/>
      <c r="F460" s="17"/>
      <c r="G460" s="17"/>
      <c r="H460" s="17"/>
      <c r="I460" s="17"/>
      <c r="J460" s="17"/>
      <c r="K460" s="17"/>
      <c r="L460" s="17"/>
      <c r="M460" s="17"/>
      <c r="N460" s="17">
        <v>48.8</v>
      </c>
      <c r="O460" s="17"/>
      <c r="P460" s="17"/>
      <c r="Q460" s="17">
        <f t="shared" si="146"/>
        <v>359.61000000000257</v>
      </c>
      <c r="R460" s="2"/>
    </row>
    <row r="461" spans="1:19" x14ac:dyDescent="0.25">
      <c r="A461" s="26">
        <v>43388</v>
      </c>
      <c r="B461" s="17"/>
      <c r="C461" s="7" t="s">
        <v>181</v>
      </c>
      <c r="D461" s="36"/>
      <c r="E461" s="17"/>
      <c r="F461" s="17"/>
      <c r="G461" s="17"/>
      <c r="H461" s="17"/>
      <c r="I461" s="17"/>
      <c r="J461" s="17"/>
      <c r="K461" s="17"/>
      <c r="L461" s="17"/>
      <c r="M461" s="17"/>
      <c r="N461" s="17">
        <v>44.8</v>
      </c>
      <c r="O461" s="17"/>
      <c r="P461" s="17"/>
      <c r="Q461" s="17">
        <f t="shared" si="146"/>
        <v>404.41000000000258</v>
      </c>
      <c r="R461" s="2"/>
    </row>
    <row r="462" spans="1:19" x14ac:dyDescent="0.25">
      <c r="A462" s="26">
        <v>43388</v>
      </c>
      <c r="B462" s="17"/>
      <c r="C462" s="7" t="s">
        <v>183</v>
      </c>
      <c r="D462" s="36"/>
      <c r="E462" s="17"/>
      <c r="F462" s="17"/>
      <c r="G462" s="17"/>
      <c r="H462" s="17"/>
      <c r="I462" s="17"/>
      <c r="J462" s="17"/>
      <c r="K462" s="17"/>
      <c r="L462" s="17"/>
      <c r="M462" s="17"/>
      <c r="N462" s="17">
        <v>7.33</v>
      </c>
      <c r="O462" s="17"/>
      <c r="P462" s="17"/>
      <c r="Q462" s="17">
        <f t="shared" si="146"/>
        <v>411.74000000000257</v>
      </c>
      <c r="R462" s="2"/>
    </row>
    <row r="463" spans="1:19" x14ac:dyDescent="0.25">
      <c r="A463" s="26">
        <v>43388</v>
      </c>
      <c r="B463" s="17"/>
      <c r="C463" s="7" t="s">
        <v>184</v>
      </c>
      <c r="D463" s="36"/>
      <c r="E463" s="17"/>
      <c r="F463" s="17"/>
      <c r="G463" s="17"/>
      <c r="H463" s="17"/>
      <c r="I463" s="17"/>
      <c r="J463" s="17"/>
      <c r="K463" s="17"/>
      <c r="L463" s="17"/>
      <c r="M463" s="17"/>
      <c r="N463" s="17">
        <v>74.989999999999995</v>
      </c>
      <c r="O463" s="17"/>
      <c r="P463" s="17"/>
      <c r="Q463" s="17">
        <f t="shared" si="146"/>
        <v>486.73000000000258</v>
      </c>
      <c r="R463" s="2"/>
    </row>
    <row r="464" spans="1:19" x14ac:dyDescent="0.25">
      <c r="A464" s="26">
        <v>43388</v>
      </c>
      <c r="B464" s="17"/>
      <c r="C464" s="7" t="s">
        <v>217</v>
      </c>
      <c r="D464" s="36"/>
      <c r="E464" s="17"/>
      <c r="F464" s="17"/>
      <c r="G464" s="17"/>
      <c r="H464" s="17"/>
      <c r="I464" s="17"/>
      <c r="J464" s="17"/>
      <c r="K464" s="17"/>
      <c r="L464" s="17"/>
      <c r="M464" s="17"/>
      <c r="N464" s="17">
        <v>16.100000000000001</v>
      </c>
      <c r="O464" s="17"/>
      <c r="P464" s="17"/>
      <c r="Q464" s="17">
        <f t="shared" si="146"/>
        <v>502.8300000000026</v>
      </c>
      <c r="R464" s="2"/>
    </row>
    <row r="465" spans="1:19" x14ac:dyDescent="0.25">
      <c r="A465" s="26">
        <v>43388</v>
      </c>
      <c r="B465" s="17"/>
      <c r="C465" s="7" t="s">
        <v>221</v>
      </c>
      <c r="D465" s="36"/>
      <c r="E465" s="17"/>
      <c r="F465" s="17"/>
      <c r="G465" s="17"/>
      <c r="H465" s="17"/>
      <c r="I465" s="17"/>
      <c r="J465" s="17"/>
      <c r="K465" s="17"/>
      <c r="L465" s="17"/>
      <c r="M465" s="17"/>
      <c r="N465" s="17">
        <v>14</v>
      </c>
      <c r="O465" s="17"/>
      <c r="P465" s="17"/>
      <c r="Q465" s="17">
        <f t="shared" si="146"/>
        <v>516.83000000000266</v>
      </c>
      <c r="R465" s="2"/>
    </row>
    <row r="466" spans="1:19" x14ac:dyDescent="0.25">
      <c r="A466" s="26">
        <v>43388</v>
      </c>
      <c r="B466" s="17">
        <v>1000</v>
      </c>
      <c r="D466" s="36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>
        <f t="shared" si="146"/>
        <v>1516.8300000000027</v>
      </c>
      <c r="R466" s="2"/>
    </row>
    <row r="467" spans="1:19" x14ac:dyDescent="0.25">
      <c r="A467" s="26">
        <v>43389</v>
      </c>
      <c r="B467" s="17"/>
      <c r="C467" s="7" t="s">
        <v>222</v>
      </c>
      <c r="D467" s="36">
        <v>2</v>
      </c>
      <c r="E467" s="17">
        <v>87.29</v>
      </c>
      <c r="F467" s="17">
        <f>D467*E467</f>
        <v>174.58</v>
      </c>
      <c r="G467" s="17">
        <v>0.09</v>
      </c>
      <c r="H467" s="17">
        <v>0.01</v>
      </c>
      <c r="I467" s="17"/>
      <c r="J467" s="17">
        <v>0</v>
      </c>
      <c r="K467" s="17">
        <f>SUM(F467:J467)</f>
        <v>174.68</v>
      </c>
      <c r="L467" s="17"/>
      <c r="M467" s="17"/>
      <c r="N467" s="17"/>
      <c r="O467" s="17"/>
      <c r="P467" s="17"/>
      <c r="Q467" s="17">
        <f t="shared" si="146"/>
        <v>1342.1500000000026</v>
      </c>
      <c r="R467" s="2"/>
    </row>
    <row r="468" spans="1:19" x14ac:dyDescent="0.25">
      <c r="A468" s="26">
        <v>43389</v>
      </c>
      <c r="B468" s="17"/>
      <c r="C468" s="7" t="s">
        <v>221</v>
      </c>
      <c r="D468" s="36">
        <v>50</v>
      </c>
      <c r="E468" s="17">
        <v>9.86</v>
      </c>
      <c r="F468" s="17">
        <f>D468*E468</f>
        <v>493</v>
      </c>
      <c r="G468" s="17">
        <v>0.09</v>
      </c>
      <c r="H468" s="17">
        <v>0.02</v>
      </c>
      <c r="I468" s="17"/>
      <c r="J468" s="17">
        <v>0</v>
      </c>
      <c r="K468" s="17">
        <f>SUM(F468:J468)</f>
        <v>493.10999999999996</v>
      </c>
      <c r="L468" s="17"/>
      <c r="M468" s="17"/>
      <c r="N468" s="17"/>
      <c r="O468" s="17"/>
      <c r="P468" s="17"/>
      <c r="Q468" s="17">
        <f t="shared" si="146"/>
        <v>849.04000000000269</v>
      </c>
      <c r="R468" s="2"/>
    </row>
    <row r="469" spans="1:19" x14ac:dyDescent="0.25">
      <c r="A469" s="26">
        <v>43390</v>
      </c>
      <c r="B469" s="17"/>
      <c r="C469" s="7" t="s">
        <v>234</v>
      </c>
      <c r="D469" s="36">
        <v>5</v>
      </c>
      <c r="E469" s="17">
        <v>122.68</v>
      </c>
      <c r="F469" s="17">
        <f>D469*E469</f>
        <v>613.40000000000009</v>
      </c>
      <c r="G469" s="17">
        <v>0.16</v>
      </c>
      <c r="H469" s="17">
        <v>0.03</v>
      </c>
      <c r="I469" s="17"/>
      <c r="J469" s="17">
        <v>0</v>
      </c>
      <c r="K469" s="17">
        <f>SUM(F469:J469)</f>
        <v>613.59</v>
      </c>
      <c r="L469" s="17"/>
      <c r="M469" s="17"/>
      <c r="N469" s="17"/>
      <c r="O469" s="17"/>
      <c r="P469" s="17"/>
      <c r="Q469" s="17">
        <f t="shared" si="146"/>
        <v>235.45000000000266</v>
      </c>
      <c r="R469" s="2"/>
    </row>
    <row r="470" spans="1:19" x14ac:dyDescent="0.25">
      <c r="A470" s="26">
        <v>43390</v>
      </c>
      <c r="B470" s="17"/>
      <c r="C470" s="7" t="s">
        <v>220</v>
      </c>
      <c r="D470" s="36"/>
      <c r="E470" s="17"/>
      <c r="F470" s="17"/>
      <c r="G470" s="17"/>
      <c r="H470" s="17"/>
      <c r="I470" s="17"/>
      <c r="J470" s="17"/>
      <c r="K470" s="17"/>
      <c r="L470" s="17"/>
      <c r="M470" s="17"/>
      <c r="N470" s="17">
        <v>7.5</v>
      </c>
      <c r="O470" s="17"/>
      <c r="P470" s="17"/>
      <c r="Q470" s="17">
        <f t="shared" si="146"/>
        <v>242.95000000000266</v>
      </c>
      <c r="R470" s="2"/>
    </row>
    <row r="471" spans="1:19" x14ac:dyDescent="0.25">
      <c r="A471" s="26">
        <v>43392</v>
      </c>
      <c r="B471" s="17">
        <v>1000</v>
      </c>
      <c r="D471" s="36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>
        <f t="shared" si="146"/>
        <v>1242.9500000000025</v>
      </c>
      <c r="R471" s="2"/>
    </row>
    <row r="472" spans="1:19" x14ac:dyDescent="0.25">
      <c r="A472" s="26">
        <v>43392</v>
      </c>
      <c r="B472" s="17"/>
      <c r="C472" s="7" t="s">
        <v>171</v>
      </c>
      <c r="D472" s="36">
        <v>50</v>
      </c>
      <c r="E472" s="17">
        <v>15.07</v>
      </c>
      <c r="F472" s="17">
        <f>D472*E472</f>
        <v>753.5</v>
      </c>
      <c r="G472" s="17">
        <v>0.14000000000000001</v>
      </c>
      <c r="H472" s="17">
        <v>0.03</v>
      </c>
      <c r="I472" s="17"/>
      <c r="J472" s="17">
        <v>2.4900000000000002</v>
      </c>
      <c r="K472" s="17">
        <f>SUM(F472:J472)</f>
        <v>756.16</v>
      </c>
      <c r="L472" s="17"/>
      <c r="M472" s="17"/>
      <c r="N472" s="17"/>
      <c r="O472" s="17"/>
      <c r="P472" s="17"/>
      <c r="Q472" s="17">
        <f t="shared" si="146"/>
        <v>486.79000000000258</v>
      </c>
      <c r="R472" s="2"/>
      <c r="S472" s="20"/>
    </row>
    <row r="473" spans="1:19" x14ac:dyDescent="0.25">
      <c r="A473" s="26">
        <v>43392</v>
      </c>
      <c r="B473" s="17"/>
      <c r="C473" s="7" t="s">
        <v>184</v>
      </c>
      <c r="D473" s="36">
        <v>5</v>
      </c>
      <c r="E473" s="17">
        <v>67.11</v>
      </c>
      <c r="F473" s="17">
        <f>D473*E473</f>
        <v>335.55</v>
      </c>
      <c r="G473" s="17">
        <v>0.15</v>
      </c>
      <c r="H473" s="17">
        <v>0.02</v>
      </c>
      <c r="I473" s="17"/>
      <c r="J473" s="17">
        <v>0</v>
      </c>
      <c r="K473" s="17">
        <f>SUM(F473:J473)</f>
        <v>335.71999999999997</v>
      </c>
      <c r="L473" s="17"/>
      <c r="M473" s="17"/>
      <c r="N473" s="17"/>
      <c r="O473" s="17"/>
      <c r="P473" s="17"/>
      <c r="Q473" s="17">
        <f t="shared" si="146"/>
        <v>151.07000000000261</v>
      </c>
      <c r="R473" s="2"/>
    </row>
    <row r="474" spans="1:19" x14ac:dyDescent="0.25">
      <c r="A474" s="26">
        <v>43399</v>
      </c>
      <c r="B474" s="17">
        <v>1000</v>
      </c>
      <c r="D474" s="36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>
        <f t="shared" si="146"/>
        <v>1151.0700000000027</v>
      </c>
      <c r="R474" s="2"/>
    </row>
    <row r="475" spans="1:19" x14ac:dyDescent="0.25">
      <c r="A475" s="26">
        <v>43399</v>
      </c>
      <c r="B475" s="17"/>
      <c r="C475" s="7" t="s">
        <v>221</v>
      </c>
      <c r="D475" s="36">
        <v>1</v>
      </c>
      <c r="E475" s="17">
        <v>9.8699999999999992</v>
      </c>
      <c r="F475" s="17">
        <f>D475*E475</f>
        <v>9.8699999999999992</v>
      </c>
      <c r="G475" s="17">
        <v>0</v>
      </c>
      <c r="H475" s="17">
        <v>0</v>
      </c>
      <c r="I475" s="17"/>
      <c r="J475" s="17">
        <v>0</v>
      </c>
      <c r="K475" s="17">
        <f>SUM(F475:J475)</f>
        <v>9.8699999999999992</v>
      </c>
      <c r="L475" s="17"/>
      <c r="M475" s="17"/>
      <c r="N475" s="17"/>
      <c r="O475" s="17"/>
      <c r="P475" s="17"/>
      <c r="Q475" s="17">
        <f t="shared" si="146"/>
        <v>1141.2000000000028</v>
      </c>
      <c r="R475" s="2"/>
    </row>
    <row r="476" spans="1:19" x14ac:dyDescent="0.25">
      <c r="A476" s="26">
        <v>43403</v>
      </c>
      <c r="B476" s="17"/>
      <c r="C476" s="7" t="s">
        <v>234</v>
      </c>
      <c r="D476" s="36">
        <v>5</v>
      </c>
      <c r="E476" s="17">
        <v>123.25</v>
      </c>
      <c r="F476" s="17">
        <f>D476*E476</f>
        <v>616.25</v>
      </c>
      <c r="G476" s="17">
        <v>0.16</v>
      </c>
      <c r="H476" s="17">
        <v>0.03</v>
      </c>
      <c r="I476" s="17"/>
      <c r="J476" s="17">
        <v>0</v>
      </c>
      <c r="K476" s="17">
        <f>SUM(F476:J476)</f>
        <v>616.43999999999994</v>
      </c>
      <c r="L476" s="17"/>
      <c r="M476" s="17"/>
      <c r="N476" s="17"/>
      <c r="O476" s="17"/>
      <c r="P476" s="17"/>
      <c r="Q476" s="17">
        <f t="shared" si="146"/>
        <v>524.76000000000283</v>
      </c>
      <c r="R476" s="2"/>
    </row>
    <row r="477" spans="1:19" x14ac:dyDescent="0.25">
      <c r="A477" s="26">
        <v>43404</v>
      </c>
      <c r="B477" s="17">
        <v>1500</v>
      </c>
      <c r="D477" s="36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>
        <f t="shared" si="146"/>
        <v>2024.7600000000029</v>
      </c>
      <c r="R477" s="2"/>
    </row>
    <row r="478" spans="1:19" x14ac:dyDescent="0.25">
      <c r="A478" s="26">
        <v>43404</v>
      </c>
      <c r="B478" s="17"/>
      <c r="C478" s="7" t="s">
        <v>171</v>
      </c>
      <c r="D478" s="36">
        <v>50</v>
      </c>
      <c r="E478" s="17">
        <v>15.98</v>
      </c>
      <c r="F478" s="17">
        <f>D478*E478</f>
        <v>799</v>
      </c>
      <c r="G478" s="17">
        <v>0.21</v>
      </c>
      <c r="H478" s="17">
        <v>0.03</v>
      </c>
      <c r="I478" s="17"/>
      <c r="J478" s="17">
        <v>2.4900000000000002</v>
      </c>
      <c r="K478" s="17">
        <f>SUM(F478:J478)</f>
        <v>801.73</v>
      </c>
      <c r="L478" s="17"/>
      <c r="M478" s="17"/>
      <c r="N478" s="17"/>
      <c r="O478" s="17"/>
      <c r="P478" s="17"/>
      <c r="Q478" s="17">
        <f t="shared" ref="Q478:Q488" si="147">Q477+B478-K478-L478-M478+N478+O478+P478</f>
        <v>1223.0300000000029</v>
      </c>
      <c r="R478" s="2"/>
    </row>
    <row r="479" spans="1:19" x14ac:dyDescent="0.25">
      <c r="A479" s="26">
        <v>43405</v>
      </c>
      <c r="B479" s="17"/>
      <c r="C479" s="7" t="s">
        <v>234</v>
      </c>
      <c r="D479" s="36">
        <v>9</v>
      </c>
      <c r="E479" s="17">
        <v>123.34</v>
      </c>
      <c r="F479" s="17">
        <f>D479*E479</f>
        <v>1110.06</v>
      </c>
      <c r="G479" s="17">
        <v>0.3</v>
      </c>
      <c r="H479" s="17">
        <v>0.05</v>
      </c>
      <c r="I479" s="17"/>
      <c r="J479" s="17">
        <v>0</v>
      </c>
      <c r="K479" s="17">
        <f>SUM(F479:J479)</f>
        <v>1110.4099999999999</v>
      </c>
      <c r="L479" s="17"/>
      <c r="M479" s="17"/>
      <c r="N479" s="17"/>
      <c r="O479" s="17"/>
      <c r="P479" s="17"/>
      <c r="Q479" s="17">
        <f t="shared" si="147"/>
        <v>112.62000000000307</v>
      </c>
      <c r="R479" s="2"/>
    </row>
    <row r="480" spans="1:19" x14ac:dyDescent="0.25">
      <c r="A480" s="26">
        <v>43411</v>
      </c>
      <c r="B480" s="17">
        <v>1000</v>
      </c>
      <c r="D480" s="36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>
        <f t="shared" si="147"/>
        <v>1112.6200000000031</v>
      </c>
      <c r="R480" s="2"/>
    </row>
    <row r="481" spans="1:19" x14ac:dyDescent="0.25">
      <c r="A481" s="26">
        <v>43412</v>
      </c>
      <c r="B481" s="17"/>
      <c r="C481" s="7" t="s">
        <v>222</v>
      </c>
      <c r="D481" s="36"/>
      <c r="E481" s="17"/>
      <c r="F481" s="17"/>
      <c r="G481" s="17"/>
      <c r="H481" s="17"/>
      <c r="I481" s="17"/>
      <c r="J481" s="17"/>
      <c r="K481" s="17"/>
      <c r="L481" s="17"/>
      <c r="M481" s="17"/>
      <c r="N481" s="17">
        <v>10.199999999999999</v>
      </c>
      <c r="O481" s="17"/>
      <c r="P481" s="17"/>
      <c r="Q481" s="17">
        <f t="shared" si="147"/>
        <v>1122.8200000000031</v>
      </c>
      <c r="R481" s="2"/>
    </row>
    <row r="482" spans="1:19" x14ac:dyDescent="0.25">
      <c r="A482" s="26">
        <v>43412</v>
      </c>
      <c r="B482" s="17"/>
      <c r="C482" s="7" t="s">
        <v>186</v>
      </c>
      <c r="D482" s="36"/>
      <c r="E482" s="17"/>
      <c r="F482" s="17"/>
      <c r="G482" s="17"/>
      <c r="H482" s="17"/>
      <c r="I482" s="17"/>
      <c r="J482" s="17"/>
      <c r="K482" s="17"/>
      <c r="L482" s="17"/>
      <c r="M482" s="17"/>
      <c r="N482" s="17">
        <v>27.5</v>
      </c>
      <c r="O482" s="17"/>
      <c r="P482" s="17"/>
      <c r="Q482" s="17">
        <f t="shared" si="147"/>
        <v>1150.3200000000031</v>
      </c>
      <c r="R482" s="2"/>
    </row>
    <row r="483" spans="1:19" x14ac:dyDescent="0.25">
      <c r="A483" s="26">
        <v>43412</v>
      </c>
      <c r="B483" s="17"/>
      <c r="C483" s="7" t="s">
        <v>219</v>
      </c>
      <c r="D483" s="36">
        <v>100</v>
      </c>
      <c r="E483" s="17">
        <v>5.86</v>
      </c>
      <c r="F483" s="17">
        <f>D483*E483</f>
        <v>586</v>
      </c>
      <c r="G483" s="17">
        <v>0.16</v>
      </c>
      <c r="H483" s="17">
        <v>0.02</v>
      </c>
      <c r="I483" s="17"/>
      <c r="J483" s="17">
        <v>2.4900000000000002</v>
      </c>
      <c r="K483" s="17">
        <f>SUM(F483:J483)</f>
        <v>588.66999999999996</v>
      </c>
      <c r="L483" s="17"/>
      <c r="M483" s="17"/>
      <c r="N483" s="17"/>
      <c r="O483" s="17"/>
      <c r="P483" s="17"/>
      <c r="Q483" s="17">
        <f t="shared" si="147"/>
        <v>561.65000000000316</v>
      </c>
      <c r="R483" s="2"/>
    </row>
    <row r="484" spans="1:19" x14ac:dyDescent="0.25">
      <c r="A484" s="26">
        <v>43412</v>
      </c>
      <c r="B484" s="17"/>
      <c r="C484" s="7" t="s">
        <v>226</v>
      </c>
      <c r="D484" s="36"/>
      <c r="E484" s="17"/>
      <c r="F484" s="17"/>
      <c r="G484" s="17"/>
      <c r="H484" s="17"/>
      <c r="I484" s="17"/>
      <c r="J484" s="17"/>
      <c r="K484" s="17">
        <v>495.01</v>
      </c>
      <c r="L484" s="17"/>
      <c r="M484" s="17"/>
      <c r="N484" s="17"/>
      <c r="O484" s="17"/>
      <c r="P484" s="17"/>
      <c r="Q484" s="17">
        <f t="shared" si="147"/>
        <v>66.64000000000317</v>
      </c>
      <c r="R484" s="2"/>
      <c r="S484">
        <v>37.700000000000003</v>
      </c>
    </row>
    <row r="485" spans="1:19" x14ac:dyDescent="0.25">
      <c r="A485" s="26">
        <v>43412</v>
      </c>
      <c r="B485" s="17">
        <v>1000</v>
      </c>
      <c r="D485" s="36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>
        <f t="shared" si="147"/>
        <v>1066.6400000000031</v>
      </c>
      <c r="R485" s="2"/>
      <c r="S485" s="20">
        <v>188.25</v>
      </c>
    </row>
    <row r="486" spans="1:19" x14ac:dyDescent="0.25">
      <c r="A486" s="26">
        <v>43413</v>
      </c>
      <c r="B486" s="17"/>
      <c r="C486" s="7" t="s">
        <v>220</v>
      </c>
      <c r="D486" s="36">
        <v>5</v>
      </c>
      <c r="E486" s="17">
        <v>100.72</v>
      </c>
      <c r="F486" s="17">
        <f>D486*E486</f>
        <v>503.6</v>
      </c>
      <c r="G486" s="17">
        <v>0.13</v>
      </c>
      <c r="H486" s="17">
        <v>0.02</v>
      </c>
      <c r="I486" s="17"/>
      <c r="J486" s="17">
        <v>0</v>
      </c>
      <c r="K486" s="17">
        <f>SUM(F486:J486)</f>
        <v>503.75</v>
      </c>
      <c r="L486" s="17"/>
      <c r="M486" s="17"/>
      <c r="N486" s="17"/>
      <c r="O486" s="17"/>
      <c r="P486" s="17"/>
      <c r="Q486" s="17">
        <f t="shared" si="147"/>
        <v>562.89000000000306</v>
      </c>
      <c r="R486" s="2"/>
    </row>
    <row r="487" spans="1:19" x14ac:dyDescent="0.25">
      <c r="A487" s="26">
        <v>43413</v>
      </c>
      <c r="B487" s="17"/>
      <c r="C487" s="7" t="s">
        <v>234</v>
      </c>
      <c r="D487" s="36"/>
      <c r="E487" s="17"/>
      <c r="F487" s="17"/>
      <c r="G487" s="17"/>
      <c r="H487" s="17"/>
      <c r="I487" s="17"/>
      <c r="J487" s="17"/>
      <c r="K487" s="17"/>
      <c r="L487" s="17"/>
      <c r="M487" s="17"/>
      <c r="N487" s="17">
        <v>19.760000000000002</v>
      </c>
      <c r="O487" s="17"/>
      <c r="P487" s="17"/>
      <c r="Q487" s="17">
        <f t="shared" si="147"/>
        <v>582.65000000000305</v>
      </c>
      <c r="R487" s="2"/>
      <c r="S487" s="20">
        <f>S483+S484+S485</f>
        <v>225.95</v>
      </c>
    </row>
    <row r="488" spans="1:19" x14ac:dyDescent="0.25">
      <c r="A488" s="26">
        <v>43416</v>
      </c>
      <c r="B488" s="17"/>
      <c r="C488" s="7" t="s">
        <v>226</v>
      </c>
      <c r="D488" s="36"/>
      <c r="E488" s="17"/>
      <c r="F488" s="17"/>
      <c r="G488" s="17"/>
      <c r="H488" s="17"/>
      <c r="I488" s="17"/>
      <c r="J488" s="17"/>
      <c r="K488" s="17">
        <v>505.52</v>
      </c>
      <c r="L488" s="17"/>
      <c r="M488" s="17"/>
      <c r="N488" s="17"/>
      <c r="O488" s="17"/>
      <c r="P488" s="17"/>
      <c r="Q488" s="17">
        <f t="shared" si="147"/>
        <v>77.130000000003065</v>
      </c>
      <c r="R488" s="2"/>
      <c r="S488" s="20"/>
    </row>
    <row r="489" spans="1:19" x14ac:dyDescent="0.25">
      <c r="A489" s="26">
        <v>43417</v>
      </c>
      <c r="B489" s="17">
        <v>1000</v>
      </c>
      <c r="D489" s="36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>
        <f t="shared" ref="Q489" si="148">Q488+B489-K489-L489-M489+N489+O489+P489</f>
        <v>1077.1300000000031</v>
      </c>
      <c r="R489" s="2"/>
    </row>
    <row r="490" spans="1:19" x14ac:dyDescent="0.25">
      <c r="A490" s="26">
        <v>43418</v>
      </c>
      <c r="B490" s="17"/>
      <c r="C490" s="7" t="s">
        <v>88</v>
      </c>
      <c r="D490" s="36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>
        <v>47.02</v>
      </c>
      <c r="P490" s="17">
        <v>141.22999999999999</v>
      </c>
      <c r="Q490" s="17">
        <f t="shared" ref="Q490:Q494" si="149">Q489+B490-K490-L490-M490+N490+O490+P490</f>
        <v>1265.3800000000031</v>
      </c>
      <c r="R490" s="2"/>
    </row>
    <row r="491" spans="1:19" x14ac:dyDescent="0.25">
      <c r="A491" s="26">
        <v>43420</v>
      </c>
      <c r="B491" s="17"/>
      <c r="C491" s="7" t="s">
        <v>217</v>
      </c>
      <c r="D491" s="36"/>
      <c r="E491" s="17"/>
      <c r="F491" s="17"/>
      <c r="G491" s="17"/>
      <c r="H491" s="17"/>
      <c r="I491" s="17"/>
      <c r="J491" s="17"/>
      <c r="K491" s="17"/>
      <c r="L491" s="17"/>
      <c r="M491" s="17"/>
      <c r="N491" s="17">
        <v>18</v>
      </c>
      <c r="O491" s="17"/>
      <c r="P491" s="17"/>
      <c r="Q491" s="17">
        <f t="shared" si="149"/>
        <v>1283.3800000000031</v>
      </c>
      <c r="R491" s="2"/>
    </row>
    <row r="492" spans="1:19" x14ac:dyDescent="0.25">
      <c r="A492" s="26">
        <v>43420</v>
      </c>
      <c r="B492" s="17"/>
      <c r="C492" s="7" t="s">
        <v>169</v>
      </c>
      <c r="D492" s="36"/>
      <c r="E492" s="17"/>
      <c r="F492" s="17"/>
      <c r="G492" s="17"/>
      <c r="H492" s="17"/>
      <c r="I492" s="17"/>
      <c r="J492" s="17"/>
      <c r="K492" s="17"/>
      <c r="L492" s="17"/>
      <c r="M492" s="17"/>
      <c r="N492" s="17">
        <v>54.9</v>
      </c>
      <c r="O492" s="17"/>
      <c r="P492" s="17"/>
      <c r="Q492" s="17">
        <f t="shared" si="149"/>
        <v>1338.2800000000032</v>
      </c>
      <c r="R492" s="2"/>
    </row>
    <row r="493" spans="1:19" x14ac:dyDescent="0.25">
      <c r="A493" s="26">
        <v>43420</v>
      </c>
      <c r="B493" s="17"/>
      <c r="C493" s="7" t="s">
        <v>181</v>
      </c>
      <c r="D493" s="36"/>
      <c r="E493" s="17"/>
      <c r="F493" s="17"/>
      <c r="G493" s="17"/>
      <c r="H493" s="17"/>
      <c r="I493" s="17"/>
      <c r="J493" s="17"/>
      <c r="K493" s="17"/>
      <c r="L493" s="17"/>
      <c r="M493" s="17"/>
      <c r="N493" s="17">
        <v>44.8</v>
      </c>
      <c r="O493" s="17"/>
      <c r="P493" s="17"/>
      <c r="Q493" s="17">
        <f t="shared" si="149"/>
        <v>1383.0800000000031</v>
      </c>
      <c r="R493" s="2"/>
    </row>
    <row r="494" spans="1:19" x14ac:dyDescent="0.25">
      <c r="A494" s="26">
        <v>43420</v>
      </c>
      <c r="B494" s="17"/>
      <c r="C494" s="7" t="s">
        <v>179</v>
      </c>
      <c r="D494" s="36"/>
      <c r="E494" s="17"/>
      <c r="F494" s="17"/>
      <c r="G494" s="17"/>
      <c r="H494" s="17"/>
      <c r="I494" s="17"/>
      <c r="J494" s="17"/>
      <c r="K494" s="17"/>
      <c r="L494" s="17"/>
      <c r="M494" s="17"/>
      <c r="N494" s="17">
        <v>4.3899999999999997</v>
      </c>
      <c r="O494" s="17"/>
      <c r="P494" s="17"/>
      <c r="Q494" s="17">
        <f t="shared" si="149"/>
        <v>1387.4700000000032</v>
      </c>
      <c r="R494" s="2"/>
    </row>
    <row r="495" spans="1:19" x14ac:dyDescent="0.25">
      <c r="A495" s="26">
        <v>43420</v>
      </c>
      <c r="B495" s="17"/>
      <c r="C495" s="7" t="s">
        <v>221</v>
      </c>
      <c r="D495" s="36"/>
      <c r="E495" s="17"/>
      <c r="F495" s="17"/>
      <c r="G495" s="17"/>
      <c r="H495" s="17"/>
      <c r="I495" s="17"/>
      <c r="J495" s="17"/>
      <c r="K495" s="17"/>
      <c r="L495" s="17"/>
      <c r="M495" s="17"/>
      <c r="N495" s="17">
        <v>15.06</v>
      </c>
      <c r="O495" s="17"/>
      <c r="P495" s="17"/>
      <c r="Q495" s="17">
        <f>Q494+B495-K495-L495-M495+N495+O495+P495</f>
        <v>1402.5300000000032</v>
      </c>
      <c r="R495" s="2"/>
    </row>
    <row r="496" spans="1:19" x14ac:dyDescent="0.25">
      <c r="A496" s="26">
        <v>43420</v>
      </c>
      <c r="B496" s="17"/>
      <c r="C496" s="7" t="s">
        <v>184</v>
      </c>
      <c r="D496" s="36"/>
      <c r="E496" s="17"/>
      <c r="F496" s="17"/>
      <c r="G496" s="17"/>
      <c r="H496" s="17"/>
      <c r="I496" s="17"/>
      <c r="J496" s="17"/>
      <c r="K496" s="17"/>
      <c r="L496" s="17"/>
      <c r="M496" s="17"/>
      <c r="N496" s="17">
        <v>79.16</v>
      </c>
      <c r="O496" s="17"/>
      <c r="P496" s="17"/>
      <c r="Q496" s="17">
        <f>Q495+B496-K496-L496-M496+N496+O496+P496</f>
        <v>1481.6900000000032</v>
      </c>
      <c r="R496" s="2"/>
    </row>
    <row r="497" spans="1:20" x14ac:dyDescent="0.25">
      <c r="A497" s="26">
        <v>43420</v>
      </c>
      <c r="B497" s="17"/>
      <c r="C497" s="7" t="s">
        <v>173</v>
      </c>
      <c r="D497" s="36"/>
      <c r="E497" s="17"/>
      <c r="F497" s="17"/>
      <c r="G497" s="17"/>
      <c r="H497" s="17"/>
      <c r="I497" s="17"/>
      <c r="J497" s="17"/>
      <c r="K497" s="17"/>
      <c r="L497" s="17"/>
      <c r="M497" s="17"/>
      <c r="N497" s="17">
        <v>275.60000000000002</v>
      </c>
      <c r="O497" s="17"/>
      <c r="P497" s="17"/>
      <c r="Q497" s="17">
        <f t="shared" ref="Q497:Q532" si="150">Q496+B497-K497-L497-M497+N497+O497+P497</f>
        <v>1757.2900000000031</v>
      </c>
      <c r="R497" s="2"/>
    </row>
    <row r="498" spans="1:20" x14ac:dyDescent="0.25">
      <c r="A498" s="26">
        <v>43420</v>
      </c>
      <c r="B498" s="17"/>
      <c r="C498" s="7" t="s">
        <v>182</v>
      </c>
      <c r="D498" s="36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>
        <v>139.71</v>
      </c>
      <c r="P498" s="17"/>
      <c r="Q498" s="17">
        <f t="shared" si="150"/>
        <v>1897.0000000000032</v>
      </c>
      <c r="R498" s="2"/>
      <c r="T498" s="20"/>
    </row>
    <row r="499" spans="1:20" x14ac:dyDescent="0.25">
      <c r="A499" s="26">
        <v>43420</v>
      </c>
      <c r="B499" s="17"/>
      <c r="C499" s="7" t="s">
        <v>216</v>
      </c>
      <c r="D499" s="36">
        <v>100</v>
      </c>
      <c r="E499" s="17">
        <v>10.42</v>
      </c>
      <c r="F499" s="17">
        <f>D499*E499</f>
        <v>1042</v>
      </c>
      <c r="G499" s="17">
        <v>0.27</v>
      </c>
      <c r="H499" s="17">
        <v>0.03</v>
      </c>
      <c r="I499" s="17"/>
      <c r="J499" s="17">
        <v>2.4900000000000002</v>
      </c>
      <c r="K499" s="17">
        <f>SUM(F499:J499)</f>
        <v>1044.79</v>
      </c>
      <c r="L499" s="17"/>
      <c r="M499" s="17"/>
      <c r="N499" s="17"/>
      <c r="O499" s="17"/>
      <c r="P499" s="17"/>
      <c r="Q499" s="17">
        <f t="shared" si="150"/>
        <v>852.21000000000322</v>
      </c>
      <c r="R499" s="2"/>
      <c r="T499" s="20"/>
    </row>
    <row r="500" spans="1:20" x14ac:dyDescent="0.25">
      <c r="A500" s="26">
        <v>43420</v>
      </c>
      <c r="B500" s="17"/>
      <c r="C500" s="7" t="s">
        <v>169</v>
      </c>
      <c r="D500" s="36">
        <v>5</v>
      </c>
      <c r="E500" s="17">
        <v>103.9</v>
      </c>
      <c r="F500" s="17">
        <f>D500*E500</f>
        <v>519.5</v>
      </c>
      <c r="G500" s="17">
        <v>0.15</v>
      </c>
      <c r="H500" s="17">
        <v>0.03</v>
      </c>
      <c r="I500" s="17"/>
      <c r="J500" s="17">
        <v>0</v>
      </c>
      <c r="K500" s="17">
        <f>SUM(F500:J500)</f>
        <v>519.67999999999995</v>
      </c>
      <c r="L500" s="17"/>
      <c r="M500" s="17"/>
      <c r="N500" s="17"/>
      <c r="O500" s="17"/>
      <c r="P500" s="17"/>
      <c r="Q500" s="17">
        <f t="shared" si="150"/>
        <v>332.53000000000327</v>
      </c>
      <c r="R500" s="2"/>
    </row>
    <row r="501" spans="1:20" x14ac:dyDescent="0.25">
      <c r="A501" s="26">
        <v>43425</v>
      </c>
      <c r="B501" s="17">
        <v>1500</v>
      </c>
      <c r="D501" s="36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>
        <f t="shared" si="150"/>
        <v>1832.5300000000034</v>
      </c>
      <c r="R501" s="2"/>
    </row>
    <row r="502" spans="1:20" x14ac:dyDescent="0.25">
      <c r="A502" s="26">
        <v>43425</v>
      </c>
      <c r="B502" s="17"/>
      <c r="C502" s="7" t="s">
        <v>171</v>
      </c>
      <c r="D502" s="36">
        <v>100</v>
      </c>
      <c r="E502" s="17">
        <v>15.97</v>
      </c>
      <c r="F502" s="17">
        <f>D502*E502</f>
        <v>1597</v>
      </c>
      <c r="G502" s="17">
        <v>0.43</v>
      </c>
      <c r="H502" s="17">
        <v>0.06</v>
      </c>
      <c r="I502" s="17"/>
      <c r="J502" s="17">
        <v>2.4900000000000002</v>
      </c>
      <c r="K502" s="17">
        <f>SUM(F502:J502)</f>
        <v>1599.98</v>
      </c>
      <c r="L502" s="17"/>
      <c r="M502" s="17"/>
      <c r="N502" s="17"/>
      <c r="O502" s="17"/>
      <c r="P502" s="17"/>
      <c r="Q502" s="17">
        <f t="shared" si="150"/>
        <v>232.55000000000337</v>
      </c>
      <c r="R502" s="2"/>
    </row>
    <row r="503" spans="1:20" x14ac:dyDescent="0.25">
      <c r="A503" s="26">
        <v>43425</v>
      </c>
      <c r="B503" s="17"/>
      <c r="C503" s="7" t="s">
        <v>220</v>
      </c>
      <c r="D503" s="36"/>
      <c r="E503" s="17"/>
      <c r="F503" s="17"/>
      <c r="G503" s="17"/>
      <c r="H503" s="17"/>
      <c r="I503" s="17"/>
      <c r="J503" s="17"/>
      <c r="K503" s="17"/>
      <c r="L503" s="17"/>
      <c r="M503" s="17"/>
      <c r="N503" s="17">
        <v>11.99</v>
      </c>
      <c r="O503" s="17"/>
      <c r="P503" s="17"/>
      <c r="Q503" s="17">
        <f t="shared" si="150"/>
        <v>244.54000000000337</v>
      </c>
      <c r="R503" s="2"/>
      <c r="S503" s="20"/>
    </row>
    <row r="504" spans="1:20" x14ac:dyDescent="0.25">
      <c r="A504" s="26">
        <v>43426</v>
      </c>
      <c r="B504" s="17"/>
      <c r="C504" s="7" t="s">
        <v>218</v>
      </c>
      <c r="D504" s="36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>
        <v>10.01</v>
      </c>
      <c r="P504" s="17"/>
      <c r="Q504" s="17">
        <f t="shared" si="150"/>
        <v>254.55000000000337</v>
      </c>
      <c r="R504" s="2"/>
    </row>
    <row r="505" spans="1:20" x14ac:dyDescent="0.25">
      <c r="A505" s="26">
        <v>43426</v>
      </c>
      <c r="B505" s="17"/>
      <c r="C505" s="7" t="s">
        <v>170</v>
      </c>
      <c r="D505" s="36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>
        <v>444.73</v>
      </c>
      <c r="P505" s="17"/>
      <c r="Q505" s="17">
        <f t="shared" si="150"/>
        <v>699.28000000000338</v>
      </c>
      <c r="R505" s="2"/>
      <c r="S505" s="20"/>
    </row>
    <row r="506" spans="1:20" x14ac:dyDescent="0.25">
      <c r="A506" s="26">
        <v>43426</v>
      </c>
      <c r="B506" s="17"/>
      <c r="C506" s="7" t="s">
        <v>186</v>
      </c>
      <c r="D506" s="36">
        <v>7</v>
      </c>
      <c r="E506" s="17">
        <v>73.69</v>
      </c>
      <c r="F506" s="17">
        <f>D506*E506</f>
        <v>515.82999999999993</v>
      </c>
      <c r="G506" s="17">
        <v>0.14000000000000001</v>
      </c>
      <c r="H506" s="17">
        <v>0.02</v>
      </c>
      <c r="I506" s="17"/>
      <c r="J506" s="17">
        <v>0</v>
      </c>
      <c r="K506" s="17">
        <f>SUM(F506:J506)</f>
        <v>515.9899999999999</v>
      </c>
      <c r="L506" s="17"/>
      <c r="M506" s="17"/>
      <c r="N506" s="17"/>
      <c r="O506" s="17"/>
      <c r="P506" s="17"/>
      <c r="Q506" s="17">
        <f t="shared" si="150"/>
        <v>183.29000000000349</v>
      </c>
      <c r="R506" s="2"/>
      <c r="S506" s="20"/>
    </row>
    <row r="507" spans="1:20" x14ac:dyDescent="0.25">
      <c r="A507" s="26">
        <v>43430</v>
      </c>
      <c r="B507" s="17">
        <v>1000</v>
      </c>
      <c r="D507" s="36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>
        <f t="shared" si="150"/>
        <v>1183.2900000000036</v>
      </c>
      <c r="R507" s="2"/>
    </row>
    <row r="508" spans="1:20" x14ac:dyDescent="0.25">
      <c r="A508" s="26">
        <v>43431</v>
      </c>
      <c r="B508" s="17"/>
      <c r="C508" s="7" t="s">
        <v>186</v>
      </c>
      <c r="D508" s="36">
        <v>8</v>
      </c>
      <c r="E508" s="17">
        <v>74.7</v>
      </c>
      <c r="F508" s="17">
        <f>D508*E508</f>
        <v>597.6</v>
      </c>
      <c r="G508" s="17">
        <v>0.16</v>
      </c>
      <c r="H508" s="17">
        <v>0.02</v>
      </c>
      <c r="I508" s="17"/>
      <c r="J508" s="17">
        <v>0</v>
      </c>
      <c r="K508" s="17">
        <f>SUM(F508:J508)</f>
        <v>597.78</v>
      </c>
      <c r="L508" s="17"/>
      <c r="M508" s="17"/>
      <c r="N508" s="17"/>
      <c r="O508" s="17"/>
      <c r="P508" s="17"/>
      <c r="Q508" s="17">
        <f>Q507+B508-K508-L508-M508+N508+O508+P508</f>
        <v>585.51000000000363</v>
      </c>
      <c r="R508" s="2"/>
    </row>
    <row r="509" spans="1:20" x14ac:dyDescent="0.25">
      <c r="A509" s="26">
        <v>43431</v>
      </c>
      <c r="B509" s="17"/>
      <c r="C509" s="7" t="s">
        <v>222</v>
      </c>
      <c r="D509" s="36">
        <v>6</v>
      </c>
      <c r="E509" s="17">
        <v>89.99</v>
      </c>
      <c r="F509" s="17">
        <f>D509*E509</f>
        <v>539.93999999999994</v>
      </c>
      <c r="G509" s="17">
        <v>0.15</v>
      </c>
      <c r="H509" s="17">
        <v>0.02</v>
      </c>
      <c r="I509" s="17"/>
      <c r="J509" s="17">
        <v>0</v>
      </c>
      <c r="K509" s="17">
        <f>SUM(F509:J509)</f>
        <v>540.1099999999999</v>
      </c>
      <c r="L509" s="17"/>
      <c r="M509" s="17"/>
      <c r="N509" s="17"/>
      <c r="O509" s="17"/>
      <c r="P509" s="17"/>
      <c r="Q509" s="17">
        <f>Q508+B509-K509-L509-M509+N509+O509+P509</f>
        <v>45.400000000003729</v>
      </c>
      <c r="R509" s="2"/>
    </row>
    <row r="510" spans="1:20" x14ac:dyDescent="0.25">
      <c r="A510" s="26">
        <v>43432</v>
      </c>
      <c r="B510" s="17"/>
      <c r="D510" s="36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>
        <f>Q509+B510-K510-L510-M510+N510+O510+P510</f>
        <v>45.400000000003729</v>
      </c>
      <c r="R510" s="2"/>
    </row>
    <row r="511" spans="1:20" x14ac:dyDescent="0.25">
      <c r="A511" s="26">
        <v>43432</v>
      </c>
      <c r="B511" s="17"/>
      <c r="C511" s="7" t="s">
        <v>220</v>
      </c>
      <c r="D511" s="36">
        <v>5</v>
      </c>
      <c r="E511" s="17">
        <v>100.95</v>
      </c>
      <c r="F511" s="17">
        <f>D511*E511</f>
        <v>504.75</v>
      </c>
      <c r="G511" s="17">
        <v>0.13</v>
      </c>
      <c r="H511" s="17">
        <v>0.02</v>
      </c>
      <c r="I511" s="17"/>
      <c r="J511" s="17">
        <v>0</v>
      </c>
      <c r="K511" s="17">
        <f>SUM(F511:J511)</f>
        <v>504.9</v>
      </c>
      <c r="L511" s="17"/>
      <c r="M511" s="17"/>
      <c r="N511" s="17"/>
      <c r="O511" s="17"/>
      <c r="P511" s="17"/>
      <c r="Q511" s="17">
        <f>Q510+B511-K511-L511-M511+N511+O511+P511</f>
        <v>-459.49999999999625</v>
      </c>
      <c r="R511" s="2"/>
    </row>
    <row r="512" spans="1:20" x14ac:dyDescent="0.25">
      <c r="A512" s="26">
        <v>43433</v>
      </c>
      <c r="B512" s="17">
        <v>1000</v>
      </c>
      <c r="D512" s="36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>
        <f t="shared" si="150"/>
        <v>540.50000000000375</v>
      </c>
      <c r="R512" s="2"/>
    </row>
    <row r="513" spans="1:19" x14ac:dyDescent="0.25">
      <c r="A513" s="26">
        <v>43433</v>
      </c>
      <c r="B513" s="17"/>
      <c r="C513" s="7" t="s">
        <v>249</v>
      </c>
      <c r="D513" s="36">
        <v>500</v>
      </c>
      <c r="E513" s="17">
        <v>1.49</v>
      </c>
      <c r="F513" s="17">
        <f>D513*E513</f>
        <v>745</v>
      </c>
      <c r="G513" s="17">
        <v>0.36</v>
      </c>
      <c r="H513" s="17">
        <v>0.03</v>
      </c>
      <c r="I513" s="17"/>
      <c r="J513" s="17">
        <v>2.4900000000000002</v>
      </c>
      <c r="K513" s="17">
        <f>SUM(F513:J513)</f>
        <v>747.88</v>
      </c>
      <c r="L513" s="17"/>
      <c r="M513" s="17"/>
      <c r="N513" s="17"/>
      <c r="O513" s="17"/>
      <c r="P513" s="17"/>
      <c r="Q513" s="17">
        <f t="shared" si="150"/>
        <v>-207.37999999999624</v>
      </c>
      <c r="R513" s="2"/>
    </row>
    <row r="514" spans="1:19" x14ac:dyDescent="0.25">
      <c r="A514" s="26">
        <v>43433</v>
      </c>
      <c r="B514" s="17"/>
      <c r="C514" s="7" t="s">
        <v>217</v>
      </c>
      <c r="D514" s="36">
        <v>10</v>
      </c>
      <c r="E514" s="17">
        <v>95.3</v>
      </c>
      <c r="F514" s="17">
        <f>D514*E514</f>
        <v>953</v>
      </c>
      <c r="G514" s="17">
        <v>0.1</v>
      </c>
      <c r="H514" s="17">
        <v>0.03</v>
      </c>
      <c r="I514" s="17"/>
      <c r="J514" s="17">
        <v>0</v>
      </c>
      <c r="K514" s="17">
        <f>SUM(F514:J514)</f>
        <v>953.13</v>
      </c>
      <c r="L514" s="17"/>
      <c r="M514" s="17"/>
      <c r="N514" s="17"/>
      <c r="O514" s="17"/>
      <c r="P514" s="17"/>
      <c r="Q514" s="17">
        <f t="shared" si="150"/>
        <v>-1160.5099999999961</v>
      </c>
      <c r="R514" s="2"/>
      <c r="S514" s="20"/>
    </row>
    <row r="515" spans="1:19" x14ac:dyDescent="0.25">
      <c r="A515" s="26">
        <v>43434</v>
      </c>
      <c r="B515" s="17"/>
      <c r="C515" s="7" t="s">
        <v>5</v>
      </c>
      <c r="D515" s="36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>
        <v>35.43</v>
      </c>
      <c r="Q515" s="17">
        <f t="shared" si="150"/>
        <v>-1125.0799999999961</v>
      </c>
      <c r="R515" s="2"/>
    </row>
    <row r="516" spans="1:19" x14ac:dyDescent="0.25">
      <c r="A516" s="26">
        <v>43437</v>
      </c>
      <c r="B516" s="17"/>
      <c r="C516" s="7" t="s">
        <v>82</v>
      </c>
      <c r="D516" s="36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>
        <v>17</v>
      </c>
      <c r="Q516" s="17">
        <f t="shared" si="150"/>
        <v>-1108.0799999999961</v>
      </c>
      <c r="R516" s="2"/>
    </row>
    <row r="517" spans="1:19" x14ac:dyDescent="0.25">
      <c r="A517" s="26">
        <v>43438</v>
      </c>
      <c r="B517" s="17"/>
      <c r="C517" s="7" t="s">
        <v>181</v>
      </c>
      <c r="D517" s="36">
        <v>10</v>
      </c>
      <c r="E517" s="17">
        <v>91.17</v>
      </c>
      <c r="F517" s="17">
        <f>D517*E517</f>
        <v>911.7</v>
      </c>
      <c r="G517" s="17">
        <v>0</v>
      </c>
      <c r="H517" s="17">
        <v>0</v>
      </c>
      <c r="I517" s="17"/>
      <c r="J517" s="17">
        <v>0</v>
      </c>
      <c r="K517" s="17">
        <f>SUM(F517:J517)</f>
        <v>911.7</v>
      </c>
      <c r="L517" s="17"/>
      <c r="M517" s="17"/>
      <c r="N517" s="17"/>
      <c r="O517" s="17"/>
      <c r="P517" s="17"/>
      <c r="Q517" s="17">
        <f>Q516+B517-K517-L517-M517+N517+O517+P517</f>
        <v>-2019.7799999999961</v>
      </c>
      <c r="R517" s="2" t="s">
        <v>251</v>
      </c>
    </row>
    <row r="518" spans="1:19" x14ac:dyDescent="0.25">
      <c r="A518" s="26">
        <v>43438</v>
      </c>
      <c r="B518" s="17"/>
      <c r="D518" s="36"/>
      <c r="E518" s="17"/>
      <c r="F518" s="17"/>
      <c r="G518" s="17"/>
      <c r="H518" s="17"/>
      <c r="I518" s="17"/>
      <c r="J518" s="17"/>
      <c r="K518" s="17">
        <v>-277.79000000000002</v>
      </c>
      <c r="L518" s="17"/>
      <c r="M518" s="17"/>
      <c r="N518" s="17"/>
      <c r="O518" s="17"/>
      <c r="P518" s="17"/>
      <c r="Q518" s="17">
        <f>Q517+B518-K518-L518-M518+N518+O518+P518</f>
        <v>-1741.9899999999961</v>
      </c>
      <c r="R518" t="s">
        <v>272</v>
      </c>
    </row>
    <row r="519" spans="1:19" x14ac:dyDescent="0.25">
      <c r="A519" s="26">
        <v>43439</v>
      </c>
      <c r="B519" s="17">
        <v>2000</v>
      </c>
      <c r="D519" s="36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>
        <f>Q518+B519-K519-L519-M519+N519+O519+P519</f>
        <v>258.01000000000386</v>
      </c>
      <c r="R519" s="2"/>
    </row>
    <row r="520" spans="1:19" x14ac:dyDescent="0.25">
      <c r="A520" s="26">
        <v>43439</v>
      </c>
      <c r="B520" s="17"/>
      <c r="D520" s="36"/>
      <c r="E520" s="17"/>
      <c r="F520" s="17"/>
      <c r="G520" s="17"/>
      <c r="H520" s="17"/>
      <c r="I520" s="17"/>
      <c r="J520" s="17"/>
      <c r="K520" s="17">
        <v>279.41000000000003</v>
      </c>
      <c r="L520" s="17"/>
      <c r="M520" s="17"/>
      <c r="N520" s="17"/>
      <c r="O520" s="17"/>
      <c r="P520" s="17"/>
      <c r="Q520" s="17">
        <f>Q519+B520-K520-L520-M520+N520+O520+P520</f>
        <v>-21.399999999996169</v>
      </c>
      <c r="R520" t="s">
        <v>273</v>
      </c>
    </row>
    <row r="521" spans="1:19" x14ac:dyDescent="0.25">
      <c r="A521" s="26">
        <v>43440</v>
      </c>
      <c r="B521" s="17">
        <v>2000</v>
      </c>
      <c r="D521" s="36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>
        <f>Q520+B521-K521-L521-M521+N521+O521+P521</f>
        <v>1978.6000000000038</v>
      </c>
      <c r="R521" s="2"/>
    </row>
    <row r="522" spans="1:19" x14ac:dyDescent="0.25">
      <c r="A522" s="26">
        <v>43440</v>
      </c>
      <c r="B522" s="17"/>
      <c r="C522" s="7" t="s">
        <v>226</v>
      </c>
      <c r="D522" s="36"/>
      <c r="E522" s="17"/>
      <c r="F522" s="17"/>
      <c r="G522" s="17"/>
      <c r="H522" s="17"/>
      <c r="I522" s="17"/>
      <c r="J522" s="17"/>
      <c r="K522" s="17">
        <v>994.03</v>
      </c>
      <c r="L522" s="17"/>
      <c r="M522" s="17"/>
      <c r="N522" s="17"/>
      <c r="O522" s="17"/>
      <c r="P522" s="17"/>
      <c r="Q522" s="17">
        <f t="shared" si="150"/>
        <v>984.5700000000038</v>
      </c>
      <c r="R522" s="2"/>
    </row>
    <row r="523" spans="1:19" x14ac:dyDescent="0.25">
      <c r="A523" s="26">
        <v>43441</v>
      </c>
      <c r="B523" s="17"/>
      <c r="C523" s="7" t="s">
        <v>222</v>
      </c>
      <c r="D523" s="36"/>
      <c r="E523" s="17"/>
      <c r="F523" s="17"/>
      <c r="G523" s="17"/>
      <c r="H523" s="17"/>
      <c r="I523" s="17"/>
      <c r="J523" s="17"/>
      <c r="K523" s="17"/>
      <c r="L523" s="17"/>
      <c r="M523" s="17"/>
      <c r="N523" s="17">
        <v>13.8</v>
      </c>
      <c r="O523" s="17"/>
      <c r="P523" s="17"/>
      <c r="Q523" s="17">
        <f t="shared" si="150"/>
        <v>998.37000000000376</v>
      </c>
      <c r="R523" s="2"/>
      <c r="S523" s="20"/>
    </row>
    <row r="524" spans="1:19" x14ac:dyDescent="0.25">
      <c r="A524" s="26">
        <v>43441</v>
      </c>
      <c r="B524" s="17"/>
      <c r="C524" s="7" t="s">
        <v>186</v>
      </c>
      <c r="D524" s="36"/>
      <c r="E524" s="17"/>
      <c r="F524" s="17"/>
      <c r="G524" s="17"/>
      <c r="H524" s="17"/>
      <c r="I524" s="17"/>
      <c r="J524" s="17"/>
      <c r="K524" s="17"/>
      <c r="L524" s="17"/>
      <c r="M524" s="17"/>
      <c r="N524" s="17">
        <v>39.65</v>
      </c>
      <c r="O524" s="17"/>
      <c r="P524" s="17"/>
      <c r="Q524" s="17">
        <f t="shared" si="150"/>
        <v>1038.0200000000038</v>
      </c>
      <c r="R524" s="2"/>
    </row>
    <row r="525" spans="1:19" x14ac:dyDescent="0.25">
      <c r="A525" s="26">
        <v>43441</v>
      </c>
      <c r="B525" s="17"/>
      <c r="C525" s="7" t="s">
        <v>186</v>
      </c>
      <c r="D525" s="36">
        <v>10</v>
      </c>
      <c r="E525" s="17">
        <v>73.38</v>
      </c>
      <c r="F525" s="17">
        <f>D525*E525</f>
        <v>733.8</v>
      </c>
      <c r="G525" s="17">
        <v>0.2</v>
      </c>
      <c r="H525" s="17">
        <v>0.03</v>
      </c>
      <c r="I525" s="17"/>
      <c r="J525" s="17">
        <v>0</v>
      </c>
      <c r="K525" s="17">
        <f>SUM(F525:J525)</f>
        <v>734.03</v>
      </c>
      <c r="L525" s="17"/>
      <c r="M525" s="17"/>
      <c r="N525" s="17"/>
      <c r="O525" s="17"/>
      <c r="P525" s="17"/>
      <c r="Q525" s="17">
        <f t="shared" si="150"/>
        <v>303.99000000000387</v>
      </c>
      <c r="R525" s="2"/>
    </row>
    <row r="526" spans="1:19" x14ac:dyDescent="0.25">
      <c r="A526" s="26">
        <v>43444</v>
      </c>
      <c r="B526" s="17">
        <v>2000</v>
      </c>
      <c r="D526" s="36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>
        <f t="shared" si="150"/>
        <v>2303.9900000000039</v>
      </c>
      <c r="R526" s="2"/>
    </row>
    <row r="527" spans="1:19" x14ac:dyDescent="0.25">
      <c r="A527" s="26">
        <v>43444</v>
      </c>
      <c r="B527" s="17"/>
      <c r="C527" s="7" t="s">
        <v>234</v>
      </c>
      <c r="D527" s="36"/>
      <c r="E527" s="17"/>
      <c r="F527" s="17"/>
      <c r="G527" s="17"/>
      <c r="H527" s="17"/>
      <c r="I527" s="17"/>
      <c r="J527" s="17"/>
      <c r="K527" s="17"/>
      <c r="L527" s="17"/>
      <c r="M527" s="17"/>
      <c r="N527" s="17">
        <v>20.52</v>
      </c>
      <c r="O527" s="17"/>
      <c r="P527" s="17"/>
      <c r="Q527" s="17">
        <f t="shared" si="150"/>
        <v>2324.5100000000039</v>
      </c>
      <c r="R527" s="2"/>
    </row>
    <row r="528" spans="1:19" x14ac:dyDescent="0.25">
      <c r="A528" s="26">
        <v>43444</v>
      </c>
      <c r="B528" s="17"/>
      <c r="C528" s="7" t="s">
        <v>226</v>
      </c>
      <c r="D528" s="36"/>
      <c r="E528" s="17"/>
      <c r="F528" s="17"/>
      <c r="G528" s="17"/>
      <c r="H528" s="17"/>
      <c r="I528" s="17"/>
      <c r="J528" s="17"/>
      <c r="K528" s="17">
        <v>498.24</v>
      </c>
      <c r="L528" s="17"/>
      <c r="M528" s="17"/>
      <c r="N528" s="17"/>
      <c r="O528" s="17"/>
      <c r="P528" s="17"/>
      <c r="Q528" s="17">
        <f t="shared" si="150"/>
        <v>1826.2700000000038</v>
      </c>
      <c r="R528" s="2"/>
    </row>
    <row r="529" spans="1:30" x14ac:dyDescent="0.25">
      <c r="A529" s="26">
        <v>43444</v>
      </c>
      <c r="B529" s="17"/>
      <c r="C529" s="7" t="s">
        <v>217</v>
      </c>
      <c r="D529" s="36">
        <v>5</v>
      </c>
      <c r="E529" s="17">
        <v>96.35</v>
      </c>
      <c r="F529" s="17">
        <f>D529*E529</f>
        <v>481.75</v>
      </c>
      <c r="G529" s="17">
        <v>0.13</v>
      </c>
      <c r="H529" s="17">
        <v>0.02</v>
      </c>
      <c r="I529" s="17"/>
      <c r="J529" s="17">
        <v>0</v>
      </c>
      <c r="K529" s="17">
        <f>SUM(F529:J529)</f>
        <v>481.9</v>
      </c>
      <c r="L529" s="17"/>
      <c r="M529" s="17"/>
      <c r="N529" s="17"/>
      <c r="O529" s="17"/>
      <c r="P529" s="17"/>
      <c r="Q529" s="17">
        <f t="shared" si="150"/>
        <v>1344.370000000004</v>
      </c>
      <c r="R529" s="2"/>
      <c r="S529" s="20"/>
    </row>
    <row r="530" spans="1:30" x14ac:dyDescent="0.25">
      <c r="A530" s="26">
        <v>43445</v>
      </c>
      <c r="B530" s="17"/>
      <c r="C530" s="7" t="s">
        <v>221</v>
      </c>
      <c r="D530" s="36">
        <v>49</v>
      </c>
      <c r="E530" s="17">
        <v>10.08</v>
      </c>
      <c r="F530" s="17">
        <f>D530*E530</f>
        <v>493.92</v>
      </c>
      <c r="G530" s="17">
        <v>0.16</v>
      </c>
      <c r="H530" s="17">
        <v>0.02</v>
      </c>
      <c r="I530" s="17"/>
      <c r="J530" s="17">
        <v>0</v>
      </c>
      <c r="K530" s="17">
        <f>SUM(F530:J530)</f>
        <v>494.1</v>
      </c>
      <c r="L530" s="17"/>
      <c r="M530" s="17"/>
      <c r="N530" s="17"/>
      <c r="O530" s="17"/>
      <c r="P530" s="17"/>
      <c r="Q530" s="17">
        <f t="shared" si="150"/>
        <v>850.27000000000396</v>
      </c>
      <c r="R530" s="2"/>
      <c r="S530" s="20"/>
      <c r="T530" s="20"/>
    </row>
    <row r="531" spans="1:30" x14ac:dyDescent="0.25">
      <c r="A531" s="26">
        <v>43445</v>
      </c>
      <c r="B531" s="17"/>
      <c r="C531" s="7" t="s">
        <v>252</v>
      </c>
      <c r="D531" s="36">
        <v>100</v>
      </c>
      <c r="E531" s="17">
        <v>6.94</v>
      </c>
      <c r="F531" s="17">
        <f>D531*E531</f>
        <v>694</v>
      </c>
      <c r="G531" s="17">
        <v>0.16</v>
      </c>
      <c r="H531" s="17">
        <v>0.03</v>
      </c>
      <c r="I531" s="17"/>
      <c r="J531" s="17">
        <v>2.4900000000000002</v>
      </c>
      <c r="K531" s="17">
        <f>SUM(F531:J531)</f>
        <v>696.68</v>
      </c>
      <c r="L531" s="17"/>
      <c r="M531" s="17"/>
      <c r="N531" s="17"/>
      <c r="O531" s="17"/>
      <c r="P531" s="17"/>
      <c r="Q531" s="17">
        <f t="shared" si="150"/>
        <v>153.59000000000401</v>
      </c>
      <c r="R531" s="2"/>
    </row>
    <row r="532" spans="1:30" x14ac:dyDescent="0.25">
      <c r="A532" s="26">
        <v>43446</v>
      </c>
      <c r="B532" s="17"/>
      <c r="C532" s="7" t="s">
        <v>216</v>
      </c>
      <c r="D532" s="36">
        <v>100</v>
      </c>
      <c r="E532" s="17">
        <v>10.62</v>
      </c>
      <c r="F532" s="17">
        <f>D532*E532</f>
        <v>1062</v>
      </c>
      <c r="G532" s="17">
        <v>0.1</v>
      </c>
      <c r="H532" s="17">
        <v>0.03</v>
      </c>
      <c r="I532" s="17"/>
      <c r="J532" s="17">
        <v>2.4900000000000002</v>
      </c>
      <c r="K532" s="17">
        <v>0</v>
      </c>
      <c r="L532" s="17"/>
      <c r="M532" s="17"/>
      <c r="N532" s="17"/>
      <c r="O532" s="17"/>
      <c r="P532" s="17"/>
      <c r="Q532" s="17">
        <f t="shared" si="150"/>
        <v>153.59000000000401</v>
      </c>
      <c r="R532" s="14"/>
    </row>
    <row r="533" spans="1:30" x14ac:dyDescent="0.25">
      <c r="A533" s="26">
        <v>43446</v>
      </c>
      <c r="B533" s="17"/>
      <c r="C533" s="7" t="s">
        <v>216</v>
      </c>
      <c r="D533" s="36">
        <v>-100</v>
      </c>
      <c r="E533" s="17">
        <v>10.61</v>
      </c>
      <c r="F533" s="17">
        <f>D533*E533</f>
        <v>-1061</v>
      </c>
      <c r="G533" s="17">
        <v>0.42</v>
      </c>
      <c r="H533" s="17">
        <v>0.08</v>
      </c>
      <c r="I533" s="17"/>
      <c r="J533" s="17">
        <v>52.49</v>
      </c>
      <c r="K533" s="17">
        <v>53.99</v>
      </c>
      <c r="L533" s="17"/>
      <c r="M533" s="17"/>
      <c r="N533" s="17"/>
      <c r="O533" s="17"/>
      <c r="P533" s="17"/>
      <c r="Q533" s="17">
        <f>Q532+B533-K533-L533-M533+N533+O533+P533</f>
        <v>99.600000000004002</v>
      </c>
      <c r="R533" s="14" t="s">
        <v>256</v>
      </c>
    </row>
    <row r="534" spans="1:30" x14ac:dyDescent="0.25">
      <c r="A534" s="26">
        <v>43448</v>
      </c>
      <c r="B534" s="17"/>
      <c r="C534" s="7" t="s">
        <v>183</v>
      </c>
      <c r="D534" s="36"/>
      <c r="E534" s="17"/>
      <c r="F534" s="17"/>
      <c r="G534" s="17"/>
      <c r="H534" s="17"/>
      <c r="I534" s="17"/>
      <c r="J534" s="17"/>
      <c r="K534" s="17"/>
      <c r="L534" s="17"/>
      <c r="M534" s="17"/>
      <c r="N534" s="17">
        <v>4.43</v>
      </c>
      <c r="O534" s="17"/>
      <c r="P534" s="17"/>
      <c r="Q534" s="17">
        <f>Q533+B534-K534-L534-M534+N534+O534+P534</f>
        <v>104.03000000000401</v>
      </c>
      <c r="R534" s="2"/>
    </row>
    <row r="535" spans="1:30" x14ac:dyDescent="0.25">
      <c r="A535" s="26">
        <v>43448</v>
      </c>
      <c r="B535" s="17"/>
      <c r="C535" s="7" t="s">
        <v>217</v>
      </c>
      <c r="D535" s="36"/>
      <c r="E535" s="17"/>
      <c r="F535" s="17"/>
      <c r="G535" s="17"/>
      <c r="H535" s="17"/>
      <c r="I535" s="17"/>
      <c r="J535" s="17"/>
      <c r="K535" s="17"/>
      <c r="L535" s="17"/>
      <c r="M535" s="17"/>
      <c r="N535" s="17">
        <v>25.8</v>
      </c>
      <c r="O535" s="17"/>
      <c r="P535" s="17"/>
      <c r="Q535" s="17">
        <f t="shared" ref="Q535:Q540" si="151">Q534+B535-K535-L535-M535+N535+O535+P535</f>
        <v>129.83000000000402</v>
      </c>
      <c r="R535" s="2"/>
    </row>
    <row r="536" spans="1:30" x14ac:dyDescent="0.25">
      <c r="A536" s="26">
        <v>43448</v>
      </c>
      <c r="B536" s="17"/>
      <c r="C536" s="7" t="s">
        <v>181</v>
      </c>
      <c r="D536" s="36"/>
      <c r="E536" s="17"/>
      <c r="F536" s="17"/>
      <c r="G536" s="17"/>
      <c r="H536" s="17"/>
      <c r="I536" s="17"/>
      <c r="J536" s="17"/>
      <c r="K536" s="17"/>
      <c r="L536" s="17"/>
      <c r="M536" s="17"/>
      <c r="N536" s="17">
        <v>44.8</v>
      </c>
      <c r="O536" s="17"/>
      <c r="P536" s="17"/>
      <c r="Q536" s="17">
        <f t="shared" si="151"/>
        <v>174.63000000000403</v>
      </c>
      <c r="R536" s="2"/>
    </row>
    <row r="537" spans="1:30" x14ac:dyDescent="0.25">
      <c r="A537" s="26">
        <v>43448</v>
      </c>
      <c r="B537" s="17"/>
      <c r="C537" s="7" t="s">
        <v>169</v>
      </c>
      <c r="D537" s="36"/>
      <c r="E537" s="17"/>
      <c r="F537" s="17"/>
      <c r="G537" s="17"/>
      <c r="H537" s="17"/>
      <c r="I537" s="17"/>
      <c r="J537" s="17"/>
      <c r="K537" s="17"/>
      <c r="L537" s="17"/>
      <c r="M537" s="17"/>
      <c r="N537" s="17">
        <v>57.39</v>
      </c>
      <c r="O537" s="17"/>
      <c r="P537" s="17"/>
      <c r="Q537" s="17">
        <f t="shared" si="151"/>
        <v>232.02000000000402</v>
      </c>
      <c r="R537" s="2"/>
    </row>
    <row r="538" spans="1:30" x14ac:dyDescent="0.25">
      <c r="A538" s="26">
        <v>43448</v>
      </c>
      <c r="B538" s="17"/>
      <c r="C538" s="7" t="s">
        <v>184</v>
      </c>
      <c r="D538" s="36"/>
      <c r="E538" s="17"/>
      <c r="F538" s="17"/>
      <c r="G538" s="17"/>
      <c r="H538" s="17"/>
      <c r="I538" s="17"/>
      <c r="J538" s="17"/>
      <c r="K538" s="17"/>
      <c r="L538" s="17"/>
      <c r="M538" s="17"/>
      <c r="N538" s="17">
        <v>79.16</v>
      </c>
      <c r="O538" s="17"/>
      <c r="P538" s="17"/>
      <c r="Q538" s="17">
        <f t="shared" si="151"/>
        <v>311.18000000000404</v>
      </c>
      <c r="R538" s="2"/>
      <c r="S538" s="20"/>
    </row>
    <row r="539" spans="1:30" x14ac:dyDescent="0.25">
      <c r="A539" s="26">
        <v>43448</v>
      </c>
      <c r="B539" s="17"/>
      <c r="C539" s="7" t="s">
        <v>173</v>
      </c>
      <c r="D539" s="36"/>
      <c r="E539" s="17"/>
      <c r="F539" s="17"/>
      <c r="G539" s="17"/>
      <c r="H539" s="17"/>
      <c r="I539" s="17"/>
      <c r="J539" s="17"/>
      <c r="K539" s="17"/>
      <c r="L539" s="17"/>
      <c r="M539" s="17"/>
      <c r="N539" s="17">
        <v>301.60000000000002</v>
      </c>
      <c r="O539" s="17"/>
      <c r="P539" s="17"/>
      <c r="Q539" s="17">
        <f t="shared" si="151"/>
        <v>612.78000000000407</v>
      </c>
      <c r="R539" s="2"/>
      <c r="S539" s="20"/>
    </row>
    <row r="540" spans="1:30" x14ac:dyDescent="0.25">
      <c r="A540" s="26">
        <v>43448</v>
      </c>
      <c r="B540" s="17"/>
      <c r="C540" s="7" t="s">
        <v>252</v>
      </c>
      <c r="D540" s="36">
        <v>100</v>
      </c>
      <c r="E540" s="17">
        <v>7.1</v>
      </c>
      <c r="F540" s="17">
        <f>D540*E540</f>
        <v>710</v>
      </c>
      <c r="G540" s="17">
        <v>0.19</v>
      </c>
      <c r="H540" s="17">
        <v>0.03</v>
      </c>
      <c r="I540" s="17"/>
      <c r="J540" s="17">
        <v>2.4900000000000002</v>
      </c>
      <c r="K540" s="17">
        <f>SUM(F540:J540)</f>
        <v>712.71</v>
      </c>
      <c r="L540" s="17"/>
      <c r="M540" s="17"/>
      <c r="N540" s="17"/>
      <c r="O540" s="17"/>
      <c r="P540" s="17"/>
      <c r="Q540" s="17">
        <f t="shared" si="151"/>
        <v>-99.929999999995971</v>
      </c>
      <c r="R540" s="2"/>
      <c r="Y540" s="52"/>
      <c r="Z540" t="s">
        <v>257</v>
      </c>
      <c r="AA540" s="8">
        <v>-3.96</v>
      </c>
      <c r="AC540" t="s">
        <v>258</v>
      </c>
      <c r="AD540" s="8">
        <v>7.22</v>
      </c>
    </row>
    <row r="541" spans="1:30" x14ac:dyDescent="0.25">
      <c r="A541" s="26">
        <v>43451</v>
      </c>
      <c r="B541" s="17"/>
      <c r="C541" s="7" t="s">
        <v>221</v>
      </c>
      <c r="D541" s="36"/>
      <c r="E541" s="17"/>
      <c r="F541" s="17"/>
      <c r="G541" s="17"/>
      <c r="H541" s="17"/>
      <c r="I541" s="17"/>
      <c r="J541" s="17"/>
      <c r="K541" s="17"/>
      <c r="L541" s="17"/>
      <c r="M541" s="17"/>
      <c r="N541" s="17">
        <v>15.06</v>
      </c>
      <c r="O541" s="17"/>
      <c r="P541" s="17"/>
      <c r="Q541" s="17">
        <f>Q540+B541-K541-L541-M541+N541+O541+P541</f>
        <v>-84.869999999995969</v>
      </c>
      <c r="R541" s="2"/>
      <c r="Y541" s="82"/>
      <c r="Z541" t="s">
        <v>257</v>
      </c>
      <c r="AA541" s="8">
        <v>-0.56000000000000005</v>
      </c>
      <c r="AC541" t="s">
        <v>258</v>
      </c>
      <c r="AD541" s="8">
        <v>26.95</v>
      </c>
    </row>
    <row r="542" spans="1:30" x14ac:dyDescent="0.25">
      <c r="A542" s="26">
        <v>43452</v>
      </c>
      <c r="B542" s="17"/>
      <c r="C542" s="7" t="s">
        <v>220</v>
      </c>
      <c r="D542" s="36"/>
      <c r="E542" s="17"/>
      <c r="F542" s="17"/>
      <c r="G542" s="17"/>
      <c r="H542" s="17"/>
      <c r="I542" s="17"/>
      <c r="J542" s="17"/>
      <c r="K542" s="17"/>
      <c r="L542" s="17"/>
      <c r="M542" s="17"/>
      <c r="N542" s="17">
        <v>16</v>
      </c>
      <c r="O542" s="17"/>
      <c r="P542" s="17"/>
      <c r="Q542" s="17">
        <v>197.04</v>
      </c>
      <c r="R542" s="2" t="s">
        <v>253</v>
      </c>
      <c r="Y542" s="82"/>
      <c r="Z542" t="s">
        <v>257</v>
      </c>
      <c r="AA542" s="8">
        <v>-2.59</v>
      </c>
      <c r="AC542" t="s">
        <v>258</v>
      </c>
      <c r="AD542" s="8">
        <v>23.58</v>
      </c>
    </row>
    <row r="543" spans="1:30" x14ac:dyDescent="0.25">
      <c r="A543" s="26">
        <v>43453</v>
      </c>
      <c r="B543" s="17">
        <v>1000</v>
      </c>
      <c r="D543" s="36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>
        <f>Q542+B543-K543-L543-M543+N543+O543+P543</f>
        <v>1197.04</v>
      </c>
      <c r="R543" s="2"/>
      <c r="Y543" s="52"/>
      <c r="Z543" t="s">
        <v>257</v>
      </c>
      <c r="AA543" s="8">
        <v>-1.42</v>
      </c>
      <c r="AC543" t="s">
        <v>258</v>
      </c>
      <c r="AD543" s="8">
        <v>23.1</v>
      </c>
    </row>
    <row r="544" spans="1:30" x14ac:dyDescent="0.25">
      <c r="A544" s="26">
        <v>43453</v>
      </c>
      <c r="B544" s="17"/>
      <c r="C544" s="7" t="s">
        <v>217</v>
      </c>
      <c r="D544" s="36">
        <v>10</v>
      </c>
      <c r="E544" s="17">
        <v>96.8</v>
      </c>
      <c r="F544" s="17">
        <f>D544*E544</f>
        <v>968</v>
      </c>
      <c r="G544" s="17">
        <v>0.26</v>
      </c>
      <c r="H544" s="17">
        <v>0.04</v>
      </c>
      <c r="I544" s="17"/>
      <c r="J544" s="17">
        <v>0</v>
      </c>
      <c r="K544" s="17">
        <f>SUM(F544:J544)</f>
        <v>968.3</v>
      </c>
      <c r="L544" s="17"/>
      <c r="M544" s="17"/>
      <c r="N544" s="17"/>
      <c r="O544" s="17"/>
      <c r="P544" s="17"/>
      <c r="Q544" s="17">
        <f t="shared" ref="Q544:Q608" si="152">Q543+B544-K544-L544-M544+N544+O544+P544</f>
        <v>228.74</v>
      </c>
      <c r="R544" s="2"/>
      <c r="Z544" t="s">
        <v>257</v>
      </c>
      <c r="AA544" s="8">
        <v>-1.34</v>
      </c>
      <c r="AC544" t="s">
        <v>258</v>
      </c>
      <c r="AD544" s="8">
        <v>28.88</v>
      </c>
    </row>
    <row r="545" spans="1:32" x14ac:dyDescent="0.25">
      <c r="A545" s="26">
        <v>43454</v>
      </c>
      <c r="B545" s="17">
        <v>1000</v>
      </c>
      <c r="D545" s="36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>
        <f t="shared" si="152"/>
        <v>1228.74</v>
      </c>
      <c r="R545" s="2"/>
      <c r="Y545" s="82"/>
      <c r="Z545" t="s">
        <v>257</v>
      </c>
      <c r="AA545" s="8">
        <v>-3.27</v>
      </c>
      <c r="AC545" t="s">
        <v>258</v>
      </c>
      <c r="AD545" s="8">
        <v>25.03</v>
      </c>
    </row>
    <row r="546" spans="1:32" x14ac:dyDescent="0.25">
      <c r="A546" s="26">
        <v>43454</v>
      </c>
      <c r="B546" s="17"/>
      <c r="C546" s="7" t="s">
        <v>180</v>
      </c>
      <c r="D546" s="36">
        <v>10</v>
      </c>
      <c r="E546" s="17">
        <v>44.15</v>
      </c>
      <c r="F546" s="17">
        <f>D546*E546</f>
        <v>441.5</v>
      </c>
      <c r="G546" s="17">
        <v>0.12</v>
      </c>
      <c r="H546" s="17">
        <v>0.02</v>
      </c>
      <c r="I546" s="17"/>
      <c r="J546" s="17"/>
      <c r="K546" s="17">
        <f>SUM(F546:J546)</f>
        <v>441.64</v>
      </c>
      <c r="L546" s="17"/>
      <c r="M546" s="17"/>
      <c r="N546" s="17"/>
      <c r="O546" s="17"/>
      <c r="P546" s="17"/>
      <c r="Q546" s="17">
        <f t="shared" si="152"/>
        <v>787.1</v>
      </c>
      <c r="R546" s="2"/>
      <c r="Y546" s="82"/>
      <c r="Z546" t="s">
        <v>257</v>
      </c>
      <c r="AA546" s="8">
        <v>-3.86</v>
      </c>
      <c r="AC546" t="s">
        <v>258</v>
      </c>
      <c r="AD546" s="8">
        <v>21.18</v>
      </c>
    </row>
    <row r="547" spans="1:32" x14ac:dyDescent="0.25">
      <c r="A547" s="26">
        <v>43454</v>
      </c>
      <c r="B547" s="17"/>
      <c r="C547" s="7" t="s">
        <v>184</v>
      </c>
      <c r="D547" s="36">
        <v>10</v>
      </c>
      <c r="E547" s="17">
        <v>69.7</v>
      </c>
      <c r="F547" s="17">
        <f>D547*E547</f>
        <v>697</v>
      </c>
      <c r="G547" s="17">
        <v>0.18</v>
      </c>
      <c r="H547" s="17">
        <v>0.03</v>
      </c>
      <c r="I547" s="17"/>
      <c r="J547" s="17"/>
      <c r="K547" s="17">
        <f>SUM(F547:J547)</f>
        <v>697.20999999999992</v>
      </c>
      <c r="L547" s="17"/>
      <c r="M547" s="17"/>
      <c r="N547" s="17"/>
      <c r="O547" s="17"/>
      <c r="P547" s="17"/>
      <c r="Q547" s="17">
        <f t="shared" si="152"/>
        <v>89.8900000000001</v>
      </c>
      <c r="R547" s="2"/>
      <c r="S547" s="20"/>
      <c r="Y547" s="52"/>
      <c r="Z547" t="s">
        <v>257</v>
      </c>
      <c r="AA547" s="8">
        <v>-1.1599999999999999</v>
      </c>
      <c r="AC547" t="s">
        <v>258</v>
      </c>
      <c r="AD547" s="8">
        <v>27.44</v>
      </c>
    </row>
    <row r="548" spans="1:32" x14ac:dyDescent="0.25">
      <c r="A548" s="26">
        <v>43462</v>
      </c>
      <c r="B548" s="17"/>
      <c r="C548" s="7" t="s">
        <v>170</v>
      </c>
      <c r="D548" s="36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>
        <v>212.11</v>
      </c>
      <c r="Q548" s="17">
        <f t="shared" si="152"/>
        <v>302.00000000000011</v>
      </c>
      <c r="R548" s="2"/>
      <c r="S548" s="20"/>
      <c r="Z548" t="s">
        <v>257</v>
      </c>
      <c r="AA548" s="8">
        <v>-3.89</v>
      </c>
      <c r="AC548" t="s">
        <v>258</v>
      </c>
      <c r="AD548" s="8">
        <v>26.47</v>
      </c>
    </row>
    <row r="549" spans="1:32" x14ac:dyDescent="0.25">
      <c r="A549" s="26">
        <v>43462</v>
      </c>
      <c r="B549" s="17"/>
      <c r="C549" s="7" t="s">
        <v>180</v>
      </c>
      <c r="D549" s="36"/>
      <c r="E549" s="17"/>
      <c r="F549" s="17"/>
      <c r="G549" s="17"/>
      <c r="H549" s="17"/>
      <c r="I549" s="17"/>
      <c r="J549" s="17"/>
      <c r="K549" s="17"/>
      <c r="L549" s="17"/>
      <c r="M549" s="17"/>
      <c r="N549" s="17">
        <v>25.65</v>
      </c>
      <c r="O549" s="17"/>
      <c r="P549" s="17"/>
      <c r="Q549" s="17">
        <f t="shared" si="152"/>
        <v>327.65000000000009</v>
      </c>
      <c r="R549" s="2"/>
      <c r="Y549" s="82"/>
      <c r="Z549" t="s">
        <v>257</v>
      </c>
      <c r="AA549" s="8">
        <v>-2.48</v>
      </c>
      <c r="AC549" t="s">
        <v>258</v>
      </c>
      <c r="AD549" s="8">
        <v>24.07</v>
      </c>
    </row>
    <row r="550" spans="1:32" x14ac:dyDescent="0.25">
      <c r="A550" s="26">
        <v>43462</v>
      </c>
      <c r="B550" s="17"/>
      <c r="C550" s="7" t="s">
        <v>17</v>
      </c>
      <c r="D550" s="36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>
        <v>76.430000000000007</v>
      </c>
      <c r="P550" s="17"/>
      <c r="Q550" s="17">
        <f t="shared" si="152"/>
        <v>404.0800000000001</v>
      </c>
      <c r="R550" s="2"/>
      <c r="Y550" s="82"/>
      <c r="Z550" t="s">
        <v>257</v>
      </c>
      <c r="AA550" s="8">
        <v>-1.5</v>
      </c>
      <c r="AC550" t="s">
        <v>258</v>
      </c>
      <c r="AD550" s="8">
        <v>46.2</v>
      </c>
    </row>
    <row r="551" spans="1:32" x14ac:dyDescent="0.25">
      <c r="A551" s="26">
        <v>43462</v>
      </c>
      <c r="B551" s="17"/>
      <c r="C551" s="7" t="s">
        <v>5</v>
      </c>
      <c r="D551" s="36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>
        <v>10.68</v>
      </c>
      <c r="Q551" s="17">
        <f t="shared" si="152"/>
        <v>414.7600000000001</v>
      </c>
      <c r="R551" s="2"/>
      <c r="Y551" s="52"/>
      <c r="Z551" t="s">
        <v>257</v>
      </c>
      <c r="AA551" s="8">
        <v>-4.13</v>
      </c>
      <c r="AC551" t="s">
        <v>258</v>
      </c>
      <c r="AD551" s="8">
        <v>25.51</v>
      </c>
    </row>
    <row r="552" spans="1:32" x14ac:dyDescent="0.25">
      <c r="A552" s="26">
        <v>43467</v>
      </c>
      <c r="B552" s="17"/>
      <c r="C552" s="7" t="s">
        <v>85</v>
      </c>
      <c r="D552" s="36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>
        <v>48.48</v>
      </c>
      <c r="P552" s="17"/>
      <c r="Q552" s="17">
        <f t="shared" si="152"/>
        <v>463.24000000000012</v>
      </c>
      <c r="R552" s="2"/>
      <c r="AD552" s="8"/>
    </row>
    <row r="553" spans="1:32" x14ac:dyDescent="0.25">
      <c r="A553" s="26">
        <v>43467</v>
      </c>
      <c r="B553" s="17">
        <v>1000</v>
      </c>
      <c r="D553" s="36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>
        <f t="shared" si="152"/>
        <v>1463.2400000000002</v>
      </c>
      <c r="R553" s="2"/>
      <c r="Y553" s="82"/>
      <c r="AA553" s="8"/>
      <c r="AD553" s="8"/>
    </row>
    <row r="554" spans="1:32" x14ac:dyDescent="0.25">
      <c r="A554" s="26">
        <v>43467</v>
      </c>
      <c r="B554" s="17"/>
      <c r="C554" s="7" t="s">
        <v>226</v>
      </c>
      <c r="D554" s="36"/>
      <c r="E554" s="17"/>
      <c r="F554" s="17"/>
      <c r="G554" s="17"/>
      <c r="H554" s="17"/>
      <c r="I554" s="17"/>
      <c r="J554" s="17"/>
      <c r="K554" s="17"/>
      <c r="L554" s="17">
        <f>19.37+30.16</f>
        <v>49.53</v>
      </c>
      <c r="M554" s="17"/>
      <c r="N554" s="17">
        <v>305.63</v>
      </c>
      <c r="O554" s="17"/>
      <c r="P554" s="17"/>
      <c r="Q554" s="17">
        <f>Q553+B554-K554-L554-M554+N554+O554+P554</f>
        <v>1719.3400000000001</v>
      </c>
      <c r="R554" s="2" t="s">
        <v>261</v>
      </c>
      <c r="S554" t="s">
        <v>262</v>
      </c>
      <c r="U554" t="s">
        <v>263</v>
      </c>
      <c r="Y554" s="82"/>
      <c r="Z554" t="s">
        <v>259</v>
      </c>
      <c r="AA554" s="8">
        <v>-19.37</v>
      </c>
      <c r="AD554" s="8"/>
    </row>
    <row r="555" spans="1:32" x14ac:dyDescent="0.25">
      <c r="A555" s="26">
        <v>43467</v>
      </c>
      <c r="B555" s="17"/>
      <c r="C555" s="7" t="s">
        <v>180</v>
      </c>
      <c r="D555" s="36">
        <v>10</v>
      </c>
      <c r="E555" s="17">
        <v>43.5</v>
      </c>
      <c r="F555" s="17">
        <f>D555*E555</f>
        <v>435</v>
      </c>
      <c r="G555" s="17">
        <v>0.11</v>
      </c>
      <c r="H555" s="17">
        <v>0.01</v>
      </c>
      <c r="I555" s="17"/>
      <c r="J555" s="17">
        <v>0</v>
      </c>
      <c r="K555" s="17">
        <f>SUM(F555:J555)</f>
        <v>435.12</v>
      </c>
      <c r="L555" s="17"/>
      <c r="M555" s="17"/>
      <c r="N555" s="17"/>
      <c r="O555" s="17"/>
      <c r="P555" s="17"/>
      <c r="Q555" s="17">
        <f t="shared" si="152"/>
        <v>1284.2200000000003</v>
      </c>
      <c r="R555" s="2"/>
      <c r="Y555" s="52"/>
      <c r="AA555" s="8"/>
    </row>
    <row r="556" spans="1:32" x14ac:dyDescent="0.25">
      <c r="A556" s="26">
        <v>43468</v>
      </c>
      <c r="B556" s="17"/>
      <c r="C556" s="7" t="s">
        <v>222</v>
      </c>
      <c r="D556" s="36">
        <v>5</v>
      </c>
      <c r="E556" s="17">
        <v>90.75</v>
      </c>
      <c r="F556" s="17">
        <f>D556*E556</f>
        <v>453.75</v>
      </c>
      <c r="G556" s="17">
        <v>0.12</v>
      </c>
      <c r="H556" s="17">
        <v>0.02</v>
      </c>
      <c r="I556" s="17"/>
      <c r="J556" s="17">
        <v>0</v>
      </c>
      <c r="K556" s="17">
        <f>SUM(F556:J556)</f>
        <v>453.89</v>
      </c>
      <c r="L556" s="17"/>
      <c r="M556" s="17"/>
      <c r="N556" s="17"/>
      <c r="O556" s="17"/>
      <c r="P556" s="17"/>
      <c r="Q556" s="17">
        <f t="shared" si="152"/>
        <v>830.33000000000027</v>
      </c>
      <c r="R556" s="2"/>
      <c r="AA556" s="8"/>
    </row>
    <row r="557" spans="1:32" x14ac:dyDescent="0.25">
      <c r="A557" s="26">
        <v>43472</v>
      </c>
      <c r="B557" s="17">
        <v>2000</v>
      </c>
      <c r="D557" s="36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>
        <f t="shared" si="152"/>
        <v>2830.3300000000004</v>
      </c>
      <c r="R557" s="2"/>
      <c r="S557" s="20"/>
      <c r="Y557" s="82"/>
      <c r="AA557" s="8">
        <f>SUM(AA540:AA554)</f>
        <v>-49.53</v>
      </c>
      <c r="AD557" s="8">
        <f>SUM(AD540:AD554)</f>
        <v>305.63</v>
      </c>
    </row>
    <row r="558" spans="1:32" x14ac:dyDescent="0.25">
      <c r="A558" s="26">
        <v>43473</v>
      </c>
      <c r="B558" s="17"/>
      <c r="C558" s="7" t="s">
        <v>222</v>
      </c>
      <c r="D558" s="36"/>
      <c r="E558" s="17"/>
      <c r="F558" s="17"/>
      <c r="G558" s="17"/>
      <c r="H558" s="17"/>
      <c r="I558" s="17"/>
      <c r="J558" s="17"/>
      <c r="K558" s="17"/>
      <c r="L558" s="17"/>
      <c r="M558" s="17"/>
      <c r="N558" s="17">
        <v>13.8</v>
      </c>
      <c r="O558" s="17"/>
      <c r="P558" s="17"/>
      <c r="Q558" s="17">
        <f t="shared" si="152"/>
        <v>2844.1300000000006</v>
      </c>
      <c r="R558" s="2"/>
      <c r="S558" s="20"/>
      <c r="Y558" s="82"/>
      <c r="AA558" s="8"/>
    </row>
    <row r="559" spans="1:32" x14ac:dyDescent="0.25">
      <c r="A559" s="26">
        <v>43473</v>
      </c>
      <c r="B559" s="17"/>
      <c r="C559" s="7" t="s">
        <v>186</v>
      </c>
      <c r="D559" s="36"/>
      <c r="E559" s="17"/>
      <c r="F559" s="17"/>
      <c r="G559" s="17"/>
      <c r="H559" s="17"/>
      <c r="I559" s="17"/>
      <c r="J559" s="17"/>
      <c r="K559" s="17"/>
      <c r="L559" s="17"/>
      <c r="M559" s="17"/>
      <c r="N559" s="17">
        <v>45.75</v>
      </c>
      <c r="O559" s="17"/>
      <c r="P559" s="17"/>
      <c r="Q559" s="17">
        <f t="shared" si="152"/>
        <v>2889.8800000000006</v>
      </c>
      <c r="R559" s="2"/>
      <c r="Y559" s="52"/>
      <c r="AA559" s="8"/>
      <c r="AC559" t="s">
        <v>260</v>
      </c>
      <c r="AD559" s="8">
        <f>AD557+AA557</f>
        <v>256.10000000000002</v>
      </c>
    </row>
    <row r="560" spans="1:32" x14ac:dyDescent="0.25">
      <c r="A560" s="26">
        <v>43474</v>
      </c>
      <c r="B560" s="17"/>
      <c r="C560" s="7" t="s">
        <v>234</v>
      </c>
      <c r="D560" s="36"/>
      <c r="E560" s="17"/>
      <c r="F560" s="17"/>
      <c r="G560" s="17"/>
      <c r="H560" s="17"/>
      <c r="I560" s="17"/>
      <c r="J560" s="17"/>
      <c r="K560" s="17"/>
      <c r="L560" s="17"/>
      <c r="M560" s="17"/>
      <c r="N560" s="17">
        <v>20.52</v>
      </c>
      <c r="O560" s="17"/>
      <c r="P560" s="17"/>
      <c r="Q560" s="17">
        <f t="shared" si="152"/>
        <v>2910.4000000000005</v>
      </c>
      <c r="R560" s="2"/>
      <c r="AF560" s="73"/>
    </row>
    <row r="561" spans="1:19" x14ac:dyDescent="0.25">
      <c r="A561" s="26">
        <v>43474</v>
      </c>
      <c r="B561" s="17"/>
      <c r="C561" s="7" t="s">
        <v>219</v>
      </c>
      <c r="D561" s="36">
        <v>100</v>
      </c>
      <c r="E561" s="17">
        <v>7.3</v>
      </c>
      <c r="F561" s="17">
        <f>D561*E561</f>
        <v>730</v>
      </c>
      <c r="G561" s="17">
        <v>0.25</v>
      </c>
      <c r="H561" s="17">
        <v>0.04</v>
      </c>
      <c r="I561" s="17"/>
      <c r="J561" s="17">
        <v>2.4900000000000002</v>
      </c>
      <c r="K561" s="17">
        <f>SUM(F561:J561)</f>
        <v>732.78</v>
      </c>
      <c r="L561" s="17"/>
      <c r="M561" s="17"/>
      <c r="N561" s="17"/>
      <c r="O561" s="17"/>
      <c r="P561" s="17"/>
      <c r="Q561" s="17">
        <f t="shared" si="152"/>
        <v>2177.6200000000008</v>
      </c>
      <c r="R561" s="2"/>
      <c r="S561" s="20"/>
    </row>
    <row r="562" spans="1:19" x14ac:dyDescent="0.25">
      <c r="A562" s="26">
        <v>43474</v>
      </c>
      <c r="B562" s="17"/>
      <c r="C562" s="7" t="s">
        <v>249</v>
      </c>
      <c r="D562" s="36">
        <v>500</v>
      </c>
      <c r="E562" s="17">
        <v>1.38</v>
      </c>
      <c r="F562" s="17">
        <f>D562*E562</f>
        <v>690</v>
      </c>
      <c r="G562" s="17">
        <v>0.25</v>
      </c>
      <c r="H562" s="17">
        <v>0.04</v>
      </c>
      <c r="I562" s="17"/>
      <c r="J562" s="17">
        <v>2.4900000000000002</v>
      </c>
      <c r="K562" s="17">
        <f>SUM(F562:J562)</f>
        <v>692.78</v>
      </c>
      <c r="L562" s="17"/>
      <c r="M562" s="17"/>
      <c r="N562" s="17"/>
      <c r="O562" s="17"/>
      <c r="P562" s="17"/>
      <c r="Q562" s="17">
        <f t="shared" si="152"/>
        <v>1484.8400000000008</v>
      </c>
      <c r="R562" s="2"/>
      <c r="S562" s="20"/>
    </row>
    <row r="563" spans="1:19" x14ac:dyDescent="0.25">
      <c r="A563" s="26">
        <v>43474</v>
      </c>
      <c r="B563" s="17"/>
      <c r="C563" s="7" t="s">
        <v>173</v>
      </c>
      <c r="D563" s="36">
        <v>10</v>
      </c>
      <c r="E563" s="17">
        <v>86.97</v>
      </c>
      <c r="F563" s="17">
        <f>D563*E563</f>
        <v>869.7</v>
      </c>
      <c r="G563" s="17">
        <v>0.12</v>
      </c>
      <c r="H563" s="17">
        <v>0.02</v>
      </c>
      <c r="I563" s="17"/>
      <c r="J563" s="17">
        <v>0</v>
      </c>
      <c r="K563" s="17">
        <f>SUM(F563:J563)</f>
        <v>869.84</v>
      </c>
      <c r="L563" s="17"/>
      <c r="M563" s="17"/>
      <c r="N563" s="17"/>
      <c r="O563" s="17"/>
      <c r="P563" s="17"/>
      <c r="Q563" s="17">
        <f t="shared" si="152"/>
        <v>615.0000000000008</v>
      </c>
      <c r="R563" s="2"/>
      <c r="S563" s="20"/>
    </row>
    <row r="564" spans="1:19" x14ac:dyDescent="0.25">
      <c r="A564" s="26">
        <v>43479</v>
      </c>
      <c r="B564" s="17"/>
      <c r="C564" s="7" t="s">
        <v>17</v>
      </c>
      <c r="D564" s="36">
        <v>-1000</v>
      </c>
      <c r="E564" s="17">
        <v>16.2</v>
      </c>
      <c r="F564" s="17">
        <f>D564*E564</f>
        <v>-16200</v>
      </c>
      <c r="G564" s="17">
        <v>4.51</v>
      </c>
      <c r="H564" s="17">
        <v>0.7</v>
      </c>
      <c r="I564" s="17"/>
      <c r="J564" s="17">
        <v>2.4900000000000002</v>
      </c>
      <c r="K564" s="17">
        <f>SUM(F564:J564)</f>
        <v>-16192.3</v>
      </c>
      <c r="L564" s="17"/>
      <c r="M564" s="17"/>
      <c r="N564" s="17"/>
      <c r="O564" s="17"/>
      <c r="P564" s="17"/>
      <c r="Q564" s="17">
        <f t="shared" si="152"/>
        <v>16807.3</v>
      </c>
      <c r="R564" s="2"/>
      <c r="S564" s="20"/>
    </row>
    <row r="565" spans="1:19" x14ac:dyDescent="0.25">
      <c r="A565" s="26">
        <v>43479</v>
      </c>
      <c r="B565" s="17"/>
      <c r="C565" s="7" t="s">
        <v>184</v>
      </c>
      <c r="D565" s="36">
        <v>9</v>
      </c>
      <c r="E565" s="17">
        <v>64</v>
      </c>
      <c r="F565" s="17">
        <f>D565*E565</f>
        <v>576</v>
      </c>
      <c r="G565" s="17">
        <v>0.1</v>
      </c>
      <c r="H565" s="17">
        <v>0.05</v>
      </c>
      <c r="I565" s="17"/>
      <c r="J565" s="17">
        <v>0</v>
      </c>
      <c r="K565" s="17">
        <f>SUM(F565:J565)</f>
        <v>576.15</v>
      </c>
      <c r="L565" s="17"/>
      <c r="M565" s="17"/>
      <c r="N565" s="17"/>
      <c r="O565" s="17"/>
      <c r="P565" s="17"/>
      <c r="Q565" s="17">
        <f t="shared" si="152"/>
        <v>16231.15</v>
      </c>
      <c r="R565" s="2"/>
      <c r="S565" s="20"/>
    </row>
    <row r="566" spans="1:19" x14ac:dyDescent="0.25">
      <c r="A566" s="26">
        <v>43480</v>
      </c>
      <c r="B566" s="17"/>
      <c r="C566" s="7" t="s">
        <v>217</v>
      </c>
      <c r="D566" s="36"/>
      <c r="E566" s="17"/>
      <c r="F566" s="17"/>
      <c r="G566" s="17"/>
      <c r="H566" s="17"/>
      <c r="I566" s="17"/>
      <c r="J566" s="17"/>
      <c r="K566" s="17"/>
      <c r="L566" s="17"/>
      <c r="M566" s="17"/>
      <c r="N566" s="17">
        <v>35.64</v>
      </c>
      <c r="O566" s="17"/>
      <c r="P566" s="17"/>
      <c r="Q566" s="17">
        <f t="shared" ref="Q566:Q573" si="153">Q565+B566-K566-L566-M566+N566+O566+P566</f>
        <v>16266.789999999999</v>
      </c>
      <c r="R566" s="2"/>
    </row>
    <row r="567" spans="1:19" x14ac:dyDescent="0.25">
      <c r="A567" s="26">
        <v>43480</v>
      </c>
      <c r="B567" s="17"/>
      <c r="C567" s="7" t="s">
        <v>169</v>
      </c>
      <c r="D567" s="36"/>
      <c r="E567" s="17"/>
      <c r="F567" s="17"/>
      <c r="G567" s="17"/>
      <c r="H567" s="17"/>
      <c r="I567" s="17"/>
      <c r="J567" s="17"/>
      <c r="K567" s="17"/>
      <c r="L567" s="17"/>
      <c r="M567" s="17"/>
      <c r="N567" s="17">
        <v>57.39</v>
      </c>
      <c r="O567" s="17"/>
      <c r="P567" s="17"/>
      <c r="Q567" s="17">
        <f t="shared" si="153"/>
        <v>16324.179999999998</v>
      </c>
      <c r="R567" s="2"/>
      <c r="S567" s="20"/>
    </row>
    <row r="568" spans="1:19" x14ac:dyDescent="0.25">
      <c r="A568" s="26">
        <v>43480</v>
      </c>
      <c r="B568" s="17"/>
      <c r="C568" s="7" t="s">
        <v>266</v>
      </c>
      <c r="D568" s="36"/>
      <c r="E568" s="17"/>
      <c r="F568" s="17"/>
      <c r="G568" s="17"/>
      <c r="H568" s="17"/>
      <c r="I568" s="17"/>
      <c r="J568" s="17"/>
      <c r="K568" s="17"/>
      <c r="L568" s="17"/>
      <c r="M568" s="17"/>
      <c r="N568" s="17">
        <v>1.43</v>
      </c>
      <c r="O568" s="17"/>
      <c r="P568" s="17"/>
      <c r="Q568" s="17">
        <f t="shared" si="153"/>
        <v>16325.609999999999</v>
      </c>
      <c r="R568" s="2"/>
    </row>
    <row r="569" spans="1:19" x14ac:dyDescent="0.25">
      <c r="A569" s="26">
        <v>43480</v>
      </c>
      <c r="B569" s="17"/>
      <c r="C569" s="7" t="s">
        <v>181</v>
      </c>
      <c r="D569" s="36"/>
      <c r="E569" s="17"/>
      <c r="F569" s="17"/>
      <c r="G569" s="17"/>
      <c r="H569" s="17"/>
      <c r="I569" s="17"/>
      <c r="J569" s="17"/>
      <c r="K569" s="17"/>
      <c r="L569" s="17"/>
      <c r="M569" s="17"/>
      <c r="N569" s="17">
        <v>44.8</v>
      </c>
      <c r="O569" s="17"/>
      <c r="P569" s="17"/>
      <c r="Q569" s="17">
        <f t="shared" si="153"/>
        <v>16370.409999999998</v>
      </c>
      <c r="R569" s="2"/>
    </row>
    <row r="570" spans="1:19" x14ac:dyDescent="0.25">
      <c r="A570" s="26">
        <v>43480</v>
      </c>
      <c r="B570" s="17"/>
      <c r="C570" s="7" t="s">
        <v>183</v>
      </c>
      <c r="D570" s="36"/>
      <c r="E570" s="17"/>
      <c r="F570" s="17"/>
      <c r="G570" s="17"/>
      <c r="H570" s="17"/>
      <c r="I570" s="17"/>
      <c r="J570" s="17"/>
      <c r="K570" s="17"/>
      <c r="L570" s="17"/>
      <c r="M570" s="17"/>
      <c r="N570" s="17">
        <v>6.39</v>
      </c>
      <c r="O570" s="17"/>
      <c r="P570" s="17"/>
      <c r="Q570" s="17">
        <f t="shared" si="153"/>
        <v>16376.799999999997</v>
      </c>
      <c r="R570" s="2"/>
    </row>
    <row r="571" spans="1:19" x14ac:dyDescent="0.25">
      <c r="A571" s="26">
        <v>43480</v>
      </c>
      <c r="B571" s="17"/>
      <c r="C571" s="7" t="s">
        <v>221</v>
      </c>
      <c r="D571" s="36"/>
      <c r="E571" s="17"/>
      <c r="F571" s="17"/>
      <c r="G571" s="17"/>
      <c r="H571" s="17"/>
      <c r="I571" s="17"/>
      <c r="J571" s="17"/>
      <c r="K571" s="17"/>
      <c r="L571" s="17"/>
      <c r="M571" s="17"/>
      <c r="N571" s="17">
        <v>18</v>
      </c>
      <c r="O571" s="17"/>
      <c r="P571" s="17"/>
      <c r="Q571" s="17">
        <f t="shared" si="153"/>
        <v>16394.799999999996</v>
      </c>
      <c r="R571" s="2"/>
    </row>
    <row r="572" spans="1:19" x14ac:dyDescent="0.25">
      <c r="A572" s="26">
        <v>43480</v>
      </c>
      <c r="B572" s="17"/>
      <c r="C572" s="7" t="s">
        <v>184</v>
      </c>
      <c r="D572" s="36"/>
      <c r="E572" s="17"/>
      <c r="F572" s="17"/>
      <c r="G572" s="17"/>
      <c r="H572" s="17"/>
      <c r="I572" s="17"/>
      <c r="J572" s="17"/>
      <c r="K572" s="17"/>
      <c r="L572" s="17"/>
      <c r="M572" s="17"/>
      <c r="N572" s="17">
        <v>87.49</v>
      </c>
      <c r="O572" s="17"/>
      <c r="P572" s="17"/>
      <c r="Q572" s="17">
        <f t="shared" si="153"/>
        <v>16482.289999999997</v>
      </c>
      <c r="R572" s="2"/>
    </row>
    <row r="573" spans="1:19" x14ac:dyDescent="0.25">
      <c r="A573" s="26">
        <v>43480</v>
      </c>
      <c r="B573" s="17"/>
      <c r="C573" s="7" t="s">
        <v>173</v>
      </c>
      <c r="D573" s="36"/>
      <c r="E573" s="17"/>
      <c r="F573" s="17"/>
      <c r="G573" s="17"/>
      <c r="H573" s="17"/>
      <c r="I573" s="17"/>
      <c r="J573" s="17"/>
      <c r="K573" s="17"/>
      <c r="L573" s="17"/>
      <c r="M573" s="17"/>
      <c r="N573" s="17">
        <v>301.60000000000002</v>
      </c>
      <c r="O573" s="17"/>
      <c r="P573" s="17"/>
      <c r="Q573" s="17">
        <f t="shared" si="153"/>
        <v>16783.889999999996</v>
      </c>
      <c r="R573" s="2"/>
    </row>
    <row r="574" spans="1:19" x14ac:dyDescent="0.25">
      <c r="A574" s="26">
        <v>43480</v>
      </c>
      <c r="B574" s="17"/>
      <c r="C574" s="7" t="s">
        <v>96</v>
      </c>
      <c r="D574" s="36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>
        <v>105.32</v>
      </c>
      <c r="Q574" s="17">
        <f t="shared" si="152"/>
        <v>16889.209999999995</v>
      </c>
      <c r="R574" s="2"/>
      <c r="S574" s="20"/>
    </row>
    <row r="575" spans="1:19" x14ac:dyDescent="0.25">
      <c r="A575" s="26">
        <v>43480</v>
      </c>
      <c r="B575" s="17"/>
      <c r="C575" s="7" t="s">
        <v>184</v>
      </c>
      <c r="D575" s="36">
        <v>6</v>
      </c>
      <c r="E575" s="17">
        <v>61.4</v>
      </c>
      <c r="F575" s="17">
        <f>D575*E575</f>
        <v>368.4</v>
      </c>
      <c r="G575" s="17">
        <v>0.1</v>
      </c>
      <c r="H575" s="17">
        <v>0.01</v>
      </c>
      <c r="I575" s="17"/>
      <c r="J575" s="17">
        <v>0</v>
      </c>
      <c r="K575" s="17">
        <f>SUM(F575:J575)</f>
        <v>368.51</v>
      </c>
      <c r="L575" s="17"/>
      <c r="M575" s="17"/>
      <c r="N575" s="17"/>
      <c r="O575" s="17"/>
      <c r="P575" s="17"/>
      <c r="Q575" s="17">
        <f t="shared" si="152"/>
        <v>16520.699999999997</v>
      </c>
      <c r="R575" s="2"/>
    </row>
    <row r="576" spans="1:19" x14ac:dyDescent="0.25">
      <c r="A576" s="26">
        <v>43480</v>
      </c>
      <c r="B576" s="17"/>
      <c r="C576" s="7" t="s">
        <v>222</v>
      </c>
      <c r="D576" s="36">
        <v>3</v>
      </c>
      <c r="E576" s="17">
        <v>92.05</v>
      </c>
      <c r="F576" s="17">
        <f>D576*E576</f>
        <v>276.14999999999998</v>
      </c>
      <c r="G576" s="17">
        <v>7.0000000000000007E-2</v>
      </c>
      <c r="H576" s="17">
        <v>0.01</v>
      </c>
      <c r="I576" s="17"/>
      <c r="J576" s="17">
        <v>0</v>
      </c>
      <c r="K576" s="17">
        <f>SUM(F576:J576)</f>
        <v>276.22999999999996</v>
      </c>
      <c r="L576" s="17"/>
      <c r="M576" s="17"/>
      <c r="N576" s="17"/>
      <c r="O576" s="17"/>
      <c r="P576" s="17"/>
      <c r="Q576" s="17">
        <f t="shared" si="152"/>
        <v>16244.469999999998</v>
      </c>
      <c r="R576" s="2"/>
      <c r="S576" s="20"/>
    </row>
    <row r="577" spans="1:20" x14ac:dyDescent="0.25">
      <c r="A577" s="26">
        <v>43481</v>
      </c>
      <c r="B577" s="17">
        <v>1000</v>
      </c>
      <c r="D577" s="36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>
        <f>Q576+B577-K577-L577-M577+N577+O577+P577</f>
        <v>17244.469999999998</v>
      </c>
      <c r="R577" s="2"/>
      <c r="S577" s="20"/>
    </row>
    <row r="578" spans="1:20" x14ac:dyDescent="0.25">
      <c r="A578" s="26">
        <v>43482</v>
      </c>
      <c r="B578" s="17"/>
      <c r="C578" s="7" t="s">
        <v>220</v>
      </c>
      <c r="D578" s="36"/>
      <c r="E578" s="17"/>
      <c r="F578" s="17"/>
      <c r="G578" s="17"/>
      <c r="H578" s="17"/>
      <c r="I578" s="17"/>
      <c r="J578" s="17"/>
      <c r="K578" s="17"/>
      <c r="L578" s="17"/>
      <c r="M578" s="17"/>
      <c r="N578" s="17">
        <v>14.07</v>
      </c>
      <c r="O578" s="17"/>
      <c r="P578" s="17"/>
      <c r="Q578" s="17">
        <f t="shared" si="152"/>
        <v>17258.539999999997</v>
      </c>
      <c r="R578" s="2"/>
      <c r="T578" s="20"/>
    </row>
    <row r="579" spans="1:20" x14ac:dyDescent="0.25">
      <c r="A579" s="26">
        <v>43482</v>
      </c>
      <c r="B579" s="17"/>
      <c r="C579" s="7" t="s">
        <v>217</v>
      </c>
      <c r="D579" s="36">
        <v>5</v>
      </c>
      <c r="E579" s="17">
        <v>101.96</v>
      </c>
      <c r="F579" s="17">
        <f>D579*E579</f>
        <v>509.79999999999995</v>
      </c>
      <c r="G579" s="17">
        <v>0.13</v>
      </c>
      <c r="H579" s="17">
        <v>0.03</v>
      </c>
      <c r="I579" s="17"/>
      <c r="J579" s="17">
        <v>0</v>
      </c>
      <c r="K579" s="17">
        <f>SUM(F579:J579)</f>
        <v>509.95999999999992</v>
      </c>
      <c r="L579" s="17"/>
      <c r="M579" s="17"/>
      <c r="N579" s="17"/>
      <c r="O579" s="17"/>
      <c r="P579" s="17"/>
      <c r="Q579" s="17">
        <f t="shared" si="152"/>
        <v>16748.579999999998</v>
      </c>
      <c r="R579" s="2"/>
      <c r="S579" s="20"/>
    </row>
    <row r="580" spans="1:20" x14ac:dyDescent="0.25">
      <c r="A580" s="26">
        <v>43482</v>
      </c>
      <c r="B580" s="17"/>
      <c r="C580" s="7" t="s">
        <v>169</v>
      </c>
      <c r="D580" s="36">
        <v>10</v>
      </c>
      <c r="E580" s="17">
        <v>108.44</v>
      </c>
      <c r="F580" s="17">
        <f>D580*E580</f>
        <v>1084.4000000000001</v>
      </c>
      <c r="G580" s="17">
        <v>0.3</v>
      </c>
      <c r="H580" s="17">
        <v>0.04</v>
      </c>
      <c r="I580" s="17"/>
      <c r="J580" s="17">
        <v>0</v>
      </c>
      <c r="K580" s="17">
        <f>SUM(F580:J580)</f>
        <v>1084.74</v>
      </c>
      <c r="L580" s="17"/>
      <c r="M580" s="17"/>
      <c r="N580" s="17"/>
      <c r="O580" s="17"/>
      <c r="P580" s="17"/>
      <c r="Q580" s="17">
        <f t="shared" si="152"/>
        <v>15663.839999999998</v>
      </c>
      <c r="R580" s="2"/>
    </row>
    <row r="581" spans="1:20" x14ac:dyDescent="0.25">
      <c r="A581" s="26">
        <v>43483</v>
      </c>
      <c r="B581" s="17"/>
      <c r="C581" s="7" t="s">
        <v>179</v>
      </c>
      <c r="D581" s="36">
        <v>10</v>
      </c>
      <c r="E581" s="17">
        <v>43.65</v>
      </c>
      <c r="F581" s="17">
        <f>D581*E581</f>
        <v>436.5</v>
      </c>
      <c r="G581" s="17">
        <v>0.12</v>
      </c>
      <c r="H581" s="17">
        <v>0.01</v>
      </c>
      <c r="I581" s="17"/>
      <c r="J581" s="17">
        <v>0</v>
      </c>
      <c r="K581" s="17">
        <f>SUM(F581:J581)</f>
        <v>436.63</v>
      </c>
      <c r="L581" s="17"/>
      <c r="M581" s="17"/>
      <c r="N581" s="17"/>
      <c r="O581" s="17"/>
      <c r="P581" s="17"/>
      <c r="Q581" s="17">
        <f t="shared" si="152"/>
        <v>15227.21</v>
      </c>
      <c r="R581" s="2"/>
    </row>
    <row r="582" spans="1:20" x14ac:dyDescent="0.25">
      <c r="A582" s="26">
        <v>43486</v>
      </c>
      <c r="B582" s="17"/>
      <c r="C582" s="7" t="s">
        <v>223</v>
      </c>
      <c r="D582" s="36"/>
      <c r="E582" s="17"/>
      <c r="F582" s="17"/>
      <c r="G582" s="17"/>
      <c r="H582" s="17"/>
      <c r="I582" s="17"/>
      <c r="J582" s="17"/>
      <c r="K582" s="17">
        <v>466.86</v>
      </c>
      <c r="L582" s="17"/>
      <c r="M582" s="17"/>
      <c r="N582" s="17"/>
      <c r="O582" s="17"/>
      <c r="P582" s="17"/>
      <c r="Q582" s="17">
        <f t="shared" si="152"/>
        <v>14760.349999999999</v>
      </c>
      <c r="R582" s="2"/>
    </row>
    <row r="583" spans="1:20" x14ac:dyDescent="0.25">
      <c r="A583" s="26">
        <v>43486</v>
      </c>
      <c r="B583" s="17"/>
      <c r="C583" s="7" t="s">
        <v>240</v>
      </c>
      <c r="D583" s="36"/>
      <c r="E583" s="17"/>
      <c r="F583" s="17"/>
      <c r="G583" s="17"/>
      <c r="H583" s="17"/>
      <c r="I583" s="17"/>
      <c r="J583" s="17"/>
      <c r="K583" s="17">
        <v>597.20000000000005</v>
      </c>
      <c r="L583" s="17"/>
      <c r="M583" s="17"/>
      <c r="N583" s="17"/>
      <c r="O583" s="17"/>
      <c r="P583" s="17"/>
      <c r="Q583" s="17">
        <f t="shared" si="152"/>
        <v>14163.149999999998</v>
      </c>
      <c r="R583" s="2"/>
    </row>
    <row r="584" spans="1:20" x14ac:dyDescent="0.25">
      <c r="A584" s="26">
        <v>43486</v>
      </c>
      <c r="B584" s="17"/>
      <c r="C584" s="7" t="s">
        <v>169</v>
      </c>
      <c r="D584" s="36">
        <v>5</v>
      </c>
      <c r="E584" s="17">
        <v>108.12</v>
      </c>
      <c r="F584" s="17">
        <f>D584*E584</f>
        <v>540.6</v>
      </c>
      <c r="G584" s="17">
        <v>0.14000000000000001</v>
      </c>
      <c r="H584" s="17">
        <v>0.02</v>
      </c>
      <c r="I584" s="17"/>
      <c r="J584" s="17">
        <v>0</v>
      </c>
      <c r="K584" s="17">
        <f>SUM(F584:J584)</f>
        <v>540.76</v>
      </c>
      <c r="L584" s="17"/>
      <c r="M584" s="17"/>
      <c r="N584" s="17"/>
      <c r="O584" s="17"/>
      <c r="P584" s="17"/>
      <c r="Q584" s="17">
        <f t="shared" si="152"/>
        <v>13622.389999999998</v>
      </c>
      <c r="R584" s="2"/>
    </row>
    <row r="585" spans="1:20" x14ac:dyDescent="0.25">
      <c r="A585" s="26">
        <v>43487</v>
      </c>
      <c r="B585" s="17"/>
      <c r="C585" s="7" t="s">
        <v>267</v>
      </c>
      <c r="D585" s="36">
        <v>10</v>
      </c>
      <c r="E585" s="17">
        <v>106.1</v>
      </c>
      <c r="F585" s="17">
        <f>D585*E585</f>
        <v>1061</v>
      </c>
      <c r="G585" s="17">
        <v>0.28999999999999998</v>
      </c>
      <c r="H585" s="17">
        <v>0.04</v>
      </c>
      <c r="I585" s="17"/>
      <c r="J585" s="17">
        <v>0</v>
      </c>
      <c r="K585" s="17">
        <f>SUM(F585:J585)</f>
        <v>1061.33</v>
      </c>
      <c r="L585" s="17"/>
      <c r="M585" s="17"/>
      <c r="N585" s="17"/>
      <c r="O585" s="17"/>
      <c r="P585" s="17"/>
      <c r="Q585" s="17">
        <f t="shared" si="152"/>
        <v>12561.059999999998</v>
      </c>
      <c r="R585" s="2"/>
    </row>
    <row r="586" spans="1:20" x14ac:dyDescent="0.25">
      <c r="A586" s="26">
        <v>43489</v>
      </c>
      <c r="B586" s="17"/>
      <c r="C586" s="7" t="s">
        <v>217</v>
      </c>
      <c r="D586" s="36">
        <v>10</v>
      </c>
      <c r="E586" s="17">
        <v>101.75</v>
      </c>
      <c r="F586" s="17">
        <f>D586*E586</f>
        <v>1017.5</v>
      </c>
      <c r="G586" s="17">
        <v>0.27</v>
      </c>
      <c r="H586" s="17">
        <v>0.04</v>
      </c>
      <c r="I586" s="17"/>
      <c r="J586" s="17">
        <v>0</v>
      </c>
      <c r="K586" s="17">
        <f>SUM(F586:J586)</f>
        <v>1017.81</v>
      </c>
      <c r="L586" s="17"/>
      <c r="M586" s="17"/>
      <c r="N586" s="17"/>
      <c r="O586" s="17"/>
      <c r="P586" s="17"/>
      <c r="Q586" s="17">
        <f t="shared" si="152"/>
        <v>11543.249999999998</v>
      </c>
      <c r="R586" s="2"/>
    </row>
    <row r="587" spans="1:20" x14ac:dyDescent="0.25">
      <c r="A587" s="26">
        <v>43489</v>
      </c>
      <c r="B587" s="17"/>
      <c r="C587" s="7" t="s">
        <v>269</v>
      </c>
      <c r="D587" s="36"/>
      <c r="E587" s="17"/>
      <c r="F587" s="17"/>
      <c r="G587" s="17"/>
      <c r="H587" s="17"/>
      <c r="I587" s="17"/>
      <c r="J587" s="17"/>
      <c r="K587" s="17">
        <v>2000</v>
      </c>
      <c r="L587" s="17"/>
      <c r="M587" s="17"/>
      <c r="N587" s="17"/>
      <c r="O587" s="17"/>
      <c r="P587" s="17"/>
      <c r="Q587" s="17">
        <f t="shared" si="152"/>
        <v>9543.2499999999982</v>
      </c>
      <c r="R587" s="2"/>
    </row>
    <row r="588" spans="1:20" x14ac:dyDescent="0.25">
      <c r="A588" s="26">
        <v>43493</v>
      </c>
      <c r="B588" s="17"/>
      <c r="C588" s="7" t="s">
        <v>267</v>
      </c>
      <c r="D588" s="36">
        <v>10</v>
      </c>
      <c r="E588" s="17">
        <v>106.5</v>
      </c>
      <c r="F588" s="17">
        <f t="shared" ref="F588:F593" si="154">D588*E588</f>
        <v>1065</v>
      </c>
      <c r="G588" s="17">
        <v>0.28999999999999998</v>
      </c>
      <c r="H588" s="17">
        <v>0</v>
      </c>
      <c r="I588" s="17"/>
      <c r="J588" s="17">
        <v>0.04</v>
      </c>
      <c r="K588" s="17">
        <f t="shared" ref="K588:K593" si="155">SUM(F588:J588)</f>
        <v>1065.33</v>
      </c>
      <c r="L588" s="17"/>
      <c r="M588" s="17"/>
      <c r="N588" s="17"/>
      <c r="O588" s="17"/>
      <c r="P588" s="17"/>
      <c r="Q588" s="17">
        <f t="shared" si="152"/>
        <v>8477.9199999999983</v>
      </c>
      <c r="R588" s="2"/>
    </row>
    <row r="589" spans="1:20" x14ac:dyDescent="0.25">
      <c r="A589" s="26">
        <v>43494</v>
      </c>
      <c r="B589" s="17"/>
      <c r="C589" s="7" t="s">
        <v>270</v>
      </c>
      <c r="D589" s="36">
        <v>10</v>
      </c>
      <c r="E589" s="17">
        <v>106.99</v>
      </c>
      <c r="F589" s="17">
        <f t="shared" si="154"/>
        <v>1069.8999999999999</v>
      </c>
      <c r="G589" s="17">
        <v>0.3</v>
      </c>
      <c r="H589" s="17">
        <v>0.05</v>
      </c>
      <c r="I589" s="17"/>
      <c r="J589" s="17">
        <v>0</v>
      </c>
      <c r="K589" s="17">
        <f t="shared" si="155"/>
        <v>1070.2499999999998</v>
      </c>
      <c r="L589" s="17"/>
      <c r="M589" s="17"/>
      <c r="N589" s="17"/>
      <c r="O589" s="17"/>
      <c r="P589" s="17"/>
      <c r="Q589" s="17">
        <f t="shared" si="152"/>
        <v>7407.6699999999983</v>
      </c>
      <c r="R589" s="2"/>
    </row>
    <row r="590" spans="1:20" x14ac:dyDescent="0.25">
      <c r="A590" s="26">
        <v>43494</v>
      </c>
      <c r="B590" s="17"/>
      <c r="C590" s="7" t="s">
        <v>220</v>
      </c>
      <c r="D590" s="36">
        <v>10</v>
      </c>
      <c r="E590" s="17">
        <v>105.05</v>
      </c>
      <c r="F590" s="17">
        <f t="shared" si="154"/>
        <v>1050.5</v>
      </c>
      <c r="G590" s="17">
        <v>0.28000000000000003</v>
      </c>
      <c r="H590" s="17">
        <v>0.04</v>
      </c>
      <c r="I590" s="17"/>
      <c r="J590" s="17">
        <v>0</v>
      </c>
      <c r="K590" s="17">
        <f t="shared" si="155"/>
        <v>1050.82</v>
      </c>
      <c r="L590" s="17"/>
      <c r="M590" s="17"/>
      <c r="N590" s="17"/>
      <c r="O590" s="17"/>
      <c r="P590" s="17"/>
      <c r="Q590" s="17">
        <f t="shared" si="152"/>
        <v>6356.8499999999985</v>
      </c>
      <c r="R590" s="2"/>
      <c r="S590" s="20"/>
    </row>
    <row r="591" spans="1:20" x14ac:dyDescent="0.25">
      <c r="A591" s="26">
        <v>43495</v>
      </c>
      <c r="B591" s="17"/>
      <c r="C591" s="7" t="s">
        <v>184</v>
      </c>
      <c r="D591" s="36">
        <v>10</v>
      </c>
      <c r="E591" s="17">
        <v>59.65</v>
      </c>
      <c r="F591" s="17">
        <f t="shared" si="154"/>
        <v>596.5</v>
      </c>
      <c r="G591" s="17">
        <v>0.16</v>
      </c>
      <c r="H591" s="17">
        <v>0.02</v>
      </c>
      <c r="I591" s="17"/>
      <c r="J591" s="17">
        <v>0</v>
      </c>
      <c r="K591" s="17">
        <f t="shared" si="155"/>
        <v>596.67999999999995</v>
      </c>
      <c r="L591" s="17"/>
      <c r="M591" s="17"/>
      <c r="N591" s="17"/>
      <c r="O591" s="17"/>
      <c r="P591" s="17"/>
      <c r="Q591" s="17">
        <f t="shared" si="152"/>
        <v>5760.1699999999983</v>
      </c>
      <c r="R591" s="2"/>
    </row>
    <row r="592" spans="1:20" x14ac:dyDescent="0.25">
      <c r="A592" s="26">
        <v>43496</v>
      </c>
      <c r="B592" s="17"/>
      <c r="C592" s="7" t="s">
        <v>218</v>
      </c>
      <c r="D592" s="36">
        <v>100</v>
      </c>
      <c r="E592" s="17">
        <v>11.78</v>
      </c>
      <c r="F592" s="17">
        <f t="shared" si="154"/>
        <v>1178</v>
      </c>
      <c r="G592" s="17">
        <v>0.3</v>
      </c>
      <c r="H592" s="17">
        <v>0.04</v>
      </c>
      <c r="I592" s="17"/>
      <c r="J592" s="17">
        <v>2.4900000000000002</v>
      </c>
      <c r="K592" s="17">
        <f t="shared" si="155"/>
        <v>1180.83</v>
      </c>
      <c r="L592" s="17"/>
      <c r="M592" s="17"/>
      <c r="N592" s="17"/>
      <c r="O592" s="17"/>
      <c r="P592" s="17"/>
      <c r="Q592" s="17">
        <f t="shared" si="152"/>
        <v>4579.3399999999983</v>
      </c>
      <c r="R592" s="2"/>
      <c r="S592" s="20"/>
    </row>
    <row r="593" spans="1:19" x14ac:dyDescent="0.25">
      <c r="A593" s="26">
        <v>43496</v>
      </c>
      <c r="B593" s="17"/>
      <c r="C593" s="7" t="s">
        <v>186</v>
      </c>
      <c r="D593" s="36">
        <v>10</v>
      </c>
      <c r="E593" s="17">
        <v>79.7</v>
      </c>
      <c r="F593" s="17">
        <f t="shared" si="154"/>
        <v>797</v>
      </c>
      <c r="G593" s="17">
        <v>0.24</v>
      </c>
      <c r="H593" s="17">
        <v>0.04</v>
      </c>
      <c r="I593" s="17"/>
      <c r="J593" s="17">
        <v>0</v>
      </c>
      <c r="K593" s="17">
        <f t="shared" si="155"/>
        <v>797.28</v>
      </c>
      <c r="L593" s="17"/>
      <c r="M593" s="17"/>
      <c r="N593" s="17"/>
      <c r="O593" s="17"/>
      <c r="P593" s="17"/>
      <c r="Q593" s="17">
        <f t="shared" si="152"/>
        <v>3782.0599999999986</v>
      </c>
      <c r="R593" s="2"/>
      <c r="S593" s="20"/>
    </row>
    <row r="594" spans="1:19" x14ac:dyDescent="0.25">
      <c r="A594" s="26">
        <v>43496</v>
      </c>
      <c r="B594" s="17"/>
      <c r="C594" s="7" t="s">
        <v>180</v>
      </c>
      <c r="D594" s="36"/>
      <c r="E594" s="17"/>
      <c r="F594" s="17"/>
      <c r="G594" s="17"/>
      <c r="H594" s="17"/>
      <c r="I594" s="17"/>
      <c r="J594" s="17"/>
      <c r="K594" s="17"/>
      <c r="L594" s="17"/>
      <c r="M594" s="17"/>
      <c r="N594" s="17">
        <v>37.81</v>
      </c>
      <c r="O594" s="17"/>
      <c r="P594" s="17"/>
      <c r="Q594" s="17">
        <f t="shared" si="152"/>
        <v>3819.8699999999985</v>
      </c>
      <c r="R594" s="2"/>
      <c r="S594" s="20"/>
    </row>
    <row r="595" spans="1:19" x14ac:dyDescent="0.25">
      <c r="A595" s="26">
        <v>43500</v>
      </c>
      <c r="B595" s="17"/>
      <c r="C595" s="7" t="s">
        <v>221</v>
      </c>
      <c r="D595" s="36">
        <v>50</v>
      </c>
      <c r="E595" s="17">
        <v>10.95</v>
      </c>
      <c r="F595" s="17">
        <f t="shared" ref="F595" si="156">D595*E595</f>
        <v>547.5</v>
      </c>
      <c r="G595" s="17">
        <v>0.15</v>
      </c>
      <c r="H595" s="17">
        <v>0.02</v>
      </c>
      <c r="I595" s="17"/>
      <c r="J595" s="17">
        <v>0</v>
      </c>
      <c r="K595" s="17">
        <f t="shared" ref="K595" si="157">SUM(F595:J595)</f>
        <v>547.66999999999996</v>
      </c>
      <c r="L595" s="17"/>
      <c r="M595" s="17"/>
      <c r="N595" s="17"/>
      <c r="O595" s="17"/>
      <c r="P595" s="17"/>
      <c r="Q595" s="17">
        <f t="shared" si="152"/>
        <v>3272.1999999999985</v>
      </c>
      <c r="R595" s="2"/>
    </row>
    <row r="596" spans="1:19" x14ac:dyDescent="0.25">
      <c r="A596" s="26">
        <v>43501</v>
      </c>
      <c r="B596" s="17"/>
      <c r="C596" s="7" t="s">
        <v>270</v>
      </c>
      <c r="D596" s="36">
        <v>10</v>
      </c>
      <c r="E596" s="17">
        <v>105.72</v>
      </c>
      <c r="F596" s="17">
        <f t="shared" ref="F596" si="158">D596*E596</f>
        <v>1057.2</v>
      </c>
      <c r="G596" s="17">
        <v>0.28999999999999998</v>
      </c>
      <c r="H596" s="17">
        <v>0.04</v>
      </c>
      <c r="I596" s="17"/>
      <c r="J596" s="17">
        <v>0</v>
      </c>
      <c r="K596" s="17">
        <f t="shared" ref="K596" si="159">SUM(F596:J596)</f>
        <v>1057.53</v>
      </c>
      <c r="L596" s="17"/>
      <c r="M596" s="17"/>
      <c r="N596" s="17"/>
      <c r="O596" s="17"/>
      <c r="P596" s="17"/>
      <c r="Q596" s="17">
        <f t="shared" si="152"/>
        <v>2214.6699999999983</v>
      </c>
      <c r="R596" s="2"/>
    </row>
    <row r="597" spans="1:19" x14ac:dyDescent="0.25">
      <c r="A597" s="26">
        <v>43503</v>
      </c>
      <c r="B597" s="17"/>
      <c r="C597" s="7" t="s">
        <v>221</v>
      </c>
      <c r="D597" s="36">
        <v>50</v>
      </c>
      <c r="E597" s="17">
        <v>10.69</v>
      </c>
      <c r="F597" s="17">
        <f t="shared" ref="F597:F598" si="160">D597*E597</f>
        <v>534.5</v>
      </c>
      <c r="G597" s="17">
        <v>0.14000000000000001</v>
      </c>
      <c r="H597" s="17">
        <v>0.02</v>
      </c>
      <c r="I597" s="17"/>
      <c r="J597" s="17">
        <v>0</v>
      </c>
      <c r="K597" s="17">
        <f t="shared" ref="K597:K598" si="161">SUM(F597:J597)</f>
        <v>534.66</v>
      </c>
      <c r="L597" s="17"/>
      <c r="M597" s="17"/>
      <c r="N597" s="17"/>
      <c r="O597" s="17"/>
      <c r="P597" s="17"/>
      <c r="Q597" s="17">
        <f t="shared" si="152"/>
        <v>1680.0099999999984</v>
      </c>
      <c r="R597" s="2"/>
      <c r="S597" s="3"/>
    </row>
    <row r="598" spans="1:19" x14ac:dyDescent="0.25">
      <c r="A598" s="26">
        <v>43503</v>
      </c>
      <c r="B598" s="17"/>
      <c r="C598" s="7" t="s">
        <v>222</v>
      </c>
      <c r="D598" s="36">
        <v>5</v>
      </c>
      <c r="E598" s="17">
        <v>96.51</v>
      </c>
      <c r="F598" s="17">
        <f t="shared" si="160"/>
        <v>482.55</v>
      </c>
      <c r="G598" s="17">
        <v>0.13</v>
      </c>
      <c r="H598" s="17">
        <v>0.02</v>
      </c>
      <c r="I598" s="17"/>
      <c r="J598" s="17">
        <v>0</v>
      </c>
      <c r="K598" s="17">
        <f t="shared" si="161"/>
        <v>482.7</v>
      </c>
      <c r="L598" s="17"/>
      <c r="M598" s="17"/>
      <c r="N598" s="17"/>
      <c r="O598" s="17"/>
      <c r="P598" s="17"/>
      <c r="Q598" s="17">
        <f t="shared" si="152"/>
        <v>1197.3099999999984</v>
      </c>
      <c r="R598" s="2"/>
      <c r="S598" s="3"/>
    </row>
    <row r="599" spans="1:19" x14ac:dyDescent="0.25">
      <c r="A599" s="26">
        <v>43503</v>
      </c>
      <c r="B599" s="17"/>
      <c r="C599" s="7" t="s">
        <v>186</v>
      </c>
      <c r="D599" s="36"/>
      <c r="E599" s="17"/>
      <c r="F599" s="17"/>
      <c r="G599" s="17"/>
      <c r="H599" s="17"/>
      <c r="I599" s="17"/>
      <c r="J599" s="17"/>
      <c r="K599" s="17"/>
      <c r="L599" s="17"/>
      <c r="M599" s="17"/>
      <c r="N599" s="17">
        <v>51.85</v>
      </c>
      <c r="O599" s="17"/>
      <c r="P599" s="17"/>
      <c r="Q599" s="17">
        <f t="shared" si="152"/>
        <v>1249.1599999999983</v>
      </c>
      <c r="R599" s="2"/>
      <c r="S599" s="3"/>
    </row>
    <row r="600" spans="1:19" x14ac:dyDescent="0.25">
      <c r="A600" s="26">
        <v>43503</v>
      </c>
      <c r="B600" s="17"/>
      <c r="C600" s="7" t="s">
        <v>222</v>
      </c>
      <c r="D600" s="36"/>
      <c r="E600" s="17"/>
      <c r="F600" s="17"/>
      <c r="G600" s="17"/>
      <c r="H600" s="17"/>
      <c r="I600" s="17"/>
      <c r="J600" s="17"/>
      <c r="K600" s="17"/>
      <c r="L600" s="17"/>
      <c r="M600" s="17"/>
      <c r="N600" s="17">
        <v>18.600000000000001</v>
      </c>
      <c r="O600" s="17"/>
      <c r="P600" s="17"/>
      <c r="Q600" s="17">
        <f t="shared" si="152"/>
        <v>1267.7599999999982</v>
      </c>
      <c r="R600" s="2"/>
      <c r="S600" s="3"/>
    </row>
    <row r="601" spans="1:19" x14ac:dyDescent="0.25">
      <c r="A601" s="26">
        <v>43504</v>
      </c>
      <c r="B601" s="17"/>
      <c r="C601" s="7" t="s">
        <v>221</v>
      </c>
      <c r="D601" s="36">
        <v>50</v>
      </c>
      <c r="E601" s="17">
        <v>10.57</v>
      </c>
      <c r="F601" s="17">
        <f t="shared" ref="F601" si="162">D601*E601</f>
        <v>528.5</v>
      </c>
      <c r="G601" s="17">
        <v>0.14000000000000001</v>
      </c>
      <c r="H601" s="17">
        <v>0.02</v>
      </c>
      <c r="I601" s="17"/>
      <c r="J601" s="17">
        <v>0</v>
      </c>
      <c r="K601" s="17">
        <f t="shared" ref="K601" si="163">SUM(F601:J601)</f>
        <v>528.66</v>
      </c>
      <c r="L601" s="17"/>
      <c r="M601" s="17"/>
      <c r="N601" s="17"/>
      <c r="O601" s="17"/>
      <c r="P601" s="17"/>
      <c r="Q601" s="17">
        <f t="shared" si="152"/>
        <v>739.0999999999982</v>
      </c>
      <c r="R601" s="2"/>
      <c r="S601" s="3"/>
    </row>
    <row r="602" spans="1:19" x14ac:dyDescent="0.25">
      <c r="A602" s="26">
        <v>43504</v>
      </c>
      <c r="B602" s="17"/>
      <c r="C602" s="7" t="s">
        <v>240</v>
      </c>
      <c r="D602" s="36"/>
      <c r="E602" s="17"/>
      <c r="F602" s="17"/>
      <c r="G602" s="17"/>
      <c r="H602" s="17"/>
      <c r="I602" s="17"/>
      <c r="J602" s="17"/>
      <c r="K602" s="17">
        <v>599.72</v>
      </c>
      <c r="L602" s="17"/>
      <c r="M602" s="17"/>
      <c r="N602" s="17"/>
      <c r="O602" s="17"/>
      <c r="P602" s="17"/>
      <c r="Q602" s="17">
        <f t="shared" si="152"/>
        <v>139.37999999999818</v>
      </c>
      <c r="R602" s="2"/>
      <c r="S602" s="3"/>
    </row>
    <row r="603" spans="1:19" x14ac:dyDescent="0.25">
      <c r="A603" s="26">
        <v>43504</v>
      </c>
      <c r="B603" s="17"/>
      <c r="C603" s="7" t="s">
        <v>234</v>
      </c>
      <c r="D603" s="36"/>
      <c r="E603" s="17"/>
      <c r="F603" s="17"/>
      <c r="G603" s="17"/>
      <c r="H603" s="17"/>
      <c r="I603" s="17"/>
      <c r="J603" s="17"/>
      <c r="K603" s="17"/>
      <c r="L603" s="17"/>
      <c r="M603" s="17"/>
      <c r="N603" s="17">
        <v>16.72</v>
      </c>
      <c r="O603" s="17"/>
      <c r="P603" s="17"/>
      <c r="Q603" s="17">
        <f t="shared" si="152"/>
        <v>156.09999999999818</v>
      </c>
      <c r="R603" s="2"/>
    </row>
    <row r="604" spans="1:19" x14ac:dyDescent="0.25">
      <c r="A604" s="26">
        <v>43504</v>
      </c>
      <c r="B604" s="17"/>
      <c r="D604" s="36"/>
      <c r="E604" s="17"/>
      <c r="F604" s="17"/>
      <c r="G604" s="17"/>
      <c r="H604" s="17"/>
      <c r="I604" s="17"/>
      <c r="J604" s="17"/>
      <c r="K604" s="17">
        <v>247.8</v>
      </c>
      <c r="L604" s="17"/>
      <c r="M604" s="17"/>
      <c r="N604" s="17"/>
      <c r="O604" s="17"/>
      <c r="P604" s="17"/>
      <c r="Q604" s="17">
        <f t="shared" si="152"/>
        <v>-91.700000000001836</v>
      </c>
      <c r="R604" s="15" t="s">
        <v>274</v>
      </c>
      <c r="S604" t="s">
        <v>275</v>
      </c>
    </row>
    <row r="605" spans="1:19" x14ac:dyDescent="0.25">
      <c r="A605" s="26">
        <v>43507</v>
      </c>
      <c r="B605" s="17">
        <v>1000</v>
      </c>
      <c r="D605" s="36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>
        <f t="shared" si="152"/>
        <v>908.29999999999814</v>
      </c>
      <c r="R605" s="2"/>
      <c r="S605" s="20"/>
    </row>
    <row r="606" spans="1:19" x14ac:dyDescent="0.25">
      <c r="A606" s="26">
        <v>43508</v>
      </c>
      <c r="B606" s="17"/>
      <c r="C606" s="7" t="s">
        <v>171</v>
      </c>
      <c r="D606" s="36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>
        <v>359.65</v>
      </c>
      <c r="Q606" s="17">
        <f t="shared" si="152"/>
        <v>1267.949999999998</v>
      </c>
      <c r="R606" s="2"/>
    </row>
    <row r="607" spans="1:19" x14ac:dyDescent="0.25">
      <c r="A607" s="26">
        <v>43508</v>
      </c>
      <c r="B607" s="17"/>
      <c r="C607" s="7" t="s">
        <v>171</v>
      </c>
      <c r="D607" s="36">
        <v>26</v>
      </c>
      <c r="E607" s="17">
        <v>13.23</v>
      </c>
      <c r="F607" s="17">
        <f t="shared" ref="F607" si="164">D607*E607</f>
        <v>343.98</v>
      </c>
      <c r="G607" s="17">
        <v>0</v>
      </c>
      <c r="H607" s="17">
        <v>0</v>
      </c>
      <c r="I607" s="17"/>
      <c r="J607" s="17">
        <v>0</v>
      </c>
      <c r="K607" s="17">
        <f t="shared" ref="K607" si="165">SUM(F607:J607)</f>
        <v>343.98</v>
      </c>
      <c r="L607" s="17"/>
      <c r="M607" s="17"/>
      <c r="N607" s="17"/>
      <c r="O607" s="17"/>
      <c r="P607" s="17"/>
      <c r="Q607" s="17">
        <f t="shared" si="152"/>
        <v>923.96999999999798</v>
      </c>
      <c r="R607" s="2"/>
      <c r="S607" s="5"/>
    </row>
    <row r="608" spans="1:19" x14ac:dyDescent="0.25">
      <c r="A608" s="26">
        <v>43508</v>
      </c>
      <c r="B608" s="17">
        <v>2000</v>
      </c>
      <c r="D608" s="36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>
        <f t="shared" si="152"/>
        <v>2923.969999999998</v>
      </c>
      <c r="R608" s="2"/>
    </row>
    <row r="609" spans="1:19" x14ac:dyDescent="0.25">
      <c r="A609" s="26">
        <v>43508</v>
      </c>
      <c r="B609" s="17"/>
      <c r="C609" s="7" t="s">
        <v>276</v>
      </c>
      <c r="D609" s="36">
        <v>5</v>
      </c>
      <c r="E609" s="17">
        <v>149.30000000000001</v>
      </c>
      <c r="F609" s="17">
        <f t="shared" ref="F609" si="166">D609*E609</f>
        <v>746.5</v>
      </c>
      <c r="G609" s="17">
        <v>0.2</v>
      </c>
      <c r="H609" s="17">
        <v>0.03</v>
      </c>
      <c r="I609" s="17"/>
      <c r="J609" s="17">
        <v>0</v>
      </c>
      <c r="K609" s="17">
        <f t="shared" ref="K609" si="167">SUM(F609:J609)</f>
        <v>746.73</v>
      </c>
      <c r="L609" s="17"/>
      <c r="M609" s="17"/>
      <c r="N609" s="17"/>
      <c r="O609" s="17"/>
      <c r="P609" s="17"/>
      <c r="Q609" s="17">
        <f t="shared" ref="Q609:Q672" si="168">Q608+B609-K609-L609-M609+N609+O609+P609</f>
        <v>2177.239999999998</v>
      </c>
      <c r="R609" s="2"/>
    </row>
    <row r="610" spans="1:19" x14ac:dyDescent="0.25">
      <c r="A610" s="26">
        <v>43509</v>
      </c>
      <c r="B610" s="17"/>
      <c r="C610" s="7" t="s">
        <v>276</v>
      </c>
      <c r="D610" s="36">
        <v>2</v>
      </c>
      <c r="E610" s="17">
        <v>149.44999999999999</v>
      </c>
      <c r="F610" s="17">
        <f t="shared" ref="F610" si="169">D610*E610</f>
        <v>298.89999999999998</v>
      </c>
      <c r="G610" s="17">
        <v>0.08</v>
      </c>
      <c r="H610" s="17">
        <v>0.01</v>
      </c>
      <c r="I610" s="17"/>
      <c r="J610" s="17">
        <v>0</v>
      </c>
      <c r="K610" s="17">
        <f t="shared" ref="K610" si="170">SUM(F610:J610)</f>
        <v>298.98999999999995</v>
      </c>
      <c r="L610" s="17"/>
      <c r="M610" s="17"/>
      <c r="N610" s="17"/>
      <c r="O610" s="17"/>
      <c r="P610" s="17"/>
      <c r="Q610" s="17">
        <f t="shared" si="168"/>
        <v>1878.249999999998</v>
      </c>
      <c r="R610" s="2" t="s">
        <v>274</v>
      </c>
    </row>
    <row r="611" spans="1:19" x14ac:dyDescent="0.25">
      <c r="A611" s="26">
        <v>43510</v>
      </c>
      <c r="B611" s="17"/>
      <c r="C611" s="7" t="s">
        <v>169</v>
      </c>
      <c r="D611" s="36"/>
      <c r="E611" s="17"/>
      <c r="F611" s="17"/>
      <c r="G611" s="17"/>
      <c r="H611" s="17"/>
      <c r="I611" s="17"/>
      <c r="J611" s="17"/>
      <c r="K611" s="17"/>
      <c r="L611" s="17"/>
      <c r="M611" s="17"/>
      <c r="N611" s="17">
        <v>66.459999999999994</v>
      </c>
      <c r="O611" s="17"/>
      <c r="P611" s="17"/>
      <c r="Q611" s="17">
        <f t="shared" si="168"/>
        <v>1944.709999999998</v>
      </c>
      <c r="R611" s="2"/>
    </row>
    <row r="612" spans="1:19" x14ac:dyDescent="0.25">
      <c r="A612" s="26">
        <v>43510</v>
      </c>
      <c r="B612" s="17"/>
      <c r="C612" s="7" t="s">
        <v>184</v>
      </c>
      <c r="D612" s="36"/>
      <c r="E612" s="17"/>
      <c r="F612" s="17"/>
      <c r="G612" s="17"/>
      <c r="H612" s="17"/>
      <c r="I612" s="17"/>
      <c r="J612" s="17"/>
      <c r="K612" s="17"/>
      <c r="L612" s="17"/>
      <c r="M612" s="17"/>
      <c r="N612" s="17">
        <v>108.33</v>
      </c>
      <c r="O612" s="17"/>
      <c r="P612" s="17"/>
      <c r="Q612" s="17">
        <f t="shared" si="168"/>
        <v>2053.0399999999981</v>
      </c>
      <c r="R612" s="2"/>
    </row>
    <row r="613" spans="1:19" x14ac:dyDescent="0.25">
      <c r="A613" s="26">
        <v>43510</v>
      </c>
      <c r="B613" s="17"/>
      <c r="C613" s="7" t="s">
        <v>267</v>
      </c>
      <c r="D613" s="36"/>
      <c r="E613" s="17"/>
      <c r="F613" s="17"/>
      <c r="G613" s="17"/>
      <c r="H613" s="17"/>
      <c r="I613" s="17"/>
      <c r="J613" s="17"/>
      <c r="K613" s="17"/>
      <c r="L613" s="17"/>
      <c r="M613" s="17"/>
      <c r="N613" s="17">
        <v>13.6</v>
      </c>
      <c r="O613" s="17"/>
      <c r="P613" s="17"/>
      <c r="Q613" s="17">
        <f t="shared" si="168"/>
        <v>2066.6399999999981</v>
      </c>
      <c r="R613" s="2"/>
    </row>
    <row r="614" spans="1:19" x14ac:dyDescent="0.25">
      <c r="A614" s="26">
        <v>43510</v>
      </c>
      <c r="B614" s="17"/>
      <c r="C614" s="7" t="s">
        <v>221</v>
      </c>
      <c r="D614" s="36"/>
      <c r="E614" s="17"/>
      <c r="F614" s="17"/>
      <c r="G614" s="17"/>
      <c r="H614" s="17"/>
      <c r="I614" s="17"/>
      <c r="J614" s="17"/>
      <c r="K614" s="17"/>
      <c r="L614" s="17"/>
      <c r="M614" s="17"/>
      <c r="N614" s="17">
        <v>18</v>
      </c>
      <c r="O614" s="17"/>
      <c r="P614" s="17"/>
      <c r="Q614" s="17">
        <f t="shared" si="168"/>
        <v>2084.6399999999981</v>
      </c>
      <c r="R614" s="2"/>
    </row>
    <row r="615" spans="1:19" x14ac:dyDescent="0.25">
      <c r="A615" s="26">
        <v>43510</v>
      </c>
      <c r="B615" s="17"/>
      <c r="C615" s="7" t="s">
        <v>173</v>
      </c>
      <c r="D615" s="36"/>
      <c r="E615" s="17"/>
      <c r="F615" s="17"/>
      <c r="G615" s="17"/>
      <c r="H615" s="17"/>
      <c r="I615" s="17"/>
      <c r="J615" s="17"/>
      <c r="K615" s="17"/>
      <c r="L615" s="17"/>
      <c r="M615" s="17"/>
      <c r="N615" s="17">
        <v>280.89999999999998</v>
      </c>
      <c r="O615" s="17"/>
      <c r="P615" s="17"/>
      <c r="Q615" s="17">
        <f t="shared" si="168"/>
        <v>2365.5399999999981</v>
      </c>
      <c r="R615" s="2"/>
    </row>
    <row r="616" spans="1:19" x14ac:dyDescent="0.25">
      <c r="A616" s="26">
        <v>43510</v>
      </c>
      <c r="B616" s="17"/>
      <c r="C616" s="7" t="s">
        <v>183</v>
      </c>
      <c r="D616" s="36"/>
      <c r="E616" s="17"/>
      <c r="F616" s="17"/>
      <c r="G616" s="17"/>
      <c r="H616" s="17"/>
      <c r="I616" s="17"/>
      <c r="J616" s="17"/>
      <c r="K616" s="17"/>
      <c r="L616" s="17"/>
      <c r="M616" s="17"/>
      <c r="N616" s="17">
        <v>10.1</v>
      </c>
      <c r="O616" s="17"/>
      <c r="P616" s="17"/>
      <c r="Q616" s="17">
        <f t="shared" si="168"/>
        <v>2375.6399999999981</v>
      </c>
      <c r="R616" s="2"/>
    </row>
    <row r="617" spans="1:19" x14ac:dyDescent="0.25">
      <c r="A617" s="26">
        <v>43510</v>
      </c>
      <c r="B617" s="17"/>
      <c r="C617" s="7" t="s">
        <v>217</v>
      </c>
      <c r="D617" s="36"/>
      <c r="E617" s="17"/>
      <c r="F617" s="17"/>
      <c r="G617" s="17"/>
      <c r="H617" s="17"/>
      <c r="I617" s="17"/>
      <c r="J617" s="17"/>
      <c r="K617" s="17"/>
      <c r="L617" s="17"/>
      <c r="M617" s="17"/>
      <c r="N617" s="17">
        <v>46.9</v>
      </c>
      <c r="O617" s="17"/>
      <c r="P617" s="17"/>
      <c r="Q617" s="17">
        <f t="shared" si="168"/>
        <v>2422.5399999999981</v>
      </c>
      <c r="R617" s="2"/>
      <c r="S617" s="20"/>
    </row>
    <row r="618" spans="1:19" x14ac:dyDescent="0.25">
      <c r="A618" s="26">
        <v>43510</v>
      </c>
      <c r="B618" s="17"/>
      <c r="C618" s="7" t="s">
        <v>181</v>
      </c>
      <c r="D618" s="36"/>
      <c r="E618" s="17"/>
      <c r="F618" s="17"/>
      <c r="G618" s="17"/>
      <c r="H618" s="17"/>
      <c r="I618" s="17"/>
      <c r="J618" s="17"/>
      <c r="K618" s="17"/>
      <c r="L618" s="17"/>
      <c r="M618" s="17"/>
      <c r="N618" s="17">
        <v>51.2</v>
      </c>
      <c r="O618" s="17"/>
      <c r="P618" s="17"/>
      <c r="Q618" s="17">
        <f t="shared" si="168"/>
        <v>2473.739999999998</v>
      </c>
      <c r="R618" s="2"/>
    </row>
    <row r="619" spans="1:19" x14ac:dyDescent="0.25">
      <c r="A619" s="26">
        <v>43510</v>
      </c>
      <c r="B619" s="17"/>
      <c r="C619" s="7" t="s">
        <v>96</v>
      </c>
      <c r="D619" s="36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>
        <v>123.9</v>
      </c>
      <c r="P619" s="17"/>
      <c r="Q619" s="17">
        <f t="shared" si="168"/>
        <v>2597.6399999999981</v>
      </c>
      <c r="R619" t="s">
        <v>277</v>
      </c>
    </row>
    <row r="620" spans="1:19" x14ac:dyDescent="0.25">
      <c r="A620" s="26">
        <v>43510</v>
      </c>
      <c r="B620" s="17"/>
      <c r="C620" s="7" t="s">
        <v>276</v>
      </c>
      <c r="D620" s="36">
        <v>3</v>
      </c>
      <c r="E620" s="17">
        <v>149.85</v>
      </c>
      <c r="F620" s="17">
        <f t="shared" ref="F620" si="171">D620*E620</f>
        <v>449.54999999999995</v>
      </c>
      <c r="G620" s="17">
        <v>0.1</v>
      </c>
      <c r="H620" s="17">
        <v>0.01</v>
      </c>
      <c r="I620" s="17"/>
      <c r="J620" s="17">
        <v>0</v>
      </c>
      <c r="K620" s="17">
        <f t="shared" ref="K620" si="172">SUM(F620:J620)</f>
        <v>449.65999999999997</v>
      </c>
      <c r="L620" s="17"/>
      <c r="M620" s="17"/>
      <c r="N620" s="17"/>
      <c r="O620" s="17"/>
      <c r="P620" s="17"/>
      <c r="Q620" s="17">
        <f t="shared" si="168"/>
        <v>2147.9799999999982</v>
      </c>
      <c r="R620" s="2"/>
    </row>
    <row r="621" spans="1:19" x14ac:dyDescent="0.25">
      <c r="A621" s="26">
        <v>43510</v>
      </c>
      <c r="B621" s="17"/>
      <c r="C621" s="7" t="s">
        <v>222</v>
      </c>
      <c r="D621" s="36">
        <v>5</v>
      </c>
      <c r="E621" s="17">
        <v>94.4</v>
      </c>
      <c r="F621" s="17">
        <f t="shared" ref="F621" si="173">D621*E621</f>
        <v>472</v>
      </c>
      <c r="G621" s="17">
        <v>0.1</v>
      </c>
      <c r="H621" s="17">
        <v>0.02</v>
      </c>
      <c r="I621" s="17"/>
      <c r="J621" s="17">
        <v>0</v>
      </c>
      <c r="K621" s="17">
        <f t="shared" ref="K621" si="174">SUM(F621:J621)</f>
        <v>472.12</v>
      </c>
      <c r="L621" s="17"/>
      <c r="M621" s="17"/>
      <c r="N621" s="17"/>
      <c r="O621" s="17"/>
      <c r="P621" s="17"/>
      <c r="Q621" s="17">
        <f t="shared" si="168"/>
        <v>1675.8599999999983</v>
      </c>
      <c r="R621" s="2"/>
    </row>
    <row r="622" spans="1:19" x14ac:dyDescent="0.25">
      <c r="A622" s="26">
        <v>43510</v>
      </c>
      <c r="B622" s="17"/>
      <c r="C622" s="7" t="s">
        <v>217</v>
      </c>
      <c r="D622" s="36">
        <v>5</v>
      </c>
      <c r="E622" s="17">
        <v>100.49</v>
      </c>
      <c r="F622" s="17">
        <f t="shared" ref="F622" si="175">D622*E622</f>
        <v>502.45</v>
      </c>
      <c r="G622" s="17">
        <v>0.1</v>
      </c>
      <c r="H622" s="17">
        <v>0.02</v>
      </c>
      <c r="I622" s="17"/>
      <c r="J622" s="17">
        <v>0</v>
      </c>
      <c r="K622" s="17">
        <f t="shared" ref="K622" si="176">SUM(F622:J622)</f>
        <v>502.57</v>
      </c>
      <c r="L622" s="17"/>
      <c r="M622" s="17"/>
      <c r="N622" s="17"/>
      <c r="O622" s="17"/>
      <c r="P622" s="17"/>
      <c r="Q622" s="17">
        <f t="shared" si="168"/>
        <v>1173.2899999999984</v>
      </c>
      <c r="R622" s="2"/>
    </row>
    <row r="623" spans="1:19" x14ac:dyDescent="0.25">
      <c r="A623" s="26">
        <v>43511</v>
      </c>
      <c r="B623" s="17"/>
      <c r="C623" s="7" t="s">
        <v>223</v>
      </c>
      <c r="D623" s="36"/>
      <c r="E623" s="17"/>
      <c r="F623" s="17"/>
      <c r="G623" s="17"/>
      <c r="H623" s="17"/>
      <c r="I623" s="17"/>
      <c r="J623" s="17"/>
      <c r="K623" s="17"/>
      <c r="L623" s="17">
        <v>81.510000000000005</v>
      </c>
      <c r="M623" s="17"/>
      <c r="N623" s="17">
        <v>490.66</v>
      </c>
      <c r="O623" s="17"/>
      <c r="P623" s="17"/>
      <c r="Q623" s="17">
        <f t="shared" si="168"/>
        <v>1582.4399999999985</v>
      </c>
      <c r="R623" s="2" t="s">
        <v>280</v>
      </c>
      <c r="S623" t="s">
        <v>281</v>
      </c>
    </row>
    <row r="624" spans="1:19" x14ac:dyDescent="0.25">
      <c r="A624" s="26">
        <v>43514</v>
      </c>
      <c r="B624" s="17"/>
      <c r="C624" s="7" t="s">
        <v>220</v>
      </c>
      <c r="D624" s="36"/>
      <c r="E624" s="17"/>
      <c r="F624" s="17"/>
      <c r="G624" s="17"/>
      <c r="H624" s="17"/>
      <c r="I624" s="17"/>
      <c r="J624" s="17"/>
      <c r="K624" s="17"/>
      <c r="L624" s="17"/>
      <c r="M624" s="17"/>
      <c r="N624" s="17">
        <v>15.58</v>
      </c>
      <c r="O624" s="17"/>
      <c r="P624" s="17"/>
      <c r="Q624" s="17">
        <f t="shared" si="168"/>
        <v>1598.0199999999984</v>
      </c>
      <c r="R624" s="2"/>
    </row>
    <row r="625" spans="1:19" x14ac:dyDescent="0.25">
      <c r="A625" s="26">
        <v>43515</v>
      </c>
      <c r="B625" s="17"/>
      <c r="C625" s="7" t="s">
        <v>217</v>
      </c>
      <c r="D625" s="36">
        <v>5</v>
      </c>
      <c r="E625" s="17">
        <v>100.87</v>
      </c>
      <c r="F625" s="17">
        <f t="shared" ref="F625" si="177">D625*E625</f>
        <v>504.35</v>
      </c>
      <c r="G625" s="17">
        <v>0.13</v>
      </c>
      <c r="H625" s="17">
        <v>0.02</v>
      </c>
      <c r="I625" s="17"/>
      <c r="J625" s="17">
        <v>0</v>
      </c>
      <c r="K625" s="17">
        <f t="shared" ref="K625" si="178">SUM(F625:J625)</f>
        <v>504.5</v>
      </c>
      <c r="L625" s="17"/>
      <c r="M625" s="17"/>
      <c r="N625" s="17"/>
      <c r="O625" s="17"/>
      <c r="P625" s="17"/>
      <c r="Q625" s="17">
        <f t="shared" si="168"/>
        <v>1093.5199999999984</v>
      </c>
      <c r="R625" s="2"/>
    </row>
    <row r="626" spans="1:19" x14ac:dyDescent="0.25">
      <c r="A626" s="26">
        <v>43516</v>
      </c>
      <c r="B626" s="17">
        <v>2000</v>
      </c>
      <c r="D626" s="36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>
        <f t="shared" si="168"/>
        <v>3093.5199999999986</v>
      </c>
      <c r="R626" s="2"/>
      <c r="S626" s="20"/>
    </row>
    <row r="627" spans="1:19" x14ac:dyDescent="0.25">
      <c r="A627" s="26">
        <v>43516</v>
      </c>
      <c r="B627" s="17"/>
      <c r="C627" s="7" t="s">
        <v>234</v>
      </c>
      <c r="D627" s="36">
        <v>10</v>
      </c>
      <c r="E627" s="17">
        <v>116.7</v>
      </c>
      <c r="F627" s="17">
        <f t="shared" ref="F627" si="179">D627*E627</f>
        <v>1167</v>
      </c>
      <c r="G627" s="17">
        <v>0</v>
      </c>
      <c r="H627" s="17">
        <v>0</v>
      </c>
      <c r="I627" s="17"/>
      <c r="J627" s="17">
        <v>0</v>
      </c>
      <c r="K627" s="17">
        <f t="shared" ref="K627" si="180">SUM(F627:J627)</f>
        <v>1167</v>
      </c>
      <c r="L627" s="17"/>
      <c r="M627" s="17"/>
      <c r="N627" s="17"/>
      <c r="O627" s="17"/>
      <c r="P627" s="17"/>
      <c r="Q627" s="17">
        <f t="shared" si="168"/>
        <v>1926.5199999999986</v>
      </c>
      <c r="R627" s="2"/>
      <c r="S627" s="20"/>
    </row>
    <row r="628" spans="1:19" x14ac:dyDescent="0.25">
      <c r="A628" s="26">
        <v>43517</v>
      </c>
      <c r="B628" s="17"/>
      <c r="C628" s="7" t="s">
        <v>270</v>
      </c>
      <c r="D628" s="36"/>
      <c r="E628" s="17"/>
      <c r="F628" s="17"/>
      <c r="G628" s="17"/>
      <c r="H628" s="17"/>
      <c r="I628" s="17"/>
      <c r="J628" s="17"/>
      <c r="K628" s="17"/>
      <c r="L628" s="17"/>
      <c r="M628" s="17"/>
      <c r="N628" s="17">
        <v>12</v>
      </c>
      <c r="O628" s="17"/>
      <c r="P628" s="17"/>
      <c r="Q628" s="17">
        <f t="shared" si="168"/>
        <v>1938.5199999999986</v>
      </c>
      <c r="R628" s="2"/>
      <c r="S628" s="20"/>
    </row>
    <row r="629" spans="1:19" x14ac:dyDescent="0.25">
      <c r="A629" s="26">
        <v>43517</v>
      </c>
      <c r="B629" s="17"/>
      <c r="C629" s="7" t="s">
        <v>219</v>
      </c>
      <c r="D629" s="36">
        <v>100</v>
      </c>
      <c r="E629" s="17">
        <v>7.55</v>
      </c>
      <c r="F629" s="17">
        <f t="shared" ref="F629:F630" si="181">D629*E629</f>
        <v>755</v>
      </c>
      <c r="G629" s="17">
        <v>0.3</v>
      </c>
      <c r="H629" s="17">
        <v>0.05</v>
      </c>
      <c r="I629" s="17"/>
      <c r="J629" s="17">
        <v>2.4900000000000002</v>
      </c>
      <c r="K629" s="17">
        <f>SUM(F629:J629)</f>
        <v>757.83999999999992</v>
      </c>
      <c r="L629" s="17"/>
      <c r="M629" s="17"/>
      <c r="N629" s="17"/>
      <c r="O629" s="17"/>
      <c r="P629" s="17"/>
      <c r="Q629" s="17">
        <f t="shared" si="168"/>
        <v>1180.6799999999987</v>
      </c>
      <c r="R629" s="2"/>
      <c r="S629" s="20"/>
    </row>
    <row r="630" spans="1:19" x14ac:dyDescent="0.25">
      <c r="A630" s="26">
        <v>43517</v>
      </c>
      <c r="B630" s="17"/>
      <c r="C630" s="7" t="s">
        <v>267</v>
      </c>
      <c r="D630" s="36">
        <v>10</v>
      </c>
      <c r="E630" s="17">
        <v>107.42</v>
      </c>
      <c r="F630" s="17">
        <f t="shared" si="181"/>
        <v>1074.2</v>
      </c>
      <c r="G630" s="17">
        <v>0.2</v>
      </c>
      <c r="H630" s="17">
        <v>0.02</v>
      </c>
      <c r="I630" s="17"/>
      <c r="J630" s="17">
        <v>0</v>
      </c>
      <c r="K630" s="17">
        <f>SUM(F630:J630)</f>
        <v>1074.42</v>
      </c>
      <c r="L630" s="17"/>
      <c r="M630" s="17"/>
      <c r="N630" s="17"/>
      <c r="O630" s="17"/>
      <c r="P630" s="17"/>
      <c r="Q630" s="17">
        <f t="shared" si="168"/>
        <v>106.25999999999863</v>
      </c>
      <c r="R630" s="2"/>
      <c r="S630" s="20"/>
    </row>
    <row r="631" spans="1:19" x14ac:dyDescent="0.25">
      <c r="A631" s="26">
        <v>43518</v>
      </c>
      <c r="B631" s="17"/>
      <c r="C631" s="7" t="s">
        <v>88</v>
      </c>
      <c r="D631" s="36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>
        <v>78.37</v>
      </c>
      <c r="P631" s="17"/>
      <c r="Q631" s="17">
        <f t="shared" si="168"/>
        <v>184.62999999999863</v>
      </c>
      <c r="R631" s="2"/>
      <c r="S631" s="20"/>
    </row>
    <row r="632" spans="1:19" x14ac:dyDescent="0.25">
      <c r="A632" s="26">
        <v>43518</v>
      </c>
      <c r="B632" s="17"/>
      <c r="C632" s="7" t="s">
        <v>88</v>
      </c>
      <c r="D632" s="36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>
        <v>66.62</v>
      </c>
      <c r="Q632" s="17">
        <f t="shared" si="168"/>
        <v>251.24999999999864</v>
      </c>
      <c r="R632" s="2"/>
      <c r="S632" s="20"/>
    </row>
    <row r="633" spans="1:19" x14ac:dyDescent="0.25">
      <c r="A633" s="26">
        <v>43518</v>
      </c>
      <c r="B633" s="17"/>
      <c r="C633" s="7" t="s">
        <v>270</v>
      </c>
      <c r="D633" s="36">
        <v>7</v>
      </c>
      <c r="E633" s="17">
        <f>715.47/7</f>
        <v>102.21000000000001</v>
      </c>
      <c r="F633" s="17">
        <f t="shared" ref="F633" si="182">D633*E633</f>
        <v>715.47</v>
      </c>
      <c r="G633" s="17">
        <v>0</v>
      </c>
      <c r="H633" s="17">
        <v>0</v>
      </c>
      <c r="I633" s="17"/>
      <c r="J633" s="17">
        <v>0</v>
      </c>
      <c r="K633" s="17">
        <f>SUM(F633:J633)</f>
        <v>715.47</v>
      </c>
      <c r="L633" s="17"/>
      <c r="M633" s="17"/>
      <c r="N633" s="17"/>
      <c r="O633" s="17"/>
      <c r="P633" s="17"/>
      <c r="Q633" s="17">
        <f t="shared" si="168"/>
        <v>-464.22000000000139</v>
      </c>
      <c r="R633" s="2"/>
      <c r="S633" s="20"/>
    </row>
    <row r="634" spans="1:19" x14ac:dyDescent="0.25">
      <c r="A634" s="26">
        <v>43521</v>
      </c>
      <c r="B634" s="17">
        <v>500</v>
      </c>
      <c r="D634" s="36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>
        <f t="shared" si="168"/>
        <v>35.779999999998608</v>
      </c>
      <c r="R634" s="2"/>
      <c r="S634" s="20"/>
    </row>
    <row r="635" spans="1:19" x14ac:dyDescent="0.25">
      <c r="A635" s="26">
        <v>43521</v>
      </c>
      <c r="B635" s="17"/>
      <c r="C635" s="7" t="s">
        <v>88</v>
      </c>
      <c r="D635" s="36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>
        <v>12.53</v>
      </c>
      <c r="P635" s="17"/>
      <c r="Q635" s="17">
        <f t="shared" si="168"/>
        <v>48.30999999999861</v>
      </c>
      <c r="R635" s="2"/>
      <c r="S635" s="20"/>
    </row>
    <row r="636" spans="1:19" x14ac:dyDescent="0.25">
      <c r="A636" s="26">
        <v>43522</v>
      </c>
      <c r="B636" s="17">
        <v>2000</v>
      </c>
      <c r="D636" s="36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>
        <f t="shared" si="168"/>
        <v>2048.3099999999986</v>
      </c>
      <c r="R636" s="2"/>
      <c r="S636" s="20"/>
    </row>
    <row r="637" spans="1:19" x14ac:dyDescent="0.25">
      <c r="A637" s="26">
        <v>43522</v>
      </c>
      <c r="B637" s="17"/>
      <c r="C637" s="7" t="s">
        <v>173</v>
      </c>
      <c r="D637" s="36">
        <v>10</v>
      </c>
      <c r="E637" s="17">
        <v>82.4</v>
      </c>
      <c r="F637" s="17">
        <f t="shared" ref="F637:F638" si="183">D637*E637</f>
        <v>824</v>
      </c>
      <c r="G637" s="17">
        <v>0.24</v>
      </c>
      <c r="H637" s="17">
        <v>0.04</v>
      </c>
      <c r="I637" s="17"/>
      <c r="J637" s="17">
        <v>0</v>
      </c>
      <c r="K637" s="17">
        <f>SUM(F637:J637)</f>
        <v>824.28</v>
      </c>
      <c r="L637" s="17"/>
      <c r="M637" s="17"/>
      <c r="N637" s="17"/>
      <c r="O637" s="17"/>
      <c r="P637" s="17"/>
      <c r="Q637" s="17">
        <f t="shared" si="168"/>
        <v>1224.0299999999986</v>
      </c>
      <c r="R637" s="2"/>
      <c r="S637" s="20"/>
    </row>
    <row r="638" spans="1:19" x14ac:dyDescent="0.25">
      <c r="A638" s="26">
        <v>43522</v>
      </c>
      <c r="B638" s="17"/>
      <c r="C638" s="7" t="s">
        <v>222</v>
      </c>
      <c r="D638" s="36">
        <v>10</v>
      </c>
      <c r="E638" s="17">
        <v>94</v>
      </c>
      <c r="F638" s="17">
        <f t="shared" si="183"/>
        <v>940</v>
      </c>
      <c r="G638" s="17">
        <v>0.24</v>
      </c>
      <c r="H638" s="17">
        <v>0.03</v>
      </c>
      <c r="I638" s="17"/>
      <c r="J638" s="17">
        <v>0</v>
      </c>
      <c r="K638" s="17">
        <f>SUM(F638:J638)</f>
        <v>940.27</v>
      </c>
      <c r="L638" s="17"/>
      <c r="M638" s="17"/>
      <c r="N638" s="17"/>
      <c r="O638" s="17"/>
      <c r="P638" s="17"/>
      <c r="Q638" s="17">
        <f t="shared" si="168"/>
        <v>283.75999999999863</v>
      </c>
      <c r="R638" s="2"/>
      <c r="S638" s="20"/>
    </row>
    <row r="639" spans="1:19" x14ac:dyDescent="0.25">
      <c r="A639" s="26">
        <v>43524</v>
      </c>
      <c r="B639" s="17"/>
      <c r="C639" s="7" t="s">
        <v>180</v>
      </c>
      <c r="D639" s="36"/>
      <c r="E639" s="17"/>
      <c r="F639" s="17"/>
      <c r="G639" s="17"/>
      <c r="H639" s="17"/>
      <c r="I639" s="17"/>
      <c r="J639" s="17"/>
      <c r="K639" s="17"/>
      <c r="L639" s="17"/>
      <c r="M639" s="17"/>
      <c r="N639" s="17">
        <v>25.39</v>
      </c>
      <c r="O639" s="17"/>
      <c r="P639" s="17"/>
      <c r="Q639" s="17">
        <f t="shared" si="168"/>
        <v>309.14999999999861</v>
      </c>
      <c r="R639" s="2"/>
      <c r="S639" s="20"/>
    </row>
    <row r="640" spans="1:19" x14ac:dyDescent="0.25">
      <c r="A640" s="26">
        <v>43524</v>
      </c>
      <c r="B640" s="17">
        <v>1000</v>
      </c>
      <c r="D640" s="36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>
        <f t="shared" si="168"/>
        <v>1309.1499999999987</v>
      </c>
      <c r="R640" s="2"/>
    </row>
    <row r="641" spans="1:19" x14ac:dyDescent="0.25">
      <c r="A641" s="26">
        <v>43524</v>
      </c>
      <c r="B641" s="17"/>
      <c r="C641" s="7" t="s">
        <v>169</v>
      </c>
      <c r="D641" s="36">
        <v>10</v>
      </c>
      <c r="E641" s="17">
        <v>106.22</v>
      </c>
      <c r="F641" s="17">
        <f t="shared" ref="F641" si="184">D641*E641</f>
        <v>1062.2</v>
      </c>
      <c r="G641" s="17">
        <v>0.28999999999999998</v>
      </c>
      <c r="H641" s="17">
        <v>0.04</v>
      </c>
      <c r="I641" s="17"/>
      <c r="J641" s="17">
        <v>0</v>
      </c>
      <c r="K641" s="17">
        <f>SUM(F641:J641)</f>
        <v>1062.53</v>
      </c>
      <c r="L641" s="17"/>
      <c r="M641" s="17"/>
      <c r="N641" s="17"/>
      <c r="O641" s="17"/>
      <c r="P641" s="17"/>
      <c r="Q641" s="17">
        <f t="shared" si="168"/>
        <v>246.61999999999875</v>
      </c>
      <c r="R641" s="2"/>
    </row>
    <row r="642" spans="1:19" x14ac:dyDescent="0.25">
      <c r="A642" s="26">
        <v>43531</v>
      </c>
      <c r="B642" s="17"/>
      <c r="C642" s="7" t="s">
        <v>5</v>
      </c>
      <c r="D642" s="36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>
        <f>49.76+0.51</f>
        <v>50.269999999999996</v>
      </c>
      <c r="Q642" s="17">
        <f t="shared" si="168"/>
        <v>296.88999999999874</v>
      </c>
      <c r="R642" s="2"/>
    </row>
    <row r="643" spans="1:19" x14ac:dyDescent="0.25">
      <c r="A643" s="26">
        <v>43531</v>
      </c>
      <c r="B643" s="17"/>
      <c r="C643" s="7" t="s">
        <v>85</v>
      </c>
      <c r="D643" s="36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>
        <v>1098.55</v>
      </c>
      <c r="P643" s="17">
        <f>640.99+16.69</f>
        <v>657.68000000000006</v>
      </c>
      <c r="Q643" s="17">
        <f t="shared" si="168"/>
        <v>2053.119999999999</v>
      </c>
      <c r="R643" s="2"/>
    </row>
    <row r="644" spans="1:19" x14ac:dyDescent="0.25">
      <c r="A644" s="26">
        <v>43531</v>
      </c>
      <c r="B644" s="17"/>
      <c r="C644" s="7" t="s">
        <v>222</v>
      </c>
      <c r="D644" s="36">
        <v>10</v>
      </c>
      <c r="E644" s="17">
        <v>93.2</v>
      </c>
      <c r="F644" s="17">
        <f t="shared" ref="F644" si="185">D644*E644</f>
        <v>932</v>
      </c>
      <c r="G644" s="17">
        <v>0.25</v>
      </c>
      <c r="H644" s="17">
        <v>0.03</v>
      </c>
      <c r="I644" s="17"/>
      <c r="J644" s="17">
        <v>0</v>
      </c>
      <c r="K644" s="17">
        <f>SUM(F644:J644)</f>
        <v>932.28</v>
      </c>
      <c r="L644" s="17"/>
      <c r="M644" s="17"/>
      <c r="N644" s="17"/>
      <c r="O644" s="17"/>
      <c r="P644" s="17"/>
      <c r="Q644" s="17">
        <f t="shared" si="168"/>
        <v>1120.839999999999</v>
      </c>
      <c r="R644" s="2"/>
    </row>
    <row r="645" spans="1:19" x14ac:dyDescent="0.25">
      <c r="A645" s="26">
        <v>43532</v>
      </c>
      <c r="B645" s="17">
        <v>2000</v>
      </c>
      <c r="D645" s="36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>
        <f t="shared" si="168"/>
        <v>3120.8399999999992</v>
      </c>
      <c r="R645" s="2"/>
    </row>
    <row r="646" spans="1:19" x14ac:dyDescent="0.25">
      <c r="A646" s="26">
        <v>43532</v>
      </c>
      <c r="B646" s="17"/>
      <c r="C646" s="7" t="s">
        <v>169</v>
      </c>
      <c r="D646" s="36">
        <v>10</v>
      </c>
      <c r="E646" s="17">
        <v>107.3</v>
      </c>
      <c r="F646" s="17">
        <f t="shared" ref="F646" si="186">D646*E646</f>
        <v>1073</v>
      </c>
      <c r="G646" s="17">
        <v>0.3</v>
      </c>
      <c r="H646" s="17">
        <v>0.03</v>
      </c>
      <c r="I646" s="17"/>
      <c r="J646" s="17">
        <v>0</v>
      </c>
      <c r="K646" s="17">
        <f>SUM(F646:J646)</f>
        <v>1073.33</v>
      </c>
      <c r="L646" s="17"/>
      <c r="M646" s="17"/>
      <c r="N646" s="17"/>
      <c r="O646" s="17"/>
      <c r="P646" s="17"/>
      <c r="Q646" s="17">
        <f t="shared" si="168"/>
        <v>2047.5099999999993</v>
      </c>
      <c r="R646" s="2"/>
    </row>
    <row r="647" spans="1:19" x14ac:dyDescent="0.25">
      <c r="A647" s="26">
        <v>43532</v>
      </c>
      <c r="B647" s="17"/>
      <c r="C647" s="7" t="s">
        <v>183</v>
      </c>
      <c r="D647" s="36">
        <v>10</v>
      </c>
      <c r="E647" s="17">
        <v>44.25</v>
      </c>
      <c r="F647" s="17">
        <f t="shared" ref="F647" si="187">D647*E647</f>
        <v>442.5</v>
      </c>
      <c r="G647" s="17">
        <v>0.11</v>
      </c>
      <c r="H647" s="17">
        <v>0.03</v>
      </c>
      <c r="I647" s="17"/>
      <c r="J647" s="17">
        <v>0</v>
      </c>
      <c r="K647" s="17">
        <f>SUM(F647:J647)</f>
        <v>442.64</v>
      </c>
      <c r="L647" s="17"/>
      <c r="M647" s="17"/>
      <c r="N647" s="17"/>
      <c r="O647" s="17"/>
      <c r="P647" s="17"/>
      <c r="Q647" s="17">
        <f t="shared" si="168"/>
        <v>1604.8699999999994</v>
      </c>
      <c r="R647" s="2"/>
    </row>
    <row r="648" spans="1:19" x14ac:dyDescent="0.25">
      <c r="A648" s="26">
        <v>43535</v>
      </c>
      <c r="B648" s="17"/>
      <c r="C648" s="7" t="s">
        <v>186</v>
      </c>
      <c r="D648" s="36"/>
      <c r="E648" s="17"/>
      <c r="F648" s="17"/>
      <c r="G648" s="17"/>
      <c r="H648" s="17"/>
      <c r="I648" s="17"/>
      <c r="J648" s="17"/>
      <c r="K648" s="17"/>
      <c r="L648" s="17"/>
      <c r="M648" s="17"/>
      <c r="N648" s="17">
        <v>51.85</v>
      </c>
      <c r="O648" s="17"/>
      <c r="P648" s="17"/>
      <c r="Q648" s="17">
        <f t="shared" si="168"/>
        <v>1656.7199999999993</v>
      </c>
      <c r="R648" s="2"/>
    </row>
    <row r="649" spans="1:19" x14ac:dyDescent="0.25">
      <c r="A649" s="26">
        <v>43535</v>
      </c>
      <c r="B649" s="17"/>
      <c r="C649" s="7" t="s">
        <v>276</v>
      </c>
      <c r="D649" s="36"/>
      <c r="E649" s="17"/>
      <c r="F649" s="17"/>
      <c r="G649" s="17"/>
      <c r="H649" s="17"/>
      <c r="I649" s="17"/>
      <c r="J649" s="17"/>
      <c r="K649" s="17"/>
      <c r="L649" s="17"/>
      <c r="M649" s="17"/>
      <c r="N649" s="17">
        <v>5.8</v>
      </c>
      <c r="O649" s="17"/>
      <c r="P649" s="17"/>
      <c r="Q649" s="17">
        <f t="shared" si="168"/>
        <v>1662.5199999999993</v>
      </c>
      <c r="R649" s="2"/>
    </row>
    <row r="650" spans="1:19" x14ac:dyDescent="0.25">
      <c r="A650" s="26">
        <v>43535</v>
      </c>
      <c r="B650" s="17"/>
      <c r="C650" s="7" t="s">
        <v>222</v>
      </c>
      <c r="D650" s="36"/>
      <c r="E650" s="17"/>
      <c r="F650" s="17"/>
      <c r="G650" s="17"/>
      <c r="H650" s="17"/>
      <c r="I650" s="17"/>
      <c r="J650" s="17"/>
      <c r="K650" s="17"/>
      <c r="L650" s="17"/>
      <c r="M650" s="17"/>
      <c r="N650" s="17">
        <v>30.6</v>
      </c>
      <c r="O650" s="17"/>
      <c r="P650" s="17"/>
      <c r="Q650" s="17">
        <f t="shared" si="168"/>
        <v>1693.1199999999992</v>
      </c>
      <c r="R650" s="2"/>
    </row>
    <row r="651" spans="1:19" x14ac:dyDescent="0.25">
      <c r="A651" s="26">
        <v>43535</v>
      </c>
      <c r="B651" s="17"/>
      <c r="C651" s="7" t="s">
        <v>234</v>
      </c>
      <c r="D651" s="36">
        <v>5</v>
      </c>
      <c r="E651" s="17">
        <v>128.24</v>
      </c>
      <c r="F651" s="17">
        <f t="shared" ref="F651" si="188">D651*E651</f>
        <v>641.20000000000005</v>
      </c>
      <c r="G651" s="17">
        <v>0.16</v>
      </c>
      <c r="H651" s="17">
        <v>0.03</v>
      </c>
      <c r="I651" s="17"/>
      <c r="J651" s="17">
        <v>0</v>
      </c>
      <c r="K651" s="17">
        <f>SUM(F651:J651)</f>
        <v>641.39</v>
      </c>
      <c r="L651" s="17"/>
      <c r="M651" s="17"/>
      <c r="N651" s="17"/>
      <c r="O651" s="17"/>
      <c r="P651" s="17"/>
      <c r="Q651" s="17">
        <f t="shared" si="168"/>
        <v>1051.7299999999991</v>
      </c>
      <c r="R651" s="2"/>
    </row>
    <row r="652" spans="1:19" x14ac:dyDescent="0.25">
      <c r="A652" s="26">
        <v>43535</v>
      </c>
      <c r="B652" s="17"/>
      <c r="C652" s="7" t="s">
        <v>221</v>
      </c>
      <c r="D652" s="36">
        <v>50</v>
      </c>
      <c r="E652" s="17">
        <v>11.29</v>
      </c>
      <c r="F652" s="17">
        <f t="shared" ref="F652" si="189">D652*E652</f>
        <v>564.5</v>
      </c>
      <c r="G652" s="17">
        <v>0.17</v>
      </c>
      <c r="H652" s="17">
        <v>0.02</v>
      </c>
      <c r="I652" s="17"/>
      <c r="J652" s="17">
        <v>0</v>
      </c>
      <c r="K652" s="17">
        <f>SUM(F652:J652)</f>
        <v>564.68999999999994</v>
      </c>
      <c r="L652" s="17"/>
      <c r="M652" s="17"/>
      <c r="N652" s="17"/>
      <c r="O652" s="17"/>
      <c r="P652" s="17"/>
      <c r="Q652" s="17">
        <f t="shared" si="168"/>
        <v>487.03999999999917</v>
      </c>
      <c r="R652" s="2"/>
      <c r="S652" s="20"/>
    </row>
    <row r="653" spans="1:19" x14ac:dyDescent="0.25">
      <c r="A653" s="26">
        <v>43536</v>
      </c>
      <c r="B653" s="17">
        <v>2500</v>
      </c>
      <c r="D653" s="36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>
        <f t="shared" si="168"/>
        <v>2987.0399999999991</v>
      </c>
      <c r="R653" s="2"/>
      <c r="S653" s="20"/>
    </row>
    <row r="654" spans="1:19" x14ac:dyDescent="0.25">
      <c r="A654" s="26">
        <v>43536</v>
      </c>
      <c r="B654" s="17"/>
      <c r="C654" s="7" t="s">
        <v>217</v>
      </c>
      <c r="D654" s="36">
        <v>10</v>
      </c>
      <c r="E654" s="17">
        <v>103.4</v>
      </c>
      <c r="F654" s="17">
        <f t="shared" ref="F654" si="190">D654*E654</f>
        <v>1034</v>
      </c>
      <c r="G654" s="17">
        <v>0.28000000000000003</v>
      </c>
      <c r="H654" s="17">
        <v>0.04</v>
      </c>
      <c r="I654" s="17"/>
      <c r="J654" s="17">
        <v>0</v>
      </c>
      <c r="K654" s="17">
        <f>SUM(F654:J654)</f>
        <v>1034.32</v>
      </c>
      <c r="L654" s="17"/>
      <c r="M654" s="17"/>
      <c r="N654" s="17"/>
      <c r="O654" s="17"/>
      <c r="P654" s="17"/>
      <c r="Q654" s="17">
        <f t="shared" si="168"/>
        <v>1952.7199999999991</v>
      </c>
      <c r="R654" s="2"/>
      <c r="S654" s="20"/>
    </row>
    <row r="655" spans="1:19" x14ac:dyDescent="0.25">
      <c r="A655" s="26">
        <v>43536</v>
      </c>
      <c r="B655" s="17"/>
      <c r="C655" s="7" t="s">
        <v>234</v>
      </c>
      <c r="D655" s="36"/>
      <c r="E655" s="17"/>
      <c r="F655" s="17"/>
      <c r="G655" s="17"/>
      <c r="H655" s="17"/>
      <c r="I655" s="17"/>
      <c r="J655" s="17"/>
      <c r="K655" s="17"/>
      <c r="L655" s="17"/>
      <c r="M655" s="17"/>
      <c r="N655" s="17">
        <f>15.77+1.05</f>
        <v>16.82</v>
      </c>
      <c r="O655" s="17"/>
      <c r="P655" s="17"/>
      <c r="Q655" s="17">
        <f t="shared" si="168"/>
        <v>1969.5399999999991</v>
      </c>
      <c r="R655" s="2"/>
      <c r="S655" s="20"/>
    </row>
    <row r="656" spans="1:19" x14ac:dyDescent="0.25">
      <c r="A656" s="26">
        <v>43537</v>
      </c>
      <c r="B656" s="17"/>
      <c r="C656" s="7" t="s">
        <v>218</v>
      </c>
      <c r="D656" s="36">
        <v>100</v>
      </c>
      <c r="E656" s="17">
        <v>11.28</v>
      </c>
      <c r="F656" s="17">
        <f t="shared" ref="F656" si="191">D656*E656</f>
        <v>1128</v>
      </c>
      <c r="G656" s="17">
        <v>0.31</v>
      </c>
      <c r="H656" s="17">
        <v>0.04</v>
      </c>
      <c r="I656" s="17"/>
      <c r="J656" s="17">
        <v>2.4900000000000002</v>
      </c>
      <c r="K656" s="17">
        <f>SUM(F656:J656)</f>
        <v>1130.8399999999999</v>
      </c>
      <c r="L656" s="17"/>
      <c r="M656" s="17"/>
      <c r="N656" s="17"/>
      <c r="O656" s="17"/>
      <c r="P656" s="17"/>
      <c r="Q656" s="17">
        <f t="shared" si="168"/>
        <v>838.69999999999914</v>
      </c>
      <c r="R656" s="2"/>
      <c r="S656" s="20"/>
    </row>
    <row r="657" spans="1:19" x14ac:dyDescent="0.25">
      <c r="A657" s="26">
        <v>43539</v>
      </c>
      <c r="B657" s="17"/>
      <c r="C657" s="7" t="s">
        <v>221</v>
      </c>
      <c r="D657" s="36"/>
      <c r="E657" s="17"/>
      <c r="F657" s="17"/>
      <c r="G657" s="17"/>
      <c r="H657" s="17"/>
      <c r="I657" s="17"/>
      <c r="J657" s="17"/>
      <c r="K657" s="17"/>
      <c r="L657" s="17"/>
      <c r="M657" s="17"/>
      <c r="N657" s="17">
        <v>31.5</v>
      </c>
      <c r="O657" s="17"/>
      <c r="P657" s="17"/>
      <c r="Q657" s="17">
        <f t="shared" ref="Q657:Q665" si="192">Q656+B657-K657-L657-M657+N657+O657+P657</f>
        <v>870.19999999999914</v>
      </c>
      <c r="R657" s="2"/>
      <c r="S657" s="20"/>
    </row>
    <row r="658" spans="1:19" x14ac:dyDescent="0.25">
      <c r="A658" s="26">
        <v>43542</v>
      </c>
      <c r="B658" s="17"/>
      <c r="C658" s="7" t="s">
        <v>217</v>
      </c>
      <c r="D658" s="36"/>
      <c r="E658" s="17"/>
      <c r="F658" s="17"/>
      <c r="G658" s="17"/>
      <c r="H658" s="17"/>
      <c r="I658" s="17"/>
      <c r="J658" s="17"/>
      <c r="K658" s="17"/>
      <c r="L658" s="17"/>
      <c r="M658" s="17"/>
      <c r="N658" s="17">
        <v>53.6</v>
      </c>
      <c r="O658" s="17"/>
      <c r="P658" s="17"/>
      <c r="Q658" s="17">
        <f t="shared" si="192"/>
        <v>923.79999999999916</v>
      </c>
      <c r="R658" s="2"/>
      <c r="S658" s="20"/>
    </row>
    <row r="659" spans="1:19" x14ac:dyDescent="0.25">
      <c r="A659" s="26">
        <v>43542</v>
      </c>
      <c r="B659" s="17"/>
      <c r="C659" s="7" t="s">
        <v>169</v>
      </c>
      <c r="D659" s="36"/>
      <c r="E659" s="17"/>
      <c r="F659" s="17"/>
      <c r="G659" s="17"/>
      <c r="H659" s="17"/>
      <c r="I659" s="17"/>
      <c r="J659" s="17"/>
      <c r="K659" s="17"/>
      <c r="L659" s="17"/>
      <c r="M659" s="17"/>
      <c r="N659" s="17">
        <v>72.5</v>
      </c>
      <c r="O659" s="17"/>
      <c r="P659" s="17"/>
      <c r="Q659" s="17">
        <f t="shared" si="192"/>
        <v>996.29999999999916</v>
      </c>
      <c r="R659" s="2"/>
      <c r="S659" s="20"/>
    </row>
    <row r="660" spans="1:19" x14ac:dyDescent="0.25">
      <c r="A660" s="26">
        <v>43542</v>
      </c>
      <c r="B660" s="17"/>
      <c r="C660" s="7" t="s">
        <v>181</v>
      </c>
      <c r="D660" s="36"/>
      <c r="E660" s="17"/>
      <c r="F660" s="17"/>
      <c r="G660" s="17"/>
      <c r="H660" s="17"/>
      <c r="I660" s="17"/>
      <c r="J660" s="17"/>
      <c r="K660" s="17"/>
      <c r="L660" s="17"/>
      <c r="M660" s="17"/>
      <c r="N660" s="17">
        <v>51.2</v>
      </c>
      <c r="O660" s="17"/>
      <c r="P660" s="17"/>
      <c r="Q660" s="17">
        <f t="shared" si="192"/>
        <v>1047.4999999999991</v>
      </c>
      <c r="R660" s="2"/>
      <c r="S660" s="20"/>
    </row>
    <row r="661" spans="1:19" x14ac:dyDescent="0.25">
      <c r="A661" s="26">
        <v>43542</v>
      </c>
      <c r="B661" s="17"/>
      <c r="C661" s="7" t="s">
        <v>183</v>
      </c>
      <c r="D661" s="36"/>
      <c r="E661" s="17"/>
      <c r="F661" s="17"/>
      <c r="G661" s="17"/>
      <c r="H661" s="17"/>
      <c r="I661" s="17"/>
      <c r="J661" s="17"/>
      <c r="K661" s="17"/>
      <c r="L661" s="17"/>
      <c r="M661" s="17"/>
      <c r="N661" s="17">
        <v>22.57</v>
      </c>
      <c r="O661" s="17"/>
      <c r="P661" s="17"/>
      <c r="Q661" s="17">
        <f t="shared" si="192"/>
        <v>1070.069999999999</v>
      </c>
      <c r="R661" s="2"/>
      <c r="S661" s="20"/>
    </row>
    <row r="662" spans="1:19" x14ac:dyDescent="0.25">
      <c r="A662" s="26">
        <v>43542</v>
      </c>
      <c r="B662" s="17"/>
      <c r="C662" s="7" t="s">
        <v>267</v>
      </c>
      <c r="D662" s="36"/>
      <c r="E662" s="17"/>
      <c r="F662" s="17"/>
      <c r="G662" s="17"/>
      <c r="H662" s="17"/>
      <c r="I662" s="17"/>
      <c r="J662" s="17"/>
      <c r="K662" s="17"/>
      <c r="L662" s="17"/>
      <c r="M662" s="17"/>
      <c r="N662" s="17">
        <v>20.399999999999999</v>
      </c>
      <c r="O662" s="17"/>
      <c r="P662" s="17"/>
      <c r="Q662" s="17">
        <f t="shared" si="192"/>
        <v>1090.4699999999991</v>
      </c>
      <c r="R662" s="2"/>
      <c r="S662" s="20"/>
    </row>
    <row r="663" spans="1:19" x14ac:dyDescent="0.25">
      <c r="A663" s="26">
        <v>43542</v>
      </c>
      <c r="B663" s="17"/>
      <c r="C663" s="7" t="s">
        <v>184</v>
      </c>
      <c r="D663" s="36"/>
      <c r="E663" s="17"/>
      <c r="F663" s="17"/>
      <c r="G663" s="17"/>
      <c r="H663" s="17"/>
      <c r="I663" s="17"/>
      <c r="J663" s="17"/>
      <c r="K663" s="17"/>
      <c r="L663" s="17"/>
      <c r="M663" s="17"/>
      <c r="N663" s="17">
        <v>108.33</v>
      </c>
      <c r="O663" s="17"/>
      <c r="P663" s="17"/>
      <c r="Q663" s="17">
        <f t="shared" si="192"/>
        <v>1198.799999999999</v>
      </c>
      <c r="R663" s="2"/>
      <c r="S663" s="20"/>
    </row>
    <row r="664" spans="1:19" x14ac:dyDescent="0.25">
      <c r="A664" s="26">
        <v>43542</v>
      </c>
      <c r="B664" s="17"/>
      <c r="C664" s="7" t="s">
        <v>173</v>
      </c>
      <c r="D664" s="36"/>
      <c r="E664" s="17"/>
      <c r="F664" s="17"/>
      <c r="G664" s="17"/>
      <c r="H664" s="17"/>
      <c r="I664" s="17"/>
      <c r="J664" s="17"/>
      <c r="K664" s="17"/>
      <c r="L664" s="17"/>
      <c r="M664" s="17"/>
      <c r="N664" s="17">
        <v>232.2</v>
      </c>
      <c r="O664" s="17"/>
      <c r="P664" s="17"/>
      <c r="Q664" s="17">
        <f t="shared" si="192"/>
        <v>1430.9999999999991</v>
      </c>
      <c r="R664" s="2"/>
      <c r="S664" s="20"/>
    </row>
    <row r="665" spans="1:19" x14ac:dyDescent="0.25">
      <c r="A665" s="26">
        <v>43542</v>
      </c>
      <c r="B665" s="17"/>
      <c r="D665" s="36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>
        <f t="shared" si="192"/>
        <v>1430.9999999999991</v>
      </c>
      <c r="R665" s="2"/>
      <c r="S665" s="20"/>
    </row>
    <row r="666" spans="1:19" x14ac:dyDescent="0.25">
      <c r="A666" s="26">
        <v>43543</v>
      </c>
      <c r="B666" s="17"/>
      <c r="C666" s="7" t="s">
        <v>270</v>
      </c>
      <c r="D666" s="36">
        <v>10</v>
      </c>
      <c r="E666" s="17">
        <v>107.99</v>
      </c>
      <c r="F666" s="17">
        <f t="shared" ref="F666" si="193">D666*E666</f>
        <v>1079.8999999999999</v>
      </c>
      <c r="G666" s="17">
        <v>0.28999999999999998</v>
      </c>
      <c r="H666" s="17">
        <v>0.04</v>
      </c>
      <c r="I666" s="17"/>
      <c r="J666" s="17">
        <v>0</v>
      </c>
      <c r="K666" s="17">
        <f>SUM(F666:J666)</f>
        <v>1080.2299999999998</v>
      </c>
      <c r="L666" s="17"/>
      <c r="M666" s="17"/>
      <c r="N666" s="17"/>
      <c r="O666" s="17"/>
      <c r="P666" s="17"/>
      <c r="Q666" s="17">
        <f t="shared" si="168"/>
        <v>350.7699999999993</v>
      </c>
      <c r="R666" s="2"/>
      <c r="S666" s="20"/>
    </row>
    <row r="667" spans="1:19" x14ac:dyDescent="0.25">
      <c r="A667" s="26">
        <v>43544</v>
      </c>
      <c r="B667" s="17"/>
      <c r="C667" s="7" t="s">
        <v>220</v>
      </c>
      <c r="D667" s="36"/>
      <c r="E667" s="17"/>
      <c r="F667" s="17"/>
      <c r="G667" s="17"/>
      <c r="H667" s="17"/>
      <c r="I667" s="17"/>
      <c r="J667" s="17"/>
      <c r="K667" s="17"/>
      <c r="L667" s="17"/>
      <c r="M667" s="17"/>
      <c r="N667" s="17">
        <v>19.5</v>
      </c>
      <c r="O667" s="17"/>
      <c r="P667" s="17"/>
      <c r="Q667" s="17">
        <f t="shared" si="168"/>
        <v>370.2699999999993</v>
      </c>
      <c r="R667" s="2"/>
      <c r="S667" s="20"/>
    </row>
    <row r="668" spans="1:19" x14ac:dyDescent="0.25">
      <c r="A668" s="26">
        <v>43544</v>
      </c>
      <c r="B668" s="17">
        <v>3000</v>
      </c>
      <c r="D668" s="36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>
        <f t="shared" si="168"/>
        <v>3370.2699999999995</v>
      </c>
      <c r="R668" s="2"/>
      <c r="S668" s="20"/>
    </row>
    <row r="669" spans="1:19" x14ac:dyDescent="0.25">
      <c r="A669" s="26">
        <v>43545</v>
      </c>
      <c r="B669" s="17"/>
      <c r="C669" s="7" t="s">
        <v>88</v>
      </c>
      <c r="D669" s="36">
        <v>300</v>
      </c>
      <c r="E669" s="17">
        <v>3.05</v>
      </c>
      <c r="F669" s="17">
        <f>D669*E669</f>
        <v>915</v>
      </c>
      <c r="G669" s="17">
        <v>0.3</v>
      </c>
      <c r="H669" s="17">
        <v>0.04</v>
      </c>
      <c r="I669" s="17"/>
      <c r="J669" s="17">
        <v>2.4900000000000002</v>
      </c>
      <c r="K669" s="17">
        <f>SUM(F669:J669)</f>
        <v>917.82999999999993</v>
      </c>
      <c r="L669" s="17"/>
      <c r="M669" s="17"/>
      <c r="N669" s="17"/>
      <c r="O669" s="17"/>
      <c r="P669" s="17"/>
      <c r="Q669" s="17">
        <f t="shared" si="168"/>
        <v>2452.4399999999996</v>
      </c>
      <c r="R669" s="2"/>
      <c r="S669" s="20"/>
    </row>
    <row r="670" spans="1:19" x14ac:dyDescent="0.25">
      <c r="A670" s="26">
        <v>43545</v>
      </c>
      <c r="B670" s="17"/>
      <c r="C670" s="7" t="s">
        <v>270</v>
      </c>
      <c r="D670" s="36">
        <v>10</v>
      </c>
      <c r="E670" s="17">
        <v>108.8</v>
      </c>
      <c r="F670" s="17">
        <f>D670*E670</f>
        <v>1088</v>
      </c>
      <c r="G670" s="17">
        <v>0.25</v>
      </c>
      <c r="H670" s="17">
        <v>0.04</v>
      </c>
      <c r="I670" s="17"/>
      <c r="J670" s="17">
        <v>0</v>
      </c>
      <c r="K670" s="17">
        <f>SUM(F670:J670)</f>
        <v>1088.29</v>
      </c>
      <c r="L670" s="17"/>
      <c r="M670" s="17"/>
      <c r="N670" s="17"/>
      <c r="O670" s="17"/>
      <c r="P670" s="17"/>
      <c r="Q670" s="17">
        <f t="shared" si="168"/>
        <v>1364.1499999999996</v>
      </c>
      <c r="R670" s="2"/>
      <c r="S670" s="20"/>
    </row>
    <row r="671" spans="1:19" x14ac:dyDescent="0.25">
      <c r="A671" s="26">
        <v>43549</v>
      </c>
      <c r="B671" s="17"/>
      <c r="C671" s="7" t="s">
        <v>270</v>
      </c>
      <c r="D671" s="36"/>
      <c r="E671" s="17"/>
      <c r="F671" s="17"/>
      <c r="G671" s="17"/>
      <c r="H671" s="17"/>
      <c r="I671" s="17"/>
      <c r="J671" s="17"/>
      <c r="K671" s="17"/>
      <c r="L671" s="17"/>
      <c r="M671" s="17"/>
      <c r="N671" s="17">
        <v>12.54</v>
      </c>
      <c r="O671" s="17"/>
      <c r="P671" s="17"/>
      <c r="Q671" s="17">
        <f t="shared" si="168"/>
        <v>1376.6899999999996</v>
      </c>
      <c r="R671" s="2"/>
      <c r="S671" s="20"/>
    </row>
    <row r="672" spans="1:19" x14ac:dyDescent="0.25">
      <c r="A672" s="26">
        <v>43549</v>
      </c>
      <c r="B672" s="17"/>
      <c r="C672" s="7" t="s">
        <v>222</v>
      </c>
      <c r="D672" s="36">
        <v>10</v>
      </c>
      <c r="E672" s="17">
        <v>91.47</v>
      </c>
      <c r="F672" s="17">
        <f t="shared" ref="F672" si="194">D672*E672</f>
        <v>914.7</v>
      </c>
      <c r="G672" s="17">
        <v>0.25</v>
      </c>
      <c r="H672" s="17">
        <v>0.03</v>
      </c>
      <c r="I672" s="17"/>
      <c r="J672" s="17">
        <v>0</v>
      </c>
      <c r="K672" s="17">
        <f t="shared" ref="K672" si="195">SUM(F672:J672)</f>
        <v>914.98</v>
      </c>
      <c r="L672" s="17"/>
      <c r="M672" s="17"/>
      <c r="N672" s="17"/>
      <c r="O672" s="17"/>
      <c r="P672" s="17"/>
      <c r="Q672" s="17">
        <f t="shared" si="168"/>
        <v>461.70999999999958</v>
      </c>
      <c r="R672" s="2"/>
      <c r="S672" s="20"/>
    </row>
    <row r="673" spans="1:19" x14ac:dyDescent="0.25">
      <c r="A673" s="26">
        <v>43550</v>
      </c>
      <c r="B673" s="17"/>
      <c r="C673" s="7" t="s">
        <v>219</v>
      </c>
      <c r="D673" s="36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>
        <v>225.6</v>
      </c>
      <c r="Q673" s="17">
        <f t="shared" ref="Q673:Q713" si="196">Q672+B673-K673-L673-M673+N673+O673+P673</f>
        <v>687.3099999999996</v>
      </c>
      <c r="R673" s="2"/>
      <c r="S673" s="20"/>
    </row>
    <row r="674" spans="1:19" x14ac:dyDescent="0.25">
      <c r="A674" s="26">
        <v>43553</v>
      </c>
      <c r="B674" s="17">
        <v>1500</v>
      </c>
      <c r="D674" s="36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>
        <f t="shared" si="196"/>
        <v>2187.3099999999995</v>
      </c>
      <c r="R674" s="2"/>
      <c r="S674" s="20"/>
    </row>
    <row r="675" spans="1:19" x14ac:dyDescent="0.25">
      <c r="A675" s="26">
        <v>43553</v>
      </c>
      <c r="B675" s="17"/>
      <c r="C675" s="7" t="s">
        <v>217</v>
      </c>
      <c r="D675" s="36">
        <v>10</v>
      </c>
      <c r="E675" s="17">
        <v>101.97</v>
      </c>
      <c r="F675" s="17">
        <f t="shared" ref="F675" si="197">D675*E675</f>
        <v>1019.7</v>
      </c>
      <c r="G675" s="17">
        <v>0.28000000000000003</v>
      </c>
      <c r="H675" s="17">
        <v>0.04</v>
      </c>
      <c r="I675" s="17"/>
      <c r="J675" s="17">
        <v>0</v>
      </c>
      <c r="K675" s="17">
        <f t="shared" ref="K675" si="198">SUM(F675:J675)</f>
        <v>1020.02</v>
      </c>
      <c r="L675" s="17"/>
      <c r="M675" s="17"/>
      <c r="N675" s="17"/>
      <c r="O675" s="17"/>
      <c r="P675" s="17"/>
      <c r="Q675" s="17">
        <f t="shared" si="196"/>
        <v>1167.2899999999995</v>
      </c>
      <c r="R675" s="2"/>
      <c r="S675" s="20"/>
    </row>
    <row r="676" spans="1:19" x14ac:dyDescent="0.25">
      <c r="A676" s="26">
        <v>43553</v>
      </c>
      <c r="B676" s="17"/>
      <c r="C676" s="7" t="s">
        <v>5</v>
      </c>
      <c r="D676" s="36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>
        <v>13.27</v>
      </c>
      <c r="Q676" s="17">
        <f t="shared" si="196"/>
        <v>1180.5599999999995</v>
      </c>
      <c r="R676" s="2"/>
      <c r="S676" s="20"/>
    </row>
    <row r="677" spans="1:19" x14ac:dyDescent="0.25">
      <c r="A677" s="26">
        <v>43553</v>
      </c>
      <c r="B677" s="17"/>
      <c r="C677" s="7" t="s">
        <v>180</v>
      </c>
      <c r="D677" s="36"/>
      <c r="E677" s="17"/>
      <c r="F677" s="17"/>
      <c r="G677" s="17"/>
      <c r="H677" s="17"/>
      <c r="I677" s="17"/>
      <c r="J677" s="17"/>
      <c r="K677" s="17"/>
      <c r="L677" s="17"/>
      <c r="M677" s="17"/>
      <c r="N677" s="17">
        <v>16.72</v>
      </c>
      <c r="O677" s="17"/>
      <c r="P677" s="17"/>
      <c r="Q677" s="17">
        <f t="shared" si="196"/>
        <v>1197.2799999999995</v>
      </c>
      <c r="R677" s="2"/>
      <c r="S677" s="20"/>
    </row>
    <row r="678" spans="1:19" x14ac:dyDescent="0.25">
      <c r="A678" s="26">
        <v>43556</v>
      </c>
      <c r="B678" s="17"/>
      <c r="C678" s="7" t="s">
        <v>270</v>
      </c>
      <c r="D678" s="36">
        <v>5</v>
      </c>
      <c r="E678" s="17">
        <v>107.4</v>
      </c>
      <c r="F678" s="17">
        <f t="shared" ref="F678" si="199">D678*E678</f>
        <v>537</v>
      </c>
      <c r="G678" s="17">
        <v>0.14000000000000001</v>
      </c>
      <c r="H678" s="17">
        <v>0.02</v>
      </c>
      <c r="I678" s="17"/>
      <c r="J678" s="17">
        <v>0</v>
      </c>
      <c r="K678" s="17">
        <f>SUM(F678:J678)</f>
        <v>537.16</v>
      </c>
      <c r="L678" s="17"/>
      <c r="M678" s="17"/>
      <c r="N678" s="17"/>
      <c r="O678" s="17"/>
      <c r="P678" s="17"/>
      <c r="Q678" s="17">
        <f t="shared" si="196"/>
        <v>660.11999999999955</v>
      </c>
      <c r="R678" s="2"/>
      <c r="S678" s="20"/>
    </row>
    <row r="679" spans="1:19" x14ac:dyDescent="0.25">
      <c r="A679" s="26">
        <v>43556</v>
      </c>
      <c r="B679" s="17"/>
      <c r="C679" s="7" t="s">
        <v>85</v>
      </c>
      <c r="D679" s="36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>
        <v>48.48</v>
      </c>
      <c r="P679" s="17"/>
      <c r="Q679" s="17">
        <f t="shared" si="196"/>
        <v>708.59999999999957</v>
      </c>
      <c r="R679" s="2"/>
      <c r="S679" s="20"/>
    </row>
    <row r="680" spans="1:19" x14ac:dyDescent="0.25">
      <c r="A680" s="26">
        <v>43557</v>
      </c>
      <c r="B680" s="17">
        <v>1000</v>
      </c>
      <c r="D680" s="36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>
        <f t="shared" si="196"/>
        <v>1708.5999999999995</v>
      </c>
      <c r="R680" s="2"/>
      <c r="S680" s="20"/>
    </row>
    <row r="681" spans="1:19" x14ac:dyDescent="0.25">
      <c r="A681" s="26">
        <v>43557</v>
      </c>
      <c r="B681" s="17"/>
      <c r="C681" s="7" t="s">
        <v>249</v>
      </c>
      <c r="D681" s="36">
        <v>700</v>
      </c>
      <c r="E681" s="17">
        <v>1.45</v>
      </c>
      <c r="F681" s="17">
        <f t="shared" ref="F681" si="200">D681*E681</f>
        <v>1015</v>
      </c>
      <c r="G681" s="17">
        <v>0.3</v>
      </c>
      <c r="H681" s="17">
        <v>0.03</v>
      </c>
      <c r="I681" s="17"/>
      <c r="J681" s="17">
        <v>2.4900000000000002</v>
      </c>
      <c r="K681" s="17">
        <f>SUM(F681:J681)</f>
        <v>1017.8199999999999</v>
      </c>
      <c r="L681" s="17"/>
      <c r="M681" s="17"/>
      <c r="N681" s="17"/>
      <c r="O681" s="17"/>
      <c r="P681" s="17"/>
      <c r="Q681" s="17">
        <f t="shared" si="196"/>
        <v>690.77999999999952</v>
      </c>
      <c r="R681" s="2"/>
      <c r="S681" s="20"/>
    </row>
    <row r="682" spans="1:19" x14ac:dyDescent="0.25">
      <c r="A682" s="26">
        <v>43557</v>
      </c>
      <c r="B682" s="17"/>
      <c r="C682" s="7" t="s">
        <v>173</v>
      </c>
      <c r="D682" s="36">
        <v>8</v>
      </c>
      <c r="E682" s="17">
        <v>84.03</v>
      </c>
      <c r="F682" s="17">
        <f t="shared" ref="F682" si="201">D682*E682</f>
        <v>672.24</v>
      </c>
      <c r="G682" s="17">
        <v>0.16</v>
      </c>
      <c r="H682" s="17">
        <v>0.03</v>
      </c>
      <c r="I682" s="17"/>
      <c r="J682" s="17">
        <v>0</v>
      </c>
      <c r="K682" s="17">
        <f>SUM(F682:J682)</f>
        <v>672.43</v>
      </c>
      <c r="L682" s="17"/>
      <c r="M682" s="17"/>
      <c r="N682" s="17"/>
      <c r="O682" s="17"/>
      <c r="P682" s="17"/>
      <c r="Q682" s="17">
        <f t="shared" si="196"/>
        <v>18.349999999999568</v>
      </c>
      <c r="R682" s="2"/>
      <c r="S682" s="20"/>
    </row>
    <row r="683" spans="1:19" x14ac:dyDescent="0.25">
      <c r="A683" s="26">
        <v>43560</v>
      </c>
      <c r="B683" s="17">
        <v>1500</v>
      </c>
      <c r="D683" s="36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>
        <f t="shared" si="196"/>
        <v>1518.3499999999995</v>
      </c>
      <c r="R683" s="2"/>
      <c r="S683" s="20"/>
    </row>
    <row r="684" spans="1:19" x14ac:dyDescent="0.25">
      <c r="A684" s="26">
        <v>43560</v>
      </c>
      <c r="B684" s="17"/>
      <c r="C684" s="7" t="s">
        <v>222</v>
      </c>
      <c r="D684" s="36"/>
      <c r="E684" s="17"/>
      <c r="F684" s="17"/>
      <c r="G684" s="17"/>
      <c r="H684" s="17"/>
      <c r="I684" s="17"/>
      <c r="J684" s="17"/>
      <c r="K684" s="17"/>
      <c r="L684" s="17"/>
      <c r="M684" s="17"/>
      <c r="N684" s="17">
        <v>42.6</v>
      </c>
      <c r="O684" s="17"/>
      <c r="P684" s="17"/>
      <c r="Q684" s="17">
        <f t="shared" si="196"/>
        <v>1560.9499999999994</v>
      </c>
      <c r="R684" s="2"/>
      <c r="S684" s="20"/>
    </row>
    <row r="685" spans="1:19" x14ac:dyDescent="0.25">
      <c r="A685" s="26">
        <v>43560</v>
      </c>
      <c r="B685" s="17"/>
      <c r="C685" s="7" t="s">
        <v>276</v>
      </c>
      <c r="D685" s="36"/>
      <c r="E685" s="17"/>
      <c r="F685" s="17"/>
      <c r="G685" s="17"/>
      <c r="H685" s="17"/>
      <c r="I685" s="17"/>
      <c r="J685" s="17"/>
      <c r="K685" s="17"/>
      <c r="L685" s="17"/>
      <c r="M685" s="17"/>
      <c r="N685" s="17">
        <v>7.7</v>
      </c>
      <c r="O685" s="17"/>
      <c r="P685" s="17"/>
      <c r="Q685" s="17">
        <f t="shared" si="196"/>
        <v>1568.6499999999994</v>
      </c>
      <c r="R685" s="2"/>
      <c r="S685" s="20"/>
    </row>
    <row r="686" spans="1:19" x14ac:dyDescent="0.25">
      <c r="A686" s="26">
        <v>43560</v>
      </c>
      <c r="B686" s="17"/>
      <c r="C686" s="7" t="s">
        <v>186</v>
      </c>
      <c r="D686" s="36"/>
      <c r="E686" s="17"/>
      <c r="F686" s="17"/>
      <c r="G686" s="17"/>
      <c r="H686" s="17"/>
      <c r="I686" s="17"/>
      <c r="J686" s="17"/>
      <c r="K686" s="17"/>
      <c r="L686" s="17"/>
      <c r="M686" s="17"/>
      <c r="N686" s="17">
        <v>51.85</v>
      </c>
      <c r="O686" s="17"/>
      <c r="P686" s="17"/>
      <c r="Q686" s="17">
        <f t="shared" si="196"/>
        <v>1620.4999999999993</v>
      </c>
      <c r="R686" s="2"/>
      <c r="S686" s="20"/>
    </row>
    <row r="687" spans="1:19" x14ac:dyDescent="0.25">
      <c r="A687" s="26">
        <v>43560</v>
      </c>
      <c r="B687" s="17"/>
      <c r="C687" s="7" t="s">
        <v>173</v>
      </c>
      <c r="D687" s="36">
        <v>10</v>
      </c>
      <c r="E687" s="17">
        <v>83.88</v>
      </c>
      <c r="F687" s="17">
        <f t="shared" ref="F687:F688" si="202">D687*E687</f>
        <v>838.8</v>
      </c>
      <c r="G687" s="17">
        <v>0.22</v>
      </c>
      <c r="H687" s="17">
        <v>0.03</v>
      </c>
      <c r="I687" s="17"/>
      <c r="J687" s="17">
        <v>0</v>
      </c>
      <c r="K687" s="17">
        <f>SUM(F687:J687)</f>
        <v>839.05</v>
      </c>
      <c r="L687" s="17"/>
      <c r="M687" s="17"/>
      <c r="N687" s="17"/>
      <c r="O687" s="17"/>
      <c r="P687" s="17"/>
      <c r="Q687" s="17">
        <f t="shared" si="196"/>
        <v>781.44999999999936</v>
      </c>
      <c r="R687" s="2"/>
      <c r="S687" s="20"/>
    </row>
    <row r="688" spans="1:19" x14ac:dyDescent="0.25">
      <c r="A688" s="26">
        <v>43560</v>
      </c>
      <c r="B688" s="17"/>
      <c r="C688" s="7" t="s">
        <v>234</v>
      </c>
      <c r="D688" s="36">
        <v>6</v>
      </c>
      <c r="E688" s="17">
        <v>128.4</v>
      </c>
      <c r="F688" s="17">
        <f t="shared" si="202"/>
        <v>770.40000000000009</v>
      </c>
      <c r="G688" s="17">
        <v>0.22</v>
      </c>
      <c r="H688" s="17">
        <v>0.03</v>
      </c>
      <c r="I688" s="17"/>
      <c r="J688" s="17">
        <v>0</v>
      </c>
      <c r="K688" s="17">
        <f>SUM(F688:J688)</f>
        <v>770.65000000000009</v>
      </c>
      <c r="L688" s="17"/>
      <c r="M688" s="17"/>
      <c r="N688" s="17"/>
      <c r="O688" s="17"/>
      <c r="P688" s="17"/>
      <c r="Q688" s="17">
        <f t="shared" si="196"/>
        <v>10.799999999999272</v>
      </c>
      <c r="R688" s="2"/>
      <c r="S688" s="20"/>
    </row>
    <row r="689" spans="1:19" x14ac:dyDescent="0.25">
      <c r="A689" s="26">
        <v>43563</v>
      </c>
      <c r="B689" s="17"/>
      <c r="C689" s="7" t="s">
        <v>234</v>
      </c>
      <c r="D689" s="36"/>
      <c r="E689" s="17"/>
      <c r="F689" s="17"/>
      <c r="G689" s="17"/>
      <c r="H689" s="17"/>
      <c r="I689" s="17"/>
      <c r="J689" s="17"/>
      <c r="K689" s="17"/>
      <c r="L689" s="17"/>
      <c r="M689" s="17"/>
      <c r="N689" s="17">
        <f>1.7+17.34+3.23</f>
        <v>22.27</v>
      </c>
      <c r="O689" s="17"/>
      <c r="P689" s="17"/>
      <c r="Q689" s="17">
        <f t="shared" si="196"/>
        <v>33.069999999999268</v>
      </c>
      <c r="R689" s="2"/>
      <c r="S689" s="20"/>
    </row>
    <row r="690" spans="1:19" x14ac:dyDescent="0.25">
      <c r="A690" s="26">
        <v>43563</v>
      </c>
      <c r="B690" s="17">
        <v>1500</v>
      </c>
      <c r="D690" s="36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>
        <f t="shared" si="196"/>
        <v>1533.0699999999993</v>
      </c>
      <c r="R690" s="2"/>
      <c r="S690" s="20"/>
    </row>
    <row r="691" spans="1:19" x14ac:dyDescent="0.25">
      <c r="A691" s="26">
        <v>43563</v>
      </c>
      <c r="B691" s="17"/>
      <c r="C691" s="7" t="s">
        <v>221</v>
      </c>
      <c r="D691" s="36">
        <v>100</v>
      </c>
      <c r="E691" s="17">
        <v>11.06</v>
      </c>
      <c r="F691" s="17">
        <f t="shared" ref="F691" si="203">D691*E691</f>
        <v>1106</v>
      </c>
      <c r="G691" s="17">
        <v>0.3</v>
      </c>
      <c r="H691" s="17">
        <v>0.04</v>
      </c>
      <c r="I691" s="17"/>
      <c r="J691" s="17">
        <v>0</v>
      </c>
      <c r="K691" s="17">
        <f>SUM(F691:J691)</f>
        <v>1106.3399999999999</v>
      </c>
      <c r="L691" s="17"/>
      <c r="M691" s="17"/>
      <c r="N691" s="17"/>
      <c r="O691" s="17"/>
      <c r="P691" s="17"/>
      <c r="Q691" s="17">
        <f t="shared" si="196"/>
        <v>426.72999999999934</v>
      </c>
      <c r="R691" s="2"/>
      <c r="S691" s="20"/>
    </row>
    <row r="692" spans="1:19" x14ac:dyDescent="0.25">
      <c r="A692" s="26">
        <v>43564</v>
      </c>
      <c r="B692" s="17"/>
      <c r="C692" s="7" t="s">
        <v>220</v>
      </c>
      <c r="D692" s="36">
        <v>10</v>
      </c>
      <c r="E692" s="17">
        <v>101</v>
      </c>
      <c r="F692" s="17">
        <f t="shared" ref="F692" si="204">D692*E692</f>
        <v>1010</v>
      </c>
      <c r="G692" s="17">
        <v>0</v>
      </c>
      <c r="H692" s="17">
        <v>0</v>
      </c>
      <c r="I692" s="17"/>
      <c r="J692" s="17">
        <v>0</v>
      </c>
      <c r="K692" s="17">
        <f>SUM(F692:J692)</f>
        <v>1010</v>
      </c>
      <c r="L692" s="17"/>
      <c r="M692" s="17"/>
      <c r="N692" s="17"/>
      <c r="O692" s="17"/>
      <c r="P692" s="17"/>
      <c r="Q692" s="17">
        <f t="shared" si="196"/>
        <v>-583.27000000000066</v>
      </c>
      <c r="R692" s="2" t="s">
        <v>351</v>
      </c>
      <c r="S692" s="20"/>
    </row>
    <row r="693" spans="1:19" x14ac:dyDescent="0.25">
      <c r="A693" s="26">
        <v>43565</v>
      </c>
      <c r="B693" s="17">
        <v>1000</v>
      </c>
      <c r="D693" s="36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>
        <f t="shared" si="196"/>
        <v>416.72999999999934</v>
      </c>
      <c r="R693" s="2"/>
      <c r="S693" s="20"/>
    </row>
    <row r="694" spans="1:19" x14ac:dyDescent="0.25">
      <c r="A694" s="26">
        <v>43567</v>
      </c>
      <c r="B694" s="17"/>
      <c r="C694" s="7" t="s">
        <v>173</v>
      </c>
      <c r="D694" s="36"/>
      <c r="E694" s="17"/>
      <c r="F694" s="17"/>
      <c r="G694" s="17"/>
      <c r="H694" s="17"/>
      <c r="I694" s="17"/>
      <c r="J694" s="17"/>
      <c r="K694" s="17"/>
      <c r="L694" s="17"/>
      <c r="M694" s="17"/>
      <c r="N694" s="17">
        <v>295.74</v>
      </c>
      <c r="O694" s="17"/>
      <c r="P694" s="17"/>
      <c r="Q694" s="17">
        <f t="shared" si="196"/>
        <v>712.46999999999935</v>
      </c>
      <c r="R694" s="2"/>
      <c r="S694" s="20"/>
    </row>
    <row r="695" spans="1:19" x14ac:dyDescent="0.25">
      <c r="A695" s="26">
        <v>43567</v>
      </c>
      <c r="B695" s="17"/>
      <c r="C695" s="7" t="s">
        <v>184</v>
      </c>
      <c r="D695" s="36"/>
      <c r="E695" s="17"/>
      <c r="F695" s="17"/>
      <c r="G695" s="17"/>
      <c r="H695" s="17"/>
      <c r="I695" s="17"/>
      <c r="J695" s="17"/>
      <c r="K695" s="17"/>
      <c r="L695" s="17"/>
      <c r="M695" s="17"/>
      <c r="N695" s="17">
        <v>108.33</v>
      </c>
      <c r="O695" s="17"/>
      <c r="P695" s="17"/>
      <c r="Q695" s="17">
        <f t="shared" si="196"/>
        <v>820.79999999999939</v>
      </c>
      <c r="R695" s="2"/>
      <c r="S695" s="20"/>
    </row>
    <row r="696" spans="1:19" x14ac:dyDescent="0.25">
      <c r="A696" s="26">
        <v>43567</v>
      </c>
      <c r="B696" s="17"/>
      <c r="C696" s="7" t="s">
        <v>267</v>
      </c>
      <c r="D696" s="36"/>
      <c r="E696" s="17"/>
      <c r="F696" s="17"/>
      <c r="G696" s="17"/>
      <c r="H696" s="17"/>
      <c r="I696" s="17"/>
      <c r="J696" s="17"/>
      <c r="K696" s="17"/>
      <c r="L696" s="17"/>
      <c r="M696" s="17"/>
      <c r="N696" s="17">
        <v>20.399999999999999</v>
      </c>
      <c r="O696" s="17"/>
      <c r="P696" s="17"/>
      <c r="Q696" s="17">
        <f t="shared" si="196"/>
        <v>841.19999999999936</v>
      </c>
      <c r="R696" s="2"/>
      <c r="S696" s="20"/>
    </row>
    <row r="697" spans="1:19" x14ac:dyDescent="0.25">
      <c r="A697" s="26">
        <v>43567</v>
      </c>
      <c r="B697" s="17"/>
      <c r="C697" s="7" t="s">
        <v>183</v>
      </c>
      <c r="D697" s="36"/>
      <c r="E697" s="17"/>
      <c r="F697" s="17"/>
      <c r="G697" s="17"/>
      <c r="H697" s="17"/>
      <c r="I697" s="17"/>
      <c r="J697" s="17"/>
      <c r="K697" s="17"/>
      <c r="L697" s="17"/>
      <c r="M697" s="17"/>
      <c r="N697" s="17">
        <v>11.37</v>
      </c>
      <c r="O697" s="17"/>
      <c r="P697" s="17"/>
      <c r="Q697" s="17">
        <f t="shared" si="196"/>
        <v>852.56999999999937</v>
      </c>
      <c r="R697" s="2"/>
      <c r="S697" s="20"/>
    </row>
    <row r="698" spans="1:19" x14ac:dyDescent="0.25">
      <c r="A698" s="26">
        <v>43567</v>
      </c>
      <c r="B698" s="17"/>
      <c r="C698" s="7" t="s">
        <v>181</v>
      </c>
      <c r="D698" s="36"/>
      <c r="E698" s="17"/>
      <c r="F698" s="17"/>
      <c r="G698" s="17"/>
      <c r="H698" s="17"/>
      <c r="I698" s="17"/>
      <c r="J698" s="17"/>
      <c r="K698" s="17"/>
      <c r="L698" s="17"/>
      <c r="M698" s="17"/>
      <c r="N698" s="17">
        <v>51.2</v>
      </c>
      <c r="O698" s="17"/>
      <c r="P698" s="17"/>
      <c r="Q698" s="17">
        <f t="shared" si="196"/>
        <v>903.76999999999941</v>
      </c>
      <c r="R698" s="2"/>
      <c r="S698" s="20"/>
    </row>
    <row r="699" spans="1:19" x14ac:dyDescent="0.25">
      <c r="A699" s="26">
        <v>43567</v>
      </c>
      <c r="B699" s="17"/>
      <c r="C699" s="7" t="s">
        <v>169</v>
      </c>
      <c r="D699" s="36"/>
      <c r="E699" s="17"/>
      <c r="F699" s="17"/>
      <c r="G699" s="17"/>
      <c r="H699" s="17"/>
      <c r="I699" s="17"/>
      <c r="J699" s="17"/>
      <c r="K699" s="17"/>
      <c r="L699" s="17"/>
      <c r="M699" s="17"/>
      <c r="N699" s="17">
        <v>78.540000000000006</v>
      </c>
      <c r="O699" s="17"/>
      <c r="P699" s="17"/>
      <c r="Q699" s="17">
        <f t="shared" si="196"/>
        <v>982.30999999999938</v>
      </c>
      <c r="R699" s="2"/>
      <c r="S699" s="20"/>
    </row>
    <row r="700" spans="1:19" x14ac:dyDescent="0.25">
      <c r="A700" s="26">
        <v>43567</v>
      </c>
      <c r="B700" s="17"/>
      <c r="C700" s="7" t="s">
        <v>217</v>
      </c>
      <c r="D700" s="36"/>
      <c r="E700" s="17"/>
      <c r="F700" s="17"/>
      <c r="G700" s="17"/>
      <c r="H700" s="17"/>
      <c r="I700" s="17"/>
      <c r="J700" s="17"/>
      <c r="K700" s="17"/>
      <c r="L700" s="17"/>
      <c r="M700" s="17"/>
      <c r="N700" s="17">
        <v>68</v>
      </c>
      <c r="O700" s="17"/>
      <c r="P700" s="17"/>
      <c r="Q700" s="17">
        <f t="shared" si="196"/>
        <v>1050.3099999999995</v>
      </c>
      <c r="R700" s="2"/>
      <c r="S700" s="20"/>
    </row>
    <row r="701" spans="1:19" x14ac:dyDescent="0.25">
      <c r="A701" s="26">
        <v>43567</v>
      </c>
      <c r="B701" s="17"/>
      <c r="C701" s="7" t="s">
        <v>221</v>
      </c>
      <c r="D701" s="36">
        <v>45</v>
      </c>
      <c r="E701" s="17">
        <v>10.9</v>
      </c>
      <c r="F701" s="17">
        <f t="shared" ref="F701" si="205">D701*E701</f>
        <v>490.5</v>
      </c>
      <c r="G701" s="17">
        <v>0.13</v>
      </c>
      <c r="H701" s="17">
        <v>0.02</v>
      </c>
      <c r="I701" s="17"/>
      <c r="J701" s="17">
        <v>0</v>
      </c>
      <c r="K701" s="17">
        <f>SUM(F701:J701)</f>
        <v>490.65</v>
      </c>
      <c r="L701" s="17"/>
      <c r="M701" s="17"/>
      <c r="N701" s="17"/>
      <c r="O701" s="17"/>
      <c r="P701" s="17"/>
      <c r="Q701" s="17">
        <f t="shared" si="196"/>
        <v>559.65999999999951</v>
      </c>
      <c r="R701" s="2"/>
      <c r="S701" s="20"/>
    </row>
    <row r="702" spans="1:19" x14ac:dyDescent="0.25">
      <c r="A702" s="26">
        <v>43567</v>
      </c>
      <c r="B702" s="17"/>
      <c r="C702" s="7" t="s">
        <v>169</v>
      </c>
      <c r="D702" s="36">
        <v>5</v>
      </c>
      <c r="E702" s="17">
        <v>108.06</v>
      </c>
      <c r="F702" s="17">
        <f t="shared" ref="F702" si="206">D702*E702</f>
        <v>540.29999999999995</v>
      </c>
      <c r="G702" s="17">
        <v>0.15</v>
      </c>
      <c r="H702" s="17">
        <v>0.03</v>
      </c>
      <c r="I702" s="17"/>
      <c r="J702" s="17">
        <v>0</v>
      </c>
      <c r="K702" s="17">
        <f>SUM(F702:J702)</f>
        <v>540.4799999999999</v>
      </c>
      <c r="L702" s="17"/>
      <c r="M702" s="17"/>
      <c r="N702" s="17"/>
      <c r="O702" s="17"/>
      <c r="P702" s="17"/>
      <c r="Q702" s="17">
        <f t="shared" si="196"/>
        <v>19.179999999999609</v>
      </c>
      <c r="R702" s="2"/>
      <c r="S702" s="20"/>
    </row>
    <row r="703" spans="1:19" x14ac:dyDescent="0.25">
      <c r="A703" s="26">
        <v>43570</v>
      </c>
      <c r="B703" s="17"/>
      <c r="C703" s="7" t="s">
        <v>221</v>
      </c>
      <c r="D703" s="36"/>
      <c r="E703" s="17"/>
      <c r="F703" s="17"/>
      <c r="G703" s="17"/>
      <c r="H703" s="17"/>
      <c r="I703" s="17"/>
      <c r="J703" s="17"/>
      <c r="K703" s="17"/>
      <c r="L703" s="17"/>
      <c r="M703" s="17"/>
      <c r="N703" s="17">
        <v>35</v>
      </c>
      <c r="O703" s="17"/>
      <c r="P703" s="17"/>
      <c r="Q703" s="17">
        <f t="shared" si="196"/>
        <v>54.179999999999609</v>
      </c>
      <c r="R703" s="2"/>
      <c r="S703" s="20"/>
    </row>
    <row r="704" spans="1:19" x14ac:dyDescent="0.25">
      <c r="A704" s="26">
        <v>43571</v>
      </c>
      <c r="B704" s="17"/>
      <c r="C704" s="7" t="s">
        <v>220</v>
      </c>
      <c r="D704" s="36"/>
      <c r="E704" s="17"/>
      <c r="F704" s="17"/>
      <c r="G704" s="17"/>
      <c r="H704" s="17"/>
      <c r="I704" s="17"/>
      <c r="J704" s="17"/>
      <c r="K704" s="17"/>
      <c r="L704" s="17"/>
      <c r="M704" s="17"/>
      <c r="N704" s="17">
        <v>19.5</v>
      </c>
      <c r="O704" s="17"/>
      <c r="P704" s="17"/>
      <c r="Q704" s="17">
        <f t="shared" si="196"/>
        <v>73.679999999999609</v>
      </c>
      <c r="R704" s="2"/>
      <c r="S704" s="20"/>
    </row>
    <row r="705" spans="1:19" x14ac:dyDescent="0.25">
      <c r="A705" s="26">
        <v>43579</v>
      </c>
      <c r="B705" s="17"/>
      <c r="C705" s="7" t="s">
        <v>96</v>
      </c>
      <c r="D705" s="36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>
        <v>60.48</v>
      </c>
      <c r="Q705" s="17">
        <f t="shared" si="196"/>
        <v>134.1599999999996</v>
      </c>
      <c r="R705" s="2"/>
      <c r="S705" s="20"/>
    </row>
    <row r="706" spans="1:19" x14ac:dyDescent="0.25">
      <c r="A706" s="26">
        <v>43580</v>
      </c>
      <c r="B706" s="17"/>
      <c r="C706" s="7" t="s">
        <v>270</v>
      </c>
      <c r="D706" s="36"/>
      <c r="E706" s="17"/>
      <c r="F706" s="17"/>
      <c r="G706" s="17"/>
      <c r="H706" s="17"/>
      <c r="I706" s="17"/>
      <c r="J706" s="17"/>
      <c r="K706" s="17"/>
      <c r="L706" s="17"/>
      <c r="M706" s="17"/>
      <c r="N706" s="17">
        <v>28.08</v>
      </c>
      <c r="O706" s="17"/>
      <c r="P706" s="17"/>
      <c r="Q706" s="17">
        <f t="shared" si="196"/>
        <v>162.23999999999961</v>
      </c>
      <c r="R706" s="2"/>
      <c r="S706" s="20"/>
    </row>
    <row r="707" spans="1:19" x14ac:dyDescent="0.25">
      <c r="A707" s="26">
        <v>43580</v>
      </c>
      <c r="B707" s="17">
        <v>1000</v>
      </c>
      <c r="D707" s="36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>
        <f t="shared" si="196"/>
        <v>1162.2399999999996</v>
      </c>
      <c r="R707" s="2"/>
      <c r="S707" s="20"/>
    </row>
    <row r="708" spans="1:19" x14ac:dyDescent="0.25">
      <c r="A708" s="26">
        <v>43580</v>
      </c>
      <c r="B708" s="17"/>
      <c r="C708" s="7" t="s">
        <v>222</v>
      </c>
      <c r="D708" s="36">
        <v>9</v>
      </c>
      <c r="E708" s="17">
        <v>91.85</v>
      </c>
      <c r="F708" s="17">
        <f t="shared" ref="F708" si="207">D708*E708</f>
        <v>826.65</v>
      </c>
      <c r="G708" s="17">
        <v>0.22</v>
      </c>
      <c r="H708" s="17">
        <v>0.03</v>
      </c>
      <c r="I708" s="17"/>
      <c r="J708" s="17">
        <v>0</v>
      </c>
      <c r="K708" s="17">
        <f>SUM(F708:J708)</f>
        <v>826.9</v>
      </c>
      <c r="L708" s="17"/>
      <c r="M708" s="17"/>
      <c r="N708" s="17"/>
      <c r="O708" s="17"/>
      <c r="P708" s="17"/>
      <c r="Q708" s="17">
        <f t="shared" si="196"/>
        <v>335.33999999999958</v>
      </c>
      <c r="R708" s="2"/>
      <c r="S708" s="20"/>
    </row>
    <row r="709" spans="1:19" x14ac:dyDescent="0.25">
      <c r="A709" s="26">
        <v>43584</v>
      </c>
      <c r="B709" s="17">
        <v>1000</v>
      </c>
      <c r="D709" s="36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>
        <f t="shared" si="196"/>
        <v>1335.3399999999997</v>
      </c>
      <c r="R709" s="2"/>
      <c r="S709" s="20"/>
    </row>
    <row r="710" spans="1:19" x14ac:dyDescent="0.25">
      <c r="A710" s="26">
        <v>43584</v>
      </c>
      <c r="B710" s="17"/>
      <c r="C710" s="7" t="s">
        <v>222</v>
      </c>
      <c r="D710" s="36">
        <v>10</v>
      </c>
      <c r="E710" s="17">
        <v>92.75</v>
      </c>
      <c r="F710" s="17">
        <f t="shared" ref="F710" si="208">D710*E710</f>
        <v>927.5</v>
      </c>
      <c r="G710" s="17">
        <v>0.25</v>
      </c>
      <c r="H710" s="17">
        <v>0.03</v>
      </c>
      <c r="I710" s="17"/>
      <c r="J710" s="17">
        <v>0</v>
      </c>
      <c r="K710" s="17">
        <f>SUM(F710:J710)</f>
        <v>927.78</v>
      </c>
      <c r="L710" s="17"/>
      <c r="M710" s="17"/>
      <c r="N710" s="17"/>
      <c r="O710" s="17"/>
      <c r="P710" s="17"/>
      <c r="Q710" s="17">
        <f t="shared" si="196"/>
        <v>407.55999999999972</v>
      </c>
      <c r="R710" s="2"/>
      <c r="S710" s="20"/>
    </row>
    <row r="711" spans="1:19" x14ac:dyDescent="0.25">
      <c r="A711" s="26">
        <v>43585</v>
      </c>
      <c r="B711" s="17"/>
      <c r="C711" s="7" t="s">
        <v>240</v>
      </c>
      <c r="D711" s="36"/>
      <c r="E711" s="17"/>
      <c r="F711" s="17"/>
      <c r="G711" s="17"/>
      <c r="H711" s="17"/>
      <c r="I711" s="17"/>
      <c r="J711" s="17"/>
      <c r="K711" s="17">
        <v>394.61</v>
      </c>
      <c r="L711" s="17"/>
      <c r="M711" s="17"/>
      <c r="N711" s="17"/>
      <c r="O711" s="17"/>
      <c r="P711" s="17"/>
      <c r="Q711" s="17">
        <f t="shared" si="196"/>
        <v>12.949999999999704</v>
      </c>
      <c r="R711" s="2"/>
      <c r="S711" s="20"/>
    </row>
    <row r="712" spans="1:19" x14ac:dyDescent="0.25">
      <c r="A712" s="26">
        <v>43585</v>
      </c>
      <c r="B712" s="17"/>
      <c r="C712" s="7" t="s">
        <v>180</v>
      </c>
      <c r="D712" s="36"/>
      <c r="E712" s="17"/>
      <c r="F712" s="17"/>
      <c r="G712" s="17"/>
      <c r="H712" s="17"/>
      <c r="I712" s="17"/>
      <c r="J712" s="17"/>
      <c r="K712" s="17"/>
      <c r="L712" s="17"/>
      <c r="M712" s="17"/>
      <c r="N712" s="17">
        <v>18.2</v>
      </c>
      <c r="O712" s="17"/>
      <c r="P712" s="17"/>
      <c r="Q712" s="17">
        <f t="shared" si="196"/>
        <v>31.149999999999704</v>
      </c>
      <c r="R712" s="2"/>
      <c r="S712" s="20"/>
    </row>
    <row r="713" spans="1:19" x14ac:dyDescent="0.25">
      <c r="A713" s="26">
        <v>43587</v>
      </c>
      <c r="B713" s="17">
        <v>1000</v>
      </c>
      <c r="D713" s="36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>
        <f t="shared" si="196"/>
        <v>1031.1499999999996</v>
      </c>
      <c r="R713" s="2"/>
      <c r="S713" s="20"/>
    </row>
    <row r="714" spans="1:19" x14ac:dyDescent="0.25">
      <c r="A714" s="26">
        <v>43587</v>
      </c>
      <c r="B714" s="17"/>
      <c r="C714" s="7" t="s">
        <v>169</v>
      </c>
      <c r="D714" s="36">
        <v>5</v>
      </c>
      <c r="E714" s="17">
        <v>102.87</v>
      </c>
      <c r="F714" s="17">
        <f t="shared" ref="F714" si="209">D714*E714</f>
        <v>514.35</v>
      </c>
      <c r="G714" s="17">
        <v>0.14000000000000001</v>
      </c>
      <c r="H714" s="17">
        <v>0.02</v>
      </c>
      <c r="I714" s="17"/>
      <c r="J714" s="17">
        <v>0</v>
      </c>
      <c r="K714" s="17">
        <f>SUM(F714:J714)</f>
        <v>514.51</v>
      </c>
      <c r="L714" s="17"/>
      <c r="M714" s="17"/>
      <c r="N714" s="17"/>
      <c r="O714" s="17"/>
      <c r="P714" s="17"/>
      <c r="Q714" s="17">
        <f>Q713+B714-K714-L714-M714+N714+O714+P714</f>
        <v>516.63999999999965</v>
      </c>
      <c r="R714" s="2"/>
      <c r="S714" s="20"/>
    </row>
    <row r="715" spans="1:19" x14ac:dyDescent="0.25">
      <c r="A715" s="26">
        <v>43591</v>
      </c>
      <c r="B715" s="17">
        <v>-300</v>
      </c>
      <c r="D715" s="36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>
        <f t="shared" ref="Q715" si="210">Q714+B715-K715-L715-M715+N715+O715+P715</f>
        <v>216.63999999999965</v>
      </c>
      <c r="R715" s="2"/>
      <c r="S715" s="20"/>
    </row>
    <row r="716" spans="1:19" x14ac:dyDescent="0.25">
      <c r="A716" s="26">
        <v>43593</v>
      </c>
      <c r="B716" s="17">
        <v>2300</v>
      </c>
      <c r="D716" s="36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>
        <f>Q715+B716-K716-L716-M716+N716+O716+P716</f>
        <v>2516.6399999999994</v>
      </c>
      <c r="R716" s="2"/>
      <c r="S716" s="20"/>
    </row>
    <row r="717" spans="1:19" x14ac:dyDescent="0.25">
      <c r="A717" s="26">
        <v>43593</v>
      </c>
      <c r="B717" s="17"/>
      <c r="C717" s="7" t="s">
        <v>173</v>
      </c>
      <c r="D717" s="36">
        <v>2</v>
      </c>
      <c r="E717" s="17">
        <v>85.4</v>
      </c>
      <c r="F717" s="17">
        <f t="shared" ref="F717" si="211">D717*E717</f>
        <v>170.8</v>
      </c>
      <c r="G717" s="17">
        <v>0</v>
      </c>
      <c r="H717" s="17">
        <v>0.04</v>
      </c>
      <c r="I717" s="17"/>
      <c r="J717" s="17">
        <v>0</v>
      </c>
      <c r="K717" s="17">
        <f>SUM(F717:J717)</f>
        <v>170.84</v>
      </c>
      <c r="L717" s="17"/>
      <c r="M717" s="17"/>
      <c r="N717" s="17"/>
      <c r="O717" s="17"/>
      <c r="P717" s="17"/>
      <c r="Q717" s="17">
        <f t="shared" ref="Q717:Q757" si="212">Q716+B717-K717-L717-M717+N717+O717+P717</f>
        <v>2345.7999999999993</v>
      </c>
      <c r="R717" s="2"/>
      <c r="S717" s="20"/>
    </row>
    <row r="718" spans="1:19" x14ac:dyDescent="0.25">
      <c r="A718" s="26">
        <v>43593</v>
      </c>
      <c r="B718" s="17"/>
      <c r="C718" s="7" t="s">
        <v>222</v>
      </c>
      <c r="D718" s="36"/>
      <c r="E718" s="17"/>
      <c r="F718" s="17"/>
      <c r="G718" s="17"/>
      <c r="H718" s="17"/>
      <c r="I718" s="17"/>
      <c r="J718" s="17"/>
      <c r="K718" s="17"/>
      <c r="L718" s="17"/>
      <c r="M718" s="17"/>
      <c r="N718" s="17">
        <v>58.5</v>
      </c>
      <c r="O718" s="17"/>
      <c r="P718" s="17"/>
      <c r="Q718" s="17">
        <f t="shared" si="212"/>
        <v>2404.2999999999993</v>
      </c>
      <c r="R718" s="2"/>
      <c r="S718" s="20"/>
    </row>
    <row r="719" spans="1:19" x14ac:dyDescent="0.25">
      <c r="A719" s="26">
        <v>43593</v>
      </c>
      <c r="B719" s="17"/>
      <c r="C719" s="7" t="s">
        <v>276</v>
      </c>
      <c r="D719" s="36"/>
      <c r="E719" s="17"/>
      <c r="F719" s="17"/>
      <c r="G719" s="17"/>
      <c r="H719" s="17"/>
      <c r="I719" s="17"/>
      <c r="J719" s="17"/>
      <c r="K719" s="17"/>
      <c r="L719" s="17"/>
      <c r="M719" s="17"/>
      <c r="N719" s="17">
        <v>10.69</v>
      </c>
      <c r="O719" s="17"/>
      <c r="P719" s="17"/>
      <c r="Q719" s="17">
        <f t="shared" si="212"/>
        <v>2414.9899999999993</v>
      </c>
      <c r="R719" s="2"/>
      <c r="S719" s="20"/>
    </row>
    <row r="720" spans="1:19" x14ac:dyDescent="0.25">
      <c r="A720" s="26">
        <v>43593</v>
      </c>
      <c r="B720" s="17"/>
      <c r="C720" s="7" t="s">
        <v>186</v>
      </c>
      <c r="D720" s="36"/>
      <c r="E720" s="17"/>
      <c r="F720" s="17"/>
      <c r="G720" s="17"/>
      <c r="H720" s="17"/>
      <c r="I720" s="17"/>
      <c r="J720" s="17"/>
      <c r="K720" s="17"/>
      <c r="L720" s="17"/>
      <c r="M720" s="17"/>
      <c r="N720" s="17">
        <v>51.85</v>
      </c>
      <c r="O720" s="17"/>
      <c r="P720" s="17"/>
      <c r="Q720" s="17">
        <f t="shared" si="212"/>
        <v>2466.8399999999992</v>
      </c>
      <c r="R720" s="2"/>
      <c r="S720" s="20"/>
    </row>
    <row r="721" spans="1:19" x14ac:dyDescent="0.25">
      <c r="A721" s="26">
        <v>43594</v>
      </c>
      <c r="B721" s="17"/>
      <c r="C721" s="7" t="s">
        <v>234</v>
      </c>
      <c r="D721" s="36"/>
      <c r="E721" s="17"/>
      <c r="F721" s="17"/>
      <c r="G721" s="17"/>
      <c r="H721" s="17"/>
      <c r="I721" s="17"/>
      <c r="J721" s="17"/>
      <c r="K721" s="17"/>
      <c r="L721" s="17"/>
      <c r="M721" s="17"/>
      <c r="N721" s="17">
        <v>26.8</v>
      </c>
      <c r="O721" s="17"/>
      <c r="P721" s="17"/>
      <c r="Q721" s="17">
        <f t="shared" si="212"/>
        <v>2493.6399999999994</v>
      </c>
      <c r="R721" s="2"/>
      <c r="S721" s="20"/>
    </row>
    <row r="722" spans="1:19" x14ac:dyDescent="0.25">
      <c r="A722" s="26">
        <v>43594</v>
      </c>
      <c r="B722" s="17"/>
      <c r="C722" s="7" t="s">
        <v>222</v>
      </c>
      <c r="D722" s="36">
        <v>10</v>
      </c>
      <c r="E722" s="17">
        <v>91.94</v>
      </c>
      <c r="F722" s="17">
        <f t="shared" ref="F722:F723" si="213">D722*E722</f>
        <v>919.4</v>
      </c>
      <c r="G722" s="17">
        <v>0.25</v>
      </c>
      <c r="H722" s="17">
        <v>0.04</v>
      </c>
      <c r="I722" s="17"/>
      <c r="J722" s="17">
        <v>0</v>
      </c>
      <c r="K722" s="17">
        <f>SUM(F722:J722)</f>
        <v>919.68999999999994</v>
      </c>
      <c r="L722" s="17"/>
      <c r="M722" s="17"/>
      <c r="N722" s="17"/>
      <c r="O722" s="17"/>
      <c r="P722" s="17"/>
      <c r="Q722" s="17">
        <f t="shared" si="212"/>
        <v>1573.9499999999994</v>
      </c>
      <c r="R722" s="2"/>
      <c r="S722" s="20"/>
    </row>
    <row r="723" spans="1:19" x14ac:dyDescent="0.25">
      <c r="A723" s="26">
        <v>43598</v>
      </c>
      <c r="B723" s="17"/>
      <c r="C723" s="7" t="s">
        <v>270</v>
      </c>
      <c r="D723" s="36">
        <v>10</v>
      </c>
      <c r="E723" s="17">
        <v>106.59</v>
      </c>
      <c r="F723" s="17">
        <f t="shared" si="213"/>
        <v>1065.9000000000001</v>
      </c>
      <c r="G723" s="17">
        <v>0.28999999999999998</v>
      </c>
      <c r="H723" s="17">
        <v>0.04</v>
      </c>
      <c r="I723" s="17"/>
      <c r="J723" s="17">
        <v>0</v>
      </c>
      <c r="K723" s="17">
        <f>SUM(F723:J723)</f>
        <v>1066.23</v>
      </c>
      <c r="L723" s="17"/>
      <c r="M723" s="17"/>
      <c r="N723" s="17"/>
      <c r="O723" s="17"/>
      <c r="P723" s="17"/>
      <c r="Q723" s="17">
        <f t="shared" si="212"/>
        <v>507.71999999999935</v>
      </c>
      <c r="R723" s="2"/>
      <c r="S723" s="20"/>
    </row>
    <row r="724" spans="1:19" x14ac:dyDescent="0.25">
      <c r="A724" s="26">
        <v>43598</v>
      </c>
      <c r="B724" s="17">
        <v>1500</v>
      </c>
      <c r="D724" s="36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>
        <f t="shared" si="212"/>
        <v>2007.7199999999993</v>
      </c>
      <c r="R724" s="2"/>
      <c r="S724" s="20"/>
    </row>
    <row r="725" spans="1:19" x14ac:dyDescent="0.25">
      <c r="A725" s="26">
        <v>43599</v>
      </c>
      <c r="B725" s="17"/>
      <c r="C725" s="7" t="s">
        <v>170</v>
      </c>
      <c r="D725" s="36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>
        <v>103.71</v>
      </c>
      <c r="P725" s="17"/>
      <c r="Q725" s="17">
        <f t="shared" si="212"/>
        <v>2111.4299999999994</v>
      </c>
      <c r="R725" s="2"/>
      <c r="S725" s="20"/>
    </row>
    <row r="726" spans="1:19" x14ac:dyDescent="0.25">
      <c r="A726" s="26">
        <v>43600</v>
      </c>
      <c r="B726" s="17"/>
      <c r="C726" s="7" t="s">
        <v>353</v>
      </c>
      <c r="D726" s="36">
        <v>15</v>
      </c>
      <c r="E726" s="17">
        <v>96.13</v>
      </c>
      <c r="F726" s="17">
        <f t="shared" ref="F726" si="214">D726*E726</f>
        <v>1441.9499999999998</v>
      </c>
      <c r="G726" s="17">
        <v>0</v>
      </c>
      <c r="H726" s="17">
        <v>0</v>
      </c>
      <c r="I726" s="17"/>
      <c r="J726" s="17">
        <v>0</v>
      </c>
      <c r="K726" s="17">
        <f>SUM(F726:J726)</f>
        <v>1441.9499999999998</v>
      </c>
      <c r="L726" s="17"/>
      <c r="M726" s="17"/>
      <c r="N726" s="17"/>
      <c r="O726" s="17"/>
      <c r="P726" s="17"/>
      <c r="Q726" s="17">
        <f t="shared" si="212"/>
        <v>669.47999999999956</v>
      </c>
      <c r="R726" s="118" t="s">
        <v>351</v>
      </c>
      <c r="S726" s="20"/>
    </row>
    <row r="727" spans="1:19" x14ac:dyDescent="0.25">
      <c r="A727" s="26">
        <v>43600</v>
      </c>
      <c r="B727" s="17"/>
      <c r="C727" s="7" t="s">
        <v>173</v>
      </c>
      <c r="D727" s="36"/>
      <c r="E727" s="17"/>
      <c r="F727" s="17"/>
      <c r="G727" s="17"/>
      <c r="H727" s="17"/>
      <c r="I727" s="17"/>
      <c r="J727" s="17"/>
      <c r="K727" s="17"/>
      <c r="L727" s="17"/>
      <c r="M727" s="17"/>
      <c r="N727" s="17">
        <v>296.8</v>
      </c>
      <c r="O727" s="17"/>
      <c r="P727" s="17"/>
      <c r="Q727" s="17">
        <f t="shared" si="212"/>
        <v>966.27999999999952</v>
      </c>
      <c r="R727" s="2"/>
      <c r="S727" s="20"/>
    </row>
    <row r="728" spans="1:19" x14ac:dyDescent="0.25">
      <c r="A728" s="26">
        <v>43600</v>
      </c>
      <c r="B728" s="17"/>
      <c r="C728" s="7" t="s">
        <v>184</v>
      </c>
      <c r="D728" s="36"/>
      <c r="E728" s="17"/>
      <c r="F728" s="17"/>
      <c r="G728" s="17"/>
      <c r="H728" s="17"/>
      <c r="I728" s="17"/>
      <c r="J728" s="17"/>
      <c r="K728" s="17"/>
      <c r="L728" s="17"/>
      <c r="M728" s="17"/>
      <c r="N728" s="17">
        <v>71.67</v>
      </c>
      <c r="O728" s="17"/>
      <c r="P728" s="17"/>
      <c r="Q728" s="17">
        <f t="shared" si="212"/>
        <v>1037.9499999999996</v>
      </c>
      <c r="R728" s="2"/>
      <c r="S728" s="20"/>
    </row>
    <row r="729" spans="1:19" x14ac:dyDescent="0.25">
      <c r="A729" s="26">
        <v>43600</v>
      </c>
      <c r="B729" s="17"/>
      <c r="C729" s="7" t="s">
        <v>267</v>
      </c>
      <c r="D729" s="36"/>
      <c r="E729" s="17"/>
      <c r="F729" s="17"/>
      <c r="G729" s="17"/>
      <c r="H729" s="17"/>
      <c r="I729" s="17"/>
      <c r="J729" s="17"/>
      <c r="K729" s="17"/>
      <c r="L729" s="17"/>
      <c r="M729" s="17"/>
      <c r="N729" s="17">
        <v>20.399999999999999</v>
      </c>
      <c r="O729" s="17"/>
      <c r="P729" s="17"/>
      <c r="Q729" s="17">
        <f t="shared" si="212"/>
        <v>1058.3499999999997</v>
      </c>
      <c r="R729" s="2"/>
      <c r="S729" s="20"/>
    </row>
    <row r="730" spans="1:19" x14ac:dyDescent="0.25">
      <c r="A730" s="26">
        <v>43600</v>
      </c>
      <c r="B730" s="17"/>
      <c r="C730" s="7" t="s">
        <v>221</v>
      </c>
      <c r="D730" s="36"/>
      <c r="E730" s="17"/>
      <c r="F730" s="17"/>
      <c r="G730" s="17"/>
      <c r="H730" s="17"/>
      <c r="I730" s="17"/>
      <c r="J730" s="17"/>
      <c r="K730" s="17"/>
      <c r="L730" s="17"/>
      <c r="M730" s="17"/>
      <c r="N730" s="17">
        <v>45.15</v>
      </c>
      <c r="O730" s="17"/>
      <c r="P730" s="17"/>
      <c r="Q730" s="17">
        <f t="shared" si="212"/>
        <v>1103.4999999999998</v>
      </c>
      <c r="R730" s="2"/>
      <c r="S730" s="20"/>
    </row>
    <row r="731" spans="1:19" x14ac:dyDescent="0.25">
      <c r="A731" s="26">
        <v>43600</v>
      </c>
      <c r="B731" s="17"/>
      <c r="C731" s="7" t="s">
        <v>181</v>
      </c>
      <c r="D731" s="36"/>
      <c r="E731" s="17"/>
      <c r="F731" s="17"/>
      <c r="G731" s="17"/>
      <c r="H731" s="17"/>
      <c r="I731" s="17"/>
      <c r="J731" s="17"/>
      <c r="K731" s="17"/>
      <c r="L731" s="17"/>
      <c r="M731" s="17"/>
      <c r="N731" s="17">
        <v>51.2</v>
      </c>
      <c r="O731" s="17"/>
      <c r="P731" s="17"/>
      <c r="Q731" s="17">
        <f t="shared" si="212"/>
        <v>1154.6999999999998</v>
      </c>
      <c r="R731" s="2"/>
      <c r="S731" s="20"/>
    </row>
    <row r="732" spans="1:19" x14ac:dyDescent="0.25">
      <c r="A732" s="26">
        <v>43600</v>
      </c>
      <c r="B732" s="17"/>
      <c r="C732" s="7" t="s">
        <v>169</v>
      </c>
      <c r="D732" s="36"/>
      <c r="E732" s="17"/>
      <c r="F732" s="17"/>
      <c r="G732" s="17"/>
      <c r="H732" s="17"/>
      <c r="I732" s="17"/>
      <c r="J732" s="17"/>
      <c r="K732" s="17"/>
      <c r="L732" s="17"/>
      <c r="M732" s="17"/>
      <c r="N732" s="17">
        <v>66.150000000000006</v>
      </c>
      <c r="O732" s="17"/>
      <c r="P732" s="17"/>
      <c r="Q732" s="17">
        <f t="shared" si="212"/>
        <v>1220.8499999999999</v>
      </c>
      <c r="R732" s="2"/>
      <c r="S732" s="20"/>
    </row>
    <row r="733" spans="1:19" x14ac:dyDescent="0.25">
      <c r="A733" s="26">
        <v>43600</v>
      </c>
      <c r="B733" s="17"/>
      <c r="C733" s="7" t="s">
        <v>217</v>
      </c>
      <c r="D733" s="36"/>
      <c r="E733" s="17"/>
      <c r="F733" s="17"/>
      <c r="G733" s="17"/>
      <c r="H733" s="17"/>
      <c r="I733" s="17"/>
      <c r="J733" s="17"/>
      <c r="K733" s="17"/>
      <c r="L733" s="17"/>
      <c r="M733" s="17"/>
      <c r="N733" s="17">
        <v>68</v>
      </c>
      <c r="O733" s="17"/>
      <c r="P733" s="17"/>
      <c r="Q733" s="17">
        <f t="shared" si="212"/>
        <v>1288.8499999999999</v>
      </c>
      <c r="R733" s="2"/>
      <c r="S733" s="20"/>
    </row>
    <row r="734" spans="1:19" x14ac:dyDescent="0.25">
      <c r="A734" s="26">
        <v>43601</v>
      </c>
      <c r="B734" s="17"/>
      <c r="C734" s="7" t="s">
        <v>179</v>
      </c>
      <c r="D734" s="36"/>
      <c r="E734" s="17"/>
      <c r="F734" s="17"/>
      <c r="G734" s="17"/>
      <c r="H734" s="17"/>
      <c r="I734" s="17"/>
      <c r="J734" s="17"/>
      <c r="K734" s="17"/>
      <c r="L734" s="17"/>
      <c r="M734" s="17"/>
      <c r="N734" s="17">
        <v>6.66</v>
      </c>
      <c r="O734" s="17"/>
      <c r="P734" s="17"/>
      <c r="Q734" s="17">
        <f t="shared" si="212"/>
        <v>1295.51</v>
      </c>
      <c r="R734" s="2"/>
      <c r="S734" s="20"/>
    </row>
    <row r="735" spans="1:19" x14ac:dyDescent="0.25">
      <c r="A735" s="26">
        <v>43601</v>
      </c>
      <c r="B735" s="17"/>
      <c r="C735" s="7" t="s">
        <v>222</v>
      </c>
      <c r="D735" s="36">
        <v>5</v>
      </c>
      <c r="E735" s="17">
        <v>91.4</v>
      </c>
      <c r="F735" s="17">
        <f t="shared" ref="F735:F736" si="215">D735*E735</f>
        <v>457</v>
      </c>
      <c r="G735" s="17">
        <v>0.14000000000000001</v>
      </c>
      <c r="H735" s="17">
        <v>0.02</v>
      </c>
      <c r="I735" s="17"/>
      <c r="J735" s="17">
        <v>0</v>
      </c>
      <c r="K735" s="17">
        <f t="shared" ref="K735:K736" si="216">SUM(F735:J735)</f>
        <v>457.15999999999997</v>
      </c>
      <c r="L735" s="17"/>
      <c r="M735" s="17"/>
      <c r="N735" s="17"/>
      <c r="O735" s="17"/>
      <c r="P735" s="17"/>
      <c r="Q735" s="17">
        <f t="shared" si="212"/>
        <v>838.35</v>
      </c>
      <c r="R735" s="2"/>
      <c r="S735" s="20"/>
    </row>
    <row r="736" spans="1:19" x14ac:dyDescent="0.25">
      <c r="A736" s="26">
        <v>43601</v>
      </c>
      <c r="B736" s="17"/>
      <c r="C736" s="7" t="s">
        <v>217</v>
      </c>
      <c r="D736" s="36">
        <v>8</v>
      </c>
      <c r="E736" s="17">
        <v>100.95</v>
      </c>
      <c r="F736" s="17">
        <f t="shared" si="215"/>
        <v>807.6</v>
      </c>
      <c r="G736" s="17">
        <v>0.2</v>
      </c>
      <c r="H736" s="17">
        <v>0.03</v>
      </c>
      <c r="I736" s="17"/>
      <c r="J736" s="17">
        <v>0</v>
      </c>
      <c r="K736" s="17">
        <f t="shared" si="216"/>
        <v>807.83</v>
      </c>
      <c r="L736" s="17"/>
      <c r="M736" s="17"/>
      <c r="N736" s="17"/>
      <c r="O736" s="17"/>
      <c r="P736" s="17"/>
      <c r="Q736" s="17">
        <f t="shared" si="212"/>
        <v>30.519999999999982</v>
      </c>
      <c r="R736" s="2"/>
      <c r="S736" s="20"/>
    </row>
    <row r="737" spans="1:19" x14ac:dyDescent="0.25">
      <c r="A737" s="26">
        <v>43602</v>
      </c>
      <c r="B737" s="17"/>
      <c r="C737" s="7" t="s">
        <v>220</v>
      </c>
      <c r="D737" s="36"/>
      <c r="E737" s="17"/>
      <c r="F737" s="17"/>
      <c r="G737" s="17"/>
      <c r="H737" s="17"/>
      <c r="I737" s="17"/>
      <c r="J737" s="17"/>
      <c r="K737" s="17"/>
      <c r="L737" s="17"/>
      <c r="M737" s="17"/>
      <c r="N737" s="17">
        <v>16.5</v>
      </c>
      <c r="O737" s="17"/>
      <c r="P737" s="17"/>
      <c r="Q737" s="17">
        <f t="shared" si="212"/>
        <v>47.019999999999982</v>
      </c>
      <c r="R737" s="2"/>
      <c r="S737" s="20">
        <f>SUM(K735:K736)</f>
        <v>1264.99</v>
      </c>
    </row>
    <row r="738" spans="1:19" x14ac:dyDescent="0.25">
      <c r="A738" s="26">
        <v>43602</v>
      </c>
      <c r="B738" s="17"/>
      <c r="C738" s="7" t="s">
        <v>354</v>
      </c>
      <c r="D738" s="36"/>
      <c r="E738" s="17"/>
      <c r="F738" s="17"/>
      <c r="G738" s="17"/>
      <c r="H738" s="17"/>
      <c r="I738" s="17"/>
      <c r="J738" s="17"/>
      <c r="K738" s="17"/>
      <c r="L738" s="17"/>
      <c r="M738" s="17"/>
      <c r="N738" s="17">
        <v>3.93</v>
      </c>
      <c r="O738" s="17"/>
      <c r="P738" s="17"/>
      <c r="Q738" s="17">
        <f t="shared" si="212"/>
        <v>50.949999999999982</v>
      </c>
      <c r="R738" s="2"/>
      <c r="S738" s="20"/>
    </row>
    <row r="739" spans="1:19" x14ac:dyDescent="0.25">
      <c r="A739" s="26">
        <v>43602</v>
      </c>
      <c r="B739" s="17"/>
      <c r="C739" s="7" t="s">
        <v>88</v>
      </c>
      <c r="D739" s="36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>
        <v>137.29</v>
      </c>
      <c r="P739" s="17"/>
      <c r="Q739" s="17">
        <f t="shared" si="212"/>
        <v>188.23999999999998</v>
      </c>
      <c r="R739" s="2"/>
      <c r="S739" s="20"/>
    </row>
    <row r="740" spans="1:19" x14ac:dyDescent="0.25">
      <c r="A740" s="26">
        <v>43605</v>
      </c>
      <c r="B740" s="17">
        <v>1500</v>
      </c>
      <c r="D740" s="36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>
        <f t="shared" si="212"/>
        <v>1688.24</v>
      </c>
      <c r="R740" s="2"/>
      <c r="S740" s="20"/>
    </row>
    <row r="741" spans="1:19" x14ac:dyDescent="0.25">
      <c r="A741" s="26">
        <v>43605</v>
      </c>
      <c r="B741" s="17"/>
      <c r="C741" s="7" t="s">
        <v>222</v>
      </c>
      <c r="D741" s="36">
        <v>10</v>
      </c>
      <c r="E741" s="17">
        <v>91.89</v>
      </c>
      <c r="F741" s="17">
        <f t="shared" ref="F741" si="217">D741*E741</f>
        <v>918.9</v>
      </c>
      <c r="G741" s="17">
        <v>0.25</v>
      </c>
      <c r="H741" s="17">
        <v>0.04</v>
      </c>
      <c r="I741" s="17"/>
      <c r="J741" s="17">
        <v>0</v>
      </c>
      <c r="K741" s="17">
        <f t="shared" ref="K741" si="218">SUM(F741:J741)</f>
        <v>919.18999999999994</v>
      </c>
      <c r="L741" s="17"/>
      <c r="M741" s="17"/>
      <c r="N741" s="17"/>
      <c r="O741" s="17"/>
      <c r="P741" s="17"/>
      <c r="Q741" s="17">
        <f t="shared" si="212"/>
        <v>769.05000000000007</v>
      </c>
      <c r="R741" s="2"/>
      <c r="S741" s="20"/>
    </row>
    <row r="742" spans="1:19" x14ac:dyDescent="0.25">
      <c r="A742" s="26">
        <v>43605</v>
      </c>
      <c r="B742" s="17"/>
      <c r="C742" s="7" t="s">
        <v>82</v>
      </c>
      <c r="D742" s="36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>
        <f>2.57+0.07+3.8</f>
        <v>6.4399999999999995</v>
      </c>
      <c r="P742" s="17"/>
      <c r="Q742" s="17">
        <f t="shared" si="212"/>
        <v>775.49000000000012</v>
      </c>
      <c r="R742" s="2"/>
      <c r="S742" s="20"/>
    </row>
    <row r="743" spans="1:19" x14ac:dyDescent="0.25">
      <c r="A743" s="26">
        <v>43605</v>
      </c>
      <c r="B743" s="17"/>
      <c r="C743" s="7" t="s">
        <v>82</v>
      </c>
      <c r="D743" s="36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>
        <v>119</v>
      </c>
      <c r="Q743" s="17">
        <f>Q742+B743-K743-L743-M743+N743+O743+P743</f>
        <v>894.49000000000012</v>
      </c>
      <c r="R743" s="2"/>
      <c r="S743" s="20"/>
    </row>
    <row r="744" spans="1:19" x14ac:dyDescent="0.25">
      <c r="A744" s="26">
        <v>43607</v>
      </c>
      <c r="B744" s="17"/>
      <c r="C744" s="7" t="s">
        <v>252</v>
      </c>
      <c r="D744" s="36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>
        <v>66.680000000000007</v>
      </c>
      <c r="P744" s="17"/>
      <c r="Q744" s="17">
        <f t="shared" si="212"/>
        <v>961.17000000000007</v>
      </c>
      <c r="R744" s="2"/>
      <c r="S744" s="20"/>
    </row>
    <row r="745" spans="1:19" x14ac:dyDescent="0.25">
      <c r="A745" s="26">
        <v>43607</v>
      </c>
      <c r="B745" s="17"/>
      <c r="C745" s="7" t="s">
        <v>355</v>
      </c>
      <c r="D745" s="36">
        <v>9</v>
      </c>
      <c r="E745" s="17">
        <v>102.75</v>
      </c>
      <c r="F745" s="17">
        <f t="shared" ref="F745" si="219">D745*E745</f>
        <v>924.75</v>
      </c>
      <c r="G745" s="17">
        <v>0.25</v>
      </c>
      <c r="H745" s="17">
        <v>0.04</v>
      </c>
      <c r="I745" s="17"/>
      <c r="J745" s="17">
        <v>0</v>
      </c>
      <c r="K745" s="17">
        <f t="shared" ref="K745" si="220">SUM(F745:J745)</f>
        <v>925.04</v>
      </c>
      <c r="L745" s="17"/>
      <c r="M745" s="17"/>
      <c r="N745" s="17"/>
      <c r="O745" s="17"/>
      <c r="P745" s="17"/>
      <c r="Q745" s="17">
        <f t="shared" si="212"/>
        <v>36.130000000000109</v>
      </c>
      <c r="R745" s="2"/>
      <c r="S745" s="20"/>
    </row>
    <row r="746" spans="1:19" x14ac:dyDescent="0.25">
      <c r="A746" s="26">
        <v>43609</v>
      </c>
      <c r="B746" s="17"/>
      <c r="C746" s="7" t="s">
        <v>270</v>
      </c>
      <c r="D746" s="36"/>
      <c r="E746" s="17"/>
      <c r="F746" s="17"/>
      <c r="G746" s="17"/>
      <c r="H746" s="17"/>
      <c r="I746" s="17"/>
      <c r="J746" s="17"/>
      <c r="K746" s="17"/>
      <c r="L746" s="17"/>
      <c r="M746" s="17"/>
      <c r="N746" s="17">
        <v>31.62</v>
      </c>
      <c r="O746" s="17"/>
      <c r="P746" s="17"/>
      <c r="Q746" s="17">
        <f t="shared" si="212"/>
        <v>67.750000000000114</v>
      </c>
      <c r="R746" s="2"/>
      <c r="S746" s="20"/>
    </row>
    <row r="747" spans="1:19" x14ac:dyDescent="0.25">
      <c r="A747" s="26">
        <v>43613</v>
      </c>
      <c r="B747" s="17"/>
      <c r="C747" s="7" t="s">
        <v>170</v>
      </c>
      <c r="D747" s="36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>
        <v>34.229999999999997</v>
      </c>
      <c r="P747" s="17"/>
      <c r="Q747" s="17">
        <f t="shared" si="212"/>
        <v>101.9800000000001</v>
      </c>
      <c r="R747" s="2"/>
      <c r="S747" s="20"/>
    </row>
    <row r="748" spans="1:19" x14ac:dyDescent="0.25">
      <c r="A748" s="26">
        <v>43613</v>
      </c>
      <c r="B748" s="17"/>
      <c r="C748" s="7" t="s">
        <v>170</v>
      </c>
      <c r="D748" s="36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>
        <v>120.09</v>
      </c>
      <c r="Q748" s="17">
        <f t="shared" si="212"/>
        <v>222.07000000000011</v>
      </c>
      <c r="R748" s="2"/>
      <c r="S748" s="20"/>
    </row>
    <row r="749" spans="1:19" x14ac:dyDescent="0.25">
      <c r="A749" s="26">
        <v>43616</v>
      </c>
      <c r="B749" s="17"/>
      <c r="C749" s="7" t="s">
        <v>5</v>
      </c>
      <c r="D749" s="36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>
        <v>35.26</v>
      </c>
      <c r="Q749" s="17">
        <f t="shared" si="212"/>
        <v>257.3300000000001</v>
      </c>
      <c r="R749" s="2"/>
      <c r="S749" s="20"/>
    </row>
    <row r="750" spans="1:19" x14ac:dyDescent="0.25">
      <c r="A750" s="26">
        <v>43616</v>
      </c>
      <c r="B750" s="17"/>
      <c r="C750" s="7" t="s">
        <v>180</v>
      </c>
      <c r="D750" s="36"/>
      <c r="E750" s="17"/>
      <c r="F750" s="17"/>
      <c r="G750" s="17"/>
      <c r="H750" s="17"/>
      <c r="I750" s="17"/>
      <c r="J750" s="17"/>
      <c r="K750" s="17"/>
      <c r="L750" s="17"/>
      <c r="M750" s="17"/>
      <c r="N750" s="17">
        <v>16.87</v>
      </c>
      <c r="O750" s="17"/>
      <c r="P750" s="17"/>
      <c r="Q750" s="17">
        <f t="shared" si="212"/>
        <v>274.2000000000001</v>
      </c>
      <c r="R750" s="2"/>
      <c r="S750" s="20"/>
    </row>
    <row r="751" spans="1:19" x14ac:dyDescent="0.25">
      <c r="A751" s="26">
        <v>43616</v>
      </c>
      <c r="B751" s="17">
        <v>1500</v>
      </c>
      <c r="D751" s="36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>
        <f t="shared" si="212"/>
        <v>1774.2</v>
      </c>
      <c r="R751" s="2"/>
      <c r="S751" s="20"/>
    </row>
    <row r="752" spans="1:19" x14ac:dyDescent="0.25">
      <c r="A752" s="26">
        <v>43616</v>
      </c>
      <c r="B752" s="17"/>
      <c r="C752" s="7" t="s">
        <v>222</v>
      </c>
      <c r="D752" s="36">
        <v>10</v>
      </c>
      <c r="E752" s="17">
        <v>92.9</v>
      </c>
      <c r="F752" s="17">
        <f t="shared" ref="F752" si="221">D752*E752</f>
        <v>929</v>
      </c>
      <c r="G752" s="17">
        <v>0</v>
      </c>
      <c r="H752" s="17">
        <v>0</v>
      </c>
      <c r="I752" s="17"/>
      <c r="J752" s="17">
        <v>0</v>
      </c>
      <c r="K752" s="17">
        <f t="shared" ref="K752" si="222">SUM(F752:J752)</f>
        <v>929</v>
      </c>
      <c r="L752" s="17"/>
      <c r="M752" s="17"/>
      <c r="N752" s="17"/>
      <c r="O752" s="17"/>
      <c r="P752" s="17"/>
      <c r="Q752" s="17">
        <f t="shared" si="212"/>
        <v>845.2</v>
      </c>
      <c r="R752" s="2"/>
      <c r="S752" s="20"/>
    </row>
    <row r="753" spans="1:19" x14ac:dyDescent="0.25">
      <c r="A753" s="26">
        <v>43616</v>
      </c>
      <c r="B753" s="17"/>
      <c r="C753" s="7" t="s">
        <v>355</v>
      </c>
      <c r="D753" s="36">
        <v>7</v>
      </c>
      <c r="E753" s="17">
        <v>103.84</v>
      </c>
      <c r="F753" s="17">
        <f t="shared" ref="F753" si="223">D753*E753</f>
        <v>726.88</v>
      </c>
      <c r="G753" s="17">
        <v>0</v>
      </c>
      <c r="H753" s="17">
        <v>0</v>
      </c>
      <c r="I753" s="17"/>
      <c r="J753" s="17">
        <v>0</v>
      </c>
      <c r="K753" s="17">
        <f t="shared" ref="K753" si="224">SUM(F753:J753)</f>
        <v>726.88</v>
      </c>
      <c r="L753" s="17"/>
      <c r="M753" s="17"/>
      <c r="N753" s="17"/>
      <c r="O753" s="17"/>
      <c r="P753" s="17"/>
      <c r="Q753" s="17">
        <f t="shared" si="212"/>
        <v>118.32000000000005</v>
      </c>
      <c r="R753" s="2"/>
      <c r="S753" s="20"/>
    </row>
    <row r="754" spans="1:19" x14ac:dyDescent="0.25">
      <c r="A754" s="26">
        <v>43616</v>
      </c>
      <c r="B754" s="17">
        <v>-14.9</v>
      </c>
      <c r="D754" s="36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>
        <f t="shared" si="212"/>
        <v>103.42000000000004</v>
      </c>
      <c r="R754" s="2" t="s">
        <v>357</v>
      </c>
      <c r="S754" s="20"/>
    </row>
    <row r="755" spans="1:19" x14ac:dyDescent="0.25">
      <c r="A755" s="26">
        <v>43622</v>
      </c>
      <c r="B755" s="17">
        <v>1500</v>
      </c>
      <c r="D755" s="36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>
        <f t="shared" si="212"/>
        <v>1603.42</v>
      </c>
      <c r="R755" s="2"/>
      <c r="S755" s="20"/>
    </row>
    <row r="756" spans="1:19" x14ac:dyDescent="0.25">
      <c r="A756" s="26">
        <v>43622</v>
      </c>
      <c r="B756" s="17"/>
      <c r="C756" s="7" t="s">
        <v>217</v>
      </c>
      <c r="D756" s="36">
        <v>7</v>
      </c>
      <c r="E756" s="17">
        <v>101.3</v>
      </c>
      <c r="F756" s="17">
        <f t="shared" ref="F756" si="225">D756*E756</f>
        <v>709.1</v>
      </c>
      <c r="G756" s="17">
        <v>0.19</v>
      </c>
      <c r="H756" s="17">
        <v>0.03</v>
      </c>
      <c r="I756" s="17"/>
      <c r="J756" s="17">
        <v>0</v>
      </c>
      <c r="K756" s="17">
        <f t="shared" ref="K756" si="226">SUM(F756:J756)</f>
        <v>709.32</v>
      </c>
      <c r="L756" s="17"/>
      <c r="M756" s="17"/>
      <c r="N756" s="17"/>
      <c r="O756" s="17"/>
      <c r="P756" s="17"/>
      <c r="Q756" s="17">
        <f t="shared" si="212"/>
        <v>894.1</v>
      </c>
      <c r="R756" s="2"/>
      <c r="S756" s="20"/>
    </row>
    <row r="757" spans="1:19" x14ac:dyDescent="0.25">
      <c r="A757" s="26">
        <v>43623</v>
      </c>
      <c r="B757" s="17"/>
      <c r="C757" s="7" t="s">
        <v>222</v>
      </c>
      <c r="D757" s="36"/>
      <c r="E757" s="17"/>
      <c r="F757" s="17"/>
      <c r="G757" s="17"/>
      <c r="H757" s="17"/>
      <c r="I757" s="17"/>
      <c r="J757" s="17"/>
      <c r="K757" s="17"/>
      <c r="L757" s="17"/>
      <c r="M757" s="17"/>
      <c r="N757" s="17">
        <v>93.75</v>
      </c>
      <c r="O757" s="17"/>
      <c r="P757" s="17"/>
      <c r="Q757" s="17">
        <f t="shared" si="212"/>
        <v>987.85</v>
      </c>
      <c r="R757" s="2"/>
      <c r="S757" s="20"/>
    </row>
    <row r="758" spans="1:19" x14ac:dyDescent="0.25">
      <c r="A758" s="26">
        <v>43623</v>
      </c>
      <c r="B758" s="17"/>
      <c r="C758" s="7" t="s">
        <v>276</v>
      </c>
      <c r="D758" s="36"/>
      <c r="E758" s="17"/>
      <c r="F758" s="17"/>
      <c r="G758" s="17"/>
      <c r="H758" s="17"/>
      <c r="I758" s="17"/>
      <c r="J758" s="17"/>
      <c r="K758" s="17"/>
      <c r="L758" s="17"/>
      <c r="M758" s="17"/>
      <c r="N758" s="17">
        <v>16</v>
      </c>
      <c r="O758" s="17"/>
      <c r="P758" s="17"/>
      <c r="Q758" s="17">
        <f>Q757+B758-K758-L758-M758+N758+O758+P758</f>
        <v>1003.85</v>
      </c>
      <c r="R758" s="2"/>
      <c r="S758" s="20"/>
    </row>
    <row r="759" spans="1:19" x14ac:dyDescent="0.25">
      <c r="A759" s="26">
        <v>43623</v>
      </c>
      <c r="B759" s="17"/>
      <c r="C759" s="7" t="s">
        <v>173</v>
      </c>
      <c r="D759" s="36">
        <v>10</v>
      </c>
      <c r="E759" s="17">
        <v>86.7</v>
      </c>
      <c r="F759" s="17">
        <f t="shared" ref="F759" si="227">D759*E759</f>
        <v>867</v>
      </c>
      <c r="G759" s="17">
        <v>0.23</v>
      </c>
      <c r="H759" s="17">
        <v>0.03</v>
      </c>
      <c r="I759" s="17"/>
      <c r="J759" s="17">
        <v>0</v>
      </c>
      <c r="K759" s="17">
        <f t="shared" ref="K759" si="228">SUM(F759:J759)</f>
        <v>867.26</v>
      </c>
      <c r="L759" s="17"/>
      <c r="M759" s="17"/>
      <c r="N759" s="17"/>
      <c r="O759" s="17"/>
      <c r="P759" s="17"/>
      <c r="Q759" s="17">
        <f>Q758+B759-K759-L759-M759+N759+O759+P759</f>
        <v>136.59000000000003</v>
      </c>
      <c r="R759" s="2"/>
      <c r="S759" s="20"/>
    </row>
    <row r="760" spans="1:19" x14ac:dyDescent="0.25">
      <c r="A760" s="26">
        <v>43626</v>
      </c>
      <c r="B760" s="17"/>
      <c r="C760" s="7" t="s">
        <v>234</v>
      </c>
      <c r="D760" s="36"/>
      <c r="E760" s="17"/>
      <c r="F760" s="17"/>
      <c r="G760" s="17"/>
      <c r="H760" s="17"/>
      <c r="I760" s="17"/>
      <c r="J760" s="17"/>
      <c r="K760" s="17"/>
      <c r="L760" s="17"/>
      <c r="M760" s="17"/>
      <c r="N760" s="17">
        <v>28.8</v>
      </c>
      <c r="O760" s="17"/>
      <c r="P760" s="17"/>
      <c r="Q760" s="17">
        <f>Q759+B760-K760-L760-M760+N760+O760+P760</f>
        <v>165.39000000000004</v>
      </c>
      <c r="R760" s="2"/>
      <c r="S760" s="20"/>
    </row>
    <row r="761" spans="1:19" x14ac:dyDescent="0.25">
      <c r="A761" s="26">
        <v>43626</v>
      </c>
      <c r="B761" s="17"/>
      <c r="C761" s="7" t="s">
        <v>186</v>
      </c>
      <c r="D761" s="36"/>
      <c r="E761" s="17"/>
      <c r="F761" s="17"/>
      <c r="G761" s="17"/>
      <c r="H761" s="17"/>
      <c r="I761" s="17"/>
      <c r="J761" s="17"/>
      <c r="K761" s="17"/>
      <c r="L761" s="17"/>
      <c r="M761" s="17"/>
      <c r="N761" s="17">
        <v>51.85</v>
      </c>
      <c r="O761" s="17"/>
      <c r="P761" s="17"/>
      <c r="Q761" s="17">
        <f>Q760+B761-K761-L761-M761+N761+O761+P761</f>
        <v>217.24000000000004</v>
      </c>
      <c r="R761" s="2"/>
      <c r="S761" s="20"/>
    </row>
    <row r="762" spans="1:19" x14ac:dyDescent="0.25">
      <c r="A762" s="26">
        <v>43626</v>
      </c>
      <c r="B762" s="17">
        <v>1000</v>
      </c>
      <c r="D762" s="36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>
        <f t="shared" ref="Q762:Q826" si="229">Q761+B762-K762-L762-M762+N762+O762+P762</f>
        <v>1217.24</v>
      </c>
      <c r="R762" s="2"/>
      <c r="S762" s="20"/>
    </row>
    <row r="763" spans="1:19" x14ac:dyDescent="0.25">
      <c r="A763" s="26">
        <v>43626</v>
      </c>
      <c r="B763" s="17"/>
      <c r="C763" s="7" t="s">
        <v>217</v>
      </c>
      <c r="D763" s="36">
        <v>5</v>
      </c>
      <c r="E763" s="17">
        <v>101.35</v>
      </c>
      <c r="F763" s="17">
        <f t="shared" ref="F763:F764" si="230">D763*E763</f>
        <v>506.75</v>
      </c>
      <c r="G763" s="17">
        <v>0.13</v>
      </c>
      <c r="H763" s="17">
        <v>0.02</v>
      </c>
      <c r="I763" s="17"/>
      <c r="J763" s="17">
        <v>0</v>
      </c>
      <c r="K763" s="17">
        <f t="shared" ref="K763" si="231">SUM(F763:J763)</f>
        <v>506.9</v>
      </c>
      <c r="L763" s="17"/>
      <c r="M763" s="17"/>
      <c r="N763" s="17"/>
      <c r="O763" s="17"/>
      <c r="P763" s="17"/>
      <c r="Q763" s="17">
        <f t="shared" si="229"/>
        <v>710.34</v>
      </c>
      <c r="R763" s="2"/>
      <c r="S763" s="20"/>
    </row>
    <row r="764" spans="1:19" x14ac:dyDescent="0.25">
      <c r="A764" s="26">
        <v>43628</v>
      </c>
      <c r="B764" s="17"/>
      <c r="C764" s="7" t="s">
        <v>222</v>
      </c>
      <c r="D764" s="36">
        <v>7</v>
      </c>
      <c r="E764" s="17">
        <v>93</v>
      </c>
      <c r="F764" s="17">
        <f t="shared" si="230"/>
        <v>651</v>
      </c>
      <c r="G764" s="17">
        <v>0.17</v>
      </c>
      <c r="H764" s="17">
        <v>0.02</v>
      </c>
      <c r="I764" s="17"/>
      <c r="J764" s="17">
        <v>0</v>
      </c>
      <c r="K764" s="17">
        <f t="shared" ref="K764" si="232">SUM(F764:J764)</f>
        <v>651.18999999999994</v>
      </c>
      <c r="L764" s="17"/>
      <c r="M764" s="17"/>
      <c r="N764" s="17"/>
      <c r="O764" s="17"/>
      <c r="P764" s="17"/>
      <c r="Q764" s="17">
        <f t="shared" si="229"/>
        <v>59.150000000000091</v>
      </c>
      <c r="R764" s="2"/>
      <c r="S764" s="20"/>
    </row>
    <row r="765" spans="1:19" x14ac:dyDescent="0.25">
      <c r="A765" s="26">
        <v>43630</v>
      </c>
      <c r="B765" s="17"/>
      <c r="C765" s="7" t="s">
        <v>183</v>
      </c>
      <c r="D765" s="36"/>
      <c r="E765" s="17"/>
      <c r="F765" s="17"/>
      <c r="G765" s="17"/>
      <c r="H765" s="17"/>
      <c r="I765" s="17"/>
      <c r="J765" s="17"/>
      <c r="K765" s="17"/>
      <c r="L765" s="17"/>
      <c r="M765" s="17"/>
      <c r="N765" s="17">
        <v>9.27</v>
      </c>
      <c r="O765" s="17"/>
      <c r="P765" s="17"/>
      <c r="Q765" s="17">
        <f t="shared" si="229"/>
        <v>68.420000000000087</v>
      </c>
      <c r="R765" s="2"/>
      <c r="S765" s="20"/>
    </row>
    <row r="766" spans="1:19" x14ac:dyDescent="0.25">
      <c r="A766" s="26">
        <v>43630</v>
      </c>
      <c r="B766" s="17"/>
      <c r="C766" s="7" t="s">
        <v>267</v>
      </c>
      <c r="D766" s="36"/>
      <c r="E766" s="17"/>
      <c r="F766" s="17"/>
      <c r="G766" s="17"/>
      <c r="H766" s="17"/>
      <c r="I766" s="17"/>
      <c r="J766" s="17"/>
      <c r="K766" s="17"/>
      <c r="L766" s="17"/>
      <c r="M766" s="17"/>
      <c r="N766" s="17">
        <v>20.399999999999999</v>
      </c>
      <c r="O766" s="17"/>
      <c r="P766" s="17"/>
      <c r="Q766" s="17">
        <f t="shared" si="229"/>
        <v>88.820000000000078</v>
      </c>
      <c r="R766" s="2"/>
      <c r="S766" s="20"/>
    </row>
    <row r="767" spans="1:19" x14ac:dyDescent="0.25">
      <c r="A767" s="26">
        <v>43630</v>
      </c>
      <c r="B767" s="17"/>
      <c r="C767" s="7" t="s">
        <v>184</v>
      </c>
      <c r="D767" s="36"/>
      <c r="E767" s="17"/>
      <c r="F767" s="17"/>
      <c r="G767" s="17"/>
      <c r="H767" s="17"/>
      <c r="I767" s="17"/>
      <c r="J767" s="17"/>
      <c r="K767" s="17"/>
      <c r="L767" s="17"/>
      <c r="M767" s="17"/>
      <c r="N767" s="17">
        <v>51.66</v>
      </c>
      <c r="O767" s="17"/>
      <c r="P767" s="17"/>
      <c r="Q767" s="17">
        <f t="shared" si="229"/>
        <v>140.48000000000008</v>
      </c>
      <c r="R767" s="2"/>
      <c r="S767" s="20"/>
    </row>
    <row r="768" spans="1:19" x14ac:dyDescent="0.25">
      <c r="A768" s="26">
        <v>43630</v>
      </c>
      <c r="B768" s="17"/>
      <c r="C768" s="7" t="s">
        <v>221</v>
      </c>
      <c r="D768" s="36"/>
      <c r="E768" s="17"/>
      <c r="F768" s="17"/>
      <c r="G768" s="17"/>
      <c r="H768" s="17"/>
      <c r="I768" s="17"/>
      <c r="J768" s="17"/>
      <c r="K768" s="17"/>
      <c r="L768" s="17"/>
      <c r="M768" s="17"/>
      <c r="N768" s="17">
        <v>45.15</v>
      </c>
      <c r="O768" s="17"/>
      <c r="P768" s="17"/>
      <c r="Q768" s="17">
        <f t="shared" si="229"/>
        <v>185.63000000000008</v>
      </c>
      <c r="R768" s="2"/>
      <c r="S768" s="20"/>
    </row>
    <row r="769" spans="1:20" x14ac:dyDescent="0.25">
      <c r="A769" s="26">
        <v>43630</v>
      </c>
      <c r="B769" s="17"/>
      <c r="C769" s="7" t="s">
        <v>181</v>
      </c>
      <c r="D769" s="36"/>
      <c r="E769" s="17"/>
      <c r="F769" s="17"/>
      <c r="G769" s="17"/>
      <c r="H769" s="17"/>
      <c r="I769" s="17"/>
      <c r="J769" s="17"/>
      <c r="K769" s="17"/>
      <c r="L769" s="17"/>
      <c r="M769" s="17"/>
      <c r="N769" s="17">
        <v>51.2</v>
      </c>
      <c r="O769" s="17"/>
      <c r="P769" s="17"/>
      <c r="Q769" s="17">
        <f t="shared" si="229"/>
        <v>236.8300000000001</v>
      </c>
      <c r="R769" s="2"/>
      <c r="S769" s="20"/>
    </row>
    <row r="770" spans="1:20" x14ac:dyDescent="0.25">
      <c r="A770" s="26">
        <v>43630</v>
      </c>
      <c r="B770" s="17"/>
      <c r="C770" s="7" t="s">
        <v>169</v>
      </c>
      <c r="D770" s="36"/>
      <c r="E770" s="17"/>
      <c r="F770" s="17"/>
      <c r="G770" s="17"/>
      <c r="H770" s="17"/>
      <c r="I770" s="17"/>
      <c r="J770" s="17"/>
      <c r="K770" s="17"/>
      <c r="L770" s="17"/>
      <c r="M770" s="17"/>
      <c r="N770" s="17">
        <v>78.400000000000006</v>
      </c>
      <c r="O770" s="17"/>
      <c r="P770" s="17"/>
      <c r="Q770" s="17">
        <f t="shared" si="229"/>
        <v>315.23000000000013</v>
      </c>
      <c r="R770" s="2"/>
      <c r="S770" s="20"/>
    </row>
    <row r="771" spans="1:20" x14ac:dyDescent="0.25">
      <c r="A771" s="26">
        <v>43630</v>
      </c>
      <c r="B771" s="17"/>
      <c r="C771" s="7" t="s">
        <v>217</v>
      </c>
      <c r="D771" s="36"/>
      <c r="E771" s="17"/>
      <c r="F771" s="17"/>
      <c r="G771" s="17"/>
      <c r="H771" s="17"/>
      <c r="I771" s="17"/>
      <c r="J771" s="17"/>
      <c r="K771" s="17"/>
      <c r="L771" s="17"/>
      <c r="M771" s="17"/>
      <c r="N771" s="17">
        <v>65.88</v>
      </c>
      <c r="O771" s="17"/>
      <c r="P771" s="17"/>
      <c r="Q771" s="17">
        <f t="shared" si="229"/>
        <v>381.11000000000013</v>
      </c>
      <c r="R771" s="2"/>
      <c r="S771" s="20"/>
    </row>
    <row r="772" spans="1:20" x14ac:dyDescent="0.25">
      <c r="A772" s="26">
        <v>43630</v>
      </c>
      <c r="B772" s="17"/>
      <c r="C772" s="7" t="s">
        <v>173</v>
      </c>
      <c r="D772" s="36"/>
      <c r="E772" s="17"/>
      <c r="F772" s="17"/>
      <c r="G772" s="17"/>
      <c r="H772" s="17"/>
      <c r="I772" s="17"/>
      <c r="J772" s="17"/>
      <c r="K772" s="17"/>
      <c r="L772" s="17"/>
      <c r="M772" s="17"/>
      <c r="N772" s="17">
        <v>302.10000000000002</v>
      </c>
      <c r="O772" s="17"/>
      <c r="P772" s="17"/>
      <c r="Q772" s="17">
        <f t="shared" si="229"/>
        <v>683.21000000000015</v>
      </c>
      <c r="R772" s="2"/>
      <c r="S772" s="20"/>
    </row>
    <row r="773" spans="1:20" x14ac:dyDescent="0.25">
      <c r="A773" s="26">
        <v>43630</v>
      </c>
      <c r="B773" s="17"/>
      <c r="C773" s="7" t="s">
        <v>217</v>
      </c>
      <c r="D773" s="36">
        <v>5</v>
      </c>
      <c r="E773" s="17">
        <v>101.38</v>
      </c>
      <c r="F773" s="17">
        <f t="shared" ref="F773" si="233">D773*E773</f>
        <v>506.9</v>
      </c>
      <c r="G773" s="17">
        <v>0.13</v>
      </c>
      <c r="H773" s="17">
        <v>0.02</v>
      </c>
      <c r="I773" s="17"/>
      <c r="J773" s="17">
        <v>0</v>
      </c>
      <c r="K773" s="17">
        <f t="shared" ref="K773" si="234">SUM(F773:J773)</f>
        <v>507.04999999999995</v>
      </c>
      <c r="L773" s="17"/>
      <c r="M773" s="17"/>
      <c r="N773" s="17">
        <v>22</v>
      </c>
      <c r="O773" s="17"/>
      <c r="P773" s="17"/>
      <c r="Q773" s="17">
        <f t="shared" si="229"/>
        <v>198.1600000000002</v>
      </c>
      <c r="R773" s="2"/>
      <c r="S773" s="20"/>
    </row>
    <row r="774" spans="1:20" x14ac:dyDescent="0.25">
      <c r="A774" s="26">
        <v>43634</v>
      </c>
      <c r="B774" s="17"/>
      <c r="C774" s="7" t="s">
        <v>220</v>
      </c>
      <c r="D774" s="36"/>
      <c r="E774" s="17"/>
      <c r="F774" s="17"/>
      <c r="G774" s="17"/>
      <c r="H774" s="17"/>
      <c r="I774" s="17"/>
      <c r="J774" s="17"/>
      <c r="K774" s="17"/>
      <c r="L774" s="17"/>
      <c r="M774" s="17"/>
      <c r="N774" s="17">
        <v>22</v>
      </c>
      <c r="O774" s="17"/>
      <c r="P774" s="17"/>
      <c r="Q774" s="17">
        <f t="shared" si="229"/>
        <v>220.1600000000002</v>
      </c>
      <c r="R774" s="2"/>
      <c r="S774" s="20"/>
    </row>
    <row r="775" spans="1:20" x14ac:dyDescent="0.25">
      <c r="A775" s="26">
        <v>43635</v>
      </c>
      <c r="B775" s="17">
        <v>1000</v>
      </c>
      <c r="D775" s="36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>
        <f t="shared" si="229"/>
        <v>1220.1600000000003</v>
      </c>
      <c r="R775" s="2"/>
      <c r="S775" s="20"/>
    </row>
    <row r="776" spans="1:20" x14ac:dyDescent="0.25">
      <c r="A776" s="26">
        <v>43635</v>
      </c>
      <c r="B776" s="17"/>
      <c r="C776" s="7" t="s">
        <v>355</v>
      </c>
      <c r="D776" s="36"/>
      <c r="E776" s="17"/>
      <c r="F776" s="17"/>
      <c r="G776" s="17"/>
      <c r="H776" s="17"/>
      <c r="I776" s="17"/>
      <c r="J776" s="17"/>
      <c r="K776" s="17"/>
      <c r="L776" s="17"/>
      <c r="M776" s="17"/>
      <c r="N776" s="17">
        <v>12.8</v>
      </c>
      <c r="O776" s="17"/>
      <c r="P776" s="17"/>
      <c r="Q776" s="17">
        <f t="shared" si="229"/>
        <v>1232.9600000000003</v>
      </c>
      <c r="R776" s="2"/>
      <c r="S776" s="20"/>
    </row>
    <row r="777" spans="1:20" x14ac:dyDescent="0.25">
      <c r="A777" s="26">
        <v>43637</v>
      </c>
      <c r="B777" s="17"/>
      <c r="C777" s="7" t="s">
        <v>216</v>
      </c>
      <c r="D777" s="36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>
        <v>40</v>
      </c>
      <c r="P777" s="17"/>
      <c r="Q777" s="17">
        <f t="shared" si="229"/>
        <v>1272.9600000000003</v>
      </c>
      <c r="R777" s="2"/>
      <c r="S777" s="20"/>
    </row>
    <row r="778" spans="1:20" x14ac:dyDescent="0.25">
      <c r="A778" s="26">
        <v>43637</v>
      </c>
      <c r="B778" s="17"/>
      <c r="C778" s="7" t="s">
        <v>216</v>
      </c>
      <c r="D778" s="36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>
        <v>58.06</v>
      </c>
      <c r="Q778" s="17">
        <f t="shared" si="229"/>
        <v>1331.0200000000002</v>
      </c>
      <c r="R778" s="2"/>
      <c r="S778" s="20"/>
    </row>
    <row r="779" spans="1:20" x14ac:dyDescent="0.25">
      <c r="A779" s="26">
        <v>43637</v>
      </c>
      <c r="B779" s="17"/>
      <c r="C779" s="7" t="s">
        <v>222</v>
      </c>
      <c r="D779" s="36">
        <v>5</v>
      </c>
      <c r="E779" s="17">
        <v>93.89</v>
      </c>
      <c r="F779" s="17">
        <f t="shared" ref="F779:F780" si="235">D779*E779</f>
        <v>469.45</v>
      </c>
      <c r="G779" s="17">
        <v>0.15</v>
      </c>
      <c r="H779" s="17">
        <v>0.02</v>
      </c>
      <c r="I779" s="17"/>
      <c r="J779" s="17">
        <v>0</v>
      </c>
      <c r="K779" s="17">
        <f t="shared" ref="K779:K780" si="236">SUM(F779:J779)</f>
        <v>469.61999999999995</v>
      </c>
      <c r="L779" s="17"/>
      <c r="M779" s="17"/>
      <c r="N779" s="17"/>
      <c r="O779" s="17"/>
      <c r="P779" s="17"/>
      <c r="Q779" s="17">
        <f t="shared" si="229"/>
        <v>861.40000000000032</v>
      </c>
      <c r="R779" s="2"/>
      <c r="S779" s="20"/>
    </row>
    <row r="780" spans="1:20" x14ac:dyDescent="0.25">
      <c r="A780" s="26">
        <v>43637</v>
      </c>
      <c r="B780" s="17"/>
      <c r="C780" s="7" t="s">
        <v>355</v>
      </c>
      <c r="D780" s="36">
        <v>5</v>
      </c>
      <c r="E780" s="17">
        <v>102.96</v>
      </c>
      <c r="F780" s="17">
        <f t="shared" si="235"/>
        <v>514.79999999999995</v>
      </c>
      <c r="G780" s="17">
        <v>0.12</v>
      </c>
      <c r="H780" s="17">
        <v>0.02</v>
      </c>
      <c r="I780" s="17"/>
      <c r="J780" s="17">
        <v>0</v>
      </c>
      <c r="K780" s="17">
        <f t="shared" si="236"/>
        <v>514.93999999999994</v>
      </c>
      <c r="L780" s="17"/>
      <c r="M780" s="17"/>
      <c r="N780" s="17"/>
      <c r="O780" s="17"/>
      <c r="P780" s="17"/>
      <c r="Q780" s="17">
        <f t="shared" si="229"/>
        <v>346.46000000000038</v>
      </c>
      <c r="R780" s="2"/>
      <c r="S780" s="20"/>
    </row>
    <row r="781" spans="1:20" x14ac:dyDescent="0.25">
      <c r="A781" s="26">
        <v>43641</v>
      </c>
      <c r="B781" s="17"/>
      <c r="C781" s="7" t="s">
        <v>270</v>
      </c>
      <c r="D781" s="36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>
        <v>33.479999999999997</v>
      </c>
      <c r="P781" s="17"/>
      <c r="Q781" s="17">
        <f t="shared" si="229"/>
        <v>379.9400000000004</v>
      </c>
      <c r="R781" s="2"/>
      <c r="S781" s="20"/>
    </row>
    <row r="782" spans="1:20" x14ac:dyDescent="0.25">
      <c r="A782" s="26">
        <v>43642</v>
      </c>
      <c r="B782" s="17">
        <v>1000</v>
      </c>
      <c r="D782" s="36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>
        <f t="shared" si="229"/>
        <v>1379.9400000000005</v>
      </c>
      <c r="R782" s="2"/>
      <c r="S782" s="20" t="s">
        <v>226</v>
      </c>
      <c r="T782" t="s">
        <v>73</v>
      </c>
    </row>
    <row r="783" spans="1:20" x14ac:dyDescent="0.25">
      <c r="A783" s="26">
        <v>43642</v>
      </c>
      <c r="B783" s="17"/>
      <c r="C783" s="7" t="s">
        <v>221</v>
      </c>
      <c r="D783" s="36">
        <v>50</v>
      </c>
      <c r="E783" s="17">
        <v>11.55</v>
      </c>
      <c r="F783" s="17">
        <f t="shared" ref="F783" si="237">D783*E783</f>
        <v>577.5</v>
      </c>
      <c r="G783" s="17">
        <v>0.15</v>
      </c>
      <c r="H783" s="17">
        <v>0.02</v>
      </c>
      <c r="I783" s="17"/>
      <c r="J783" s="17">
        <v>0</v>
      </c>
      <c r="K783" s="17">
        <f t="shared" ref="K783" si="238">SUM(F783:J783)</f>
        <v>577.66999999999996</v>
      </c>
      <c r="L783" s="17"/>
      <c r="M783" s="17"/>
      <c r="N783" s="17"/>
      <c r="O783" s="17"/>
      <c r="P783" s="17"/>
      <c r="Q783" s="17">
        <f t="shared" si="229"/>
        <v>802.27000000000055</v>
      </c>
      <c r="R783" s="2"/>
      <c r="S783" s="20">
        <v>27.1</v>
      </c>
      <c r="T783">
        <v>4.75</v>
      </c>
    </row>
    <row r="784" spans="1:20" x14ac:dyDescent="0.25">
      <c r="A784" s="26">
        <v>43643</v>
      </c>
      <c r="B784" s="17"/>
      <c r="C784" s="7" t="s">
        <v>221</v>
      </c>
      <c r="D784" s="36">
        <v>55</v>
      </c>
      <c r="E784" s="17">
        <v>11.37</v>
      </c>
      <c r="F784" s="17">
        <f t="shared" ref="F784" si="239">D784*E784</f>
        <v>625.34999999999991</v>
      </c>
      <c r="G784" s="17">
        <v>0.17</v>
      </c>
      <c r="H784" s="17">
        <v>0.02</v>
      </c>
      <c r="I784" s="17"/>
      <c r="J784" s="17">
        <v>0</v>
      </c>
      <c r="K784" s="17">
        <f t="shared" ref="K784" si="240">SUM(F784:J784)</f>
        <v>625.53999999999985</v>
      </c>
      <c r="L784" s="17"/>
      <c r="M784" s="17"/>
      <c r="N784" s="17"/>
      <c r="O784" s="17"/>
      <c r="P784" s="17"/>
      <c r="Q784" s="17">
        <f t="shared" si="229"/>
        <v>176.7300000000007</v>
      </c>
      <c r="R784" s="2"/>
      <c r="S784" s="20">
        <v>23.77</v>
      </c>
      <c r="T784">
        <v>1.22</v>
      </c>
    </row>
    <row r="785" spans="1:23" x14ac:dyDescent="0.25">
      <c r="A785" s="26">
        <v>43644</v>
      </c>
      <c r="B785" s="17"/>
      <c r="C785" s="7" t="s">
        <v>5</v>
      </c>
      <c r="D785" s="36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>
        <v>14.54</v>
      </c>
      <c r="Q785" s="17">
        <f t="shared" si="229"/>
        <v>191.27000000000069</v>
      </c>
      <c r="R785" s="2"/>
      <c r="S785" s="20">
        <v>17.11</v>
      </c>
      <c r="T785">
        <v>5.23</v>
      </c>
    </row>
    <row r="786" spans="1:23" x14ac:dyDescent="0.25">
      <c r="A786" s="26">
        <v>43644</v>
      </c>
      <c r="B786" s="17"/>
      <c r="C786" s="7" t="s">
        <v>17</v>
      </c>
      <c r="D786" s="36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>
        <v>153.01</v>
      </c>
      <c r="Q786" s="17">
        <f t="shared" si="229"/>
        <v>344.28000000000065</v>
      </c>
      <c r="R786" s="2"/>
      <c r="S786" s="20">
        <v>22.81</v>
      </c>
      <c r="T786">
        <v>5.42</v>
      </c>
    </row>
    <row r="787" spans="1:23" x14ac:dyDescent="0.25">
      <c r="A787" s="26">
        <v>43644</v>
      </c>
      <c r="B787" s="17"/>
      <c r="C787" s="7" t="s">
        <v>180</v>
      </c>
      <c r="D787" s="36"/>
      <c r="E787" s="17"/>
      <c r="F787" s="17"/>
      <c r="G787" s="17"/>
      <c r="H787" s="17"/>
      <c r="I787" s="17"/>
      <c r="J787" s="17"/>
      <c r="K787" s="17"/>
      <c r="L787" s="17"/>
      <c r="M787" s="17"/>
      <c r="N787" s="17">
        <v>23.25</v>
      </c>
      <c r="O787" s="17"/>
      <c r="P787" s="17"/>
      <c r="Q787" s="17">
        <f t="shared" si="229"/>
        <v>367.53000000000065</v>
      </c>
      <c r="R787" s="2"/>
      <c r="S787" s="20">
        <v>26.14</v>
      </c>
      <c r="T787">
        <v>4.62</v>
      </c>
    </row>
    <row r="788" spans="1:23" x14ac:dyDescent="0.25">
      <c r="A788" s="26">
        <v>43644</v>
      </c>
      <c r="B788" s="17">
        <v>1000</v>
      </c>
      <c r="D788" s="36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>
        <f t="shared" si="229"/>
        <v>1367.5300000000007</v>
      </c>
      <c r="R788" s="2"/>
      <c r="S788" s="20">
        <v>23.29</v>
      </c>
      <c r="T788">
        <v>5.04</v>
      </c>
      <c r="W788" s="20"/>
    </row>
    <row r="789" spans="1:23" x14ac:dyDescent="0.25">
      <c r="A789" s="26">
        <v>43644</v>
      </c>
      <c r="B789" s="17"/>
      <c r="C789" s="7" t="s">
        <v>355</v>
      </c>
      <c r="D789" s="36">
        <v>9</v>
      </c>
      <c r="E789" s="17">
        <v>103.45</v>
      </c>
      <c r="F789" s="17">
        <f t="shared" ref="F789" si="241">D789*E789</f>
        <v>931.05000000000007</v>
      </c>
      <c r="G789" s="17">
        <v>0.25</v>
      </c>
      <c r="H789" s="17">
        <v>0.03</v>
      </c>
      <c r="I789" s="17"/>
      <c r="J789" s="17">
        <v>0</v>
      </c>
      <c r="K789" s="17">
        <f t="shared" ref="K789" si="242">SUM(F789:J789)</f>
        <v>931.33</v>
      </c>
      <c r="L789" s="17"/>
      <c r="M789" s="17"/>
      <c r="N789" s="17"/>
      <c r="O789" s="17"/>
      <c r="P789" s="17"/>
      <c r="Q789" s="17">
        <f t="shared" si="229"/>
        <v>436.20000000000061</v>
      </c>
      <c r="R789" s="2"/>
      <c r="S789" s="20">
        <v>45.63</v>
      </c>
      <c r="T789">
        <v>5.7</v>
      </c>
    </row>
    <row r="790" spans="1:23" x14ac:dyDescent="0.25">
      <c r="A790" s="26">
        <v>43647</v>
      </c>
      <c r="B790" s="17"/>
      <c r="C790" s="7" t="s">
        <v>85</v>
      </c>
      <c r="D790" s="36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>
        <v>48.48</v>
      </c>
      <c r="P790" s="17"/>
      <c r="Q790" s="17">
        <f t="shared" si="229"/>
        <v>484.68000000000063</v>
      </c>
      <c r="R790" s="2"/>
      <c r="S790" s="20">
        <v>25.19</v>
      </c>
      <c r="T790">
        <v>5.31</v>
      </c>
    </row>
    <row r="791" spans="1:23" x14ac:dyDescent="0.25">
      <c r="A791" s="26">
        <v>43647</v>
      </c>
      <c r="B791" s="17"/>
      <c r="C791" s="7" t="s">
        <v>226</v>
      </c>
      <c r="D791" s="36"/>
      <c r="E791" s="17"/>
      <c r="F791" s="17"/>
      <c r="G791" s="17"/>
      <c r="H791" s="17"/>
      <c r="I791" s="17"/>
      <c r="J791" s="17"/>
      <c r="K791" s="17"/>
      <c r="L791" s="17">
        <v>17.579999999999998</v>
      </c>
      <c r="M791" s="17"/>
      <c r="N791" s="17">
        <v>300.67</v>
      </c>
      <c r="O791" s="17"/>
      <c r="P791" s="17"/>
      <c r="Q791" s="17">
        <f t="shared" si="229"/>
        <v>767.77000000000066</v>
      </c>
      <c r="R791" s="2"/>
      <c r="S791" s="20">
        <v>7.13</v>
      </c>
      <c r="T791">
        <v>4.18</v>
      </c>
    </row>
    <row r="792" spans="1:23" x14ac:dyDescent="0.25">
      <c r="A792" s="26">
        <v>43648</v>
      </c>
      <c r="B792" s="17"/>
      <c r="C792" s="7" t="s">
        <v>364</v>
      </c>
      <c r="D792" s="36">
        <v>6</v>
      </c>
      <c r="E792" s="17">
        <v>109.49</v>
      </c>
      <c r="F792" s="17">
        <f t="shared" ref="F792" si="243">D792*E792</f>
        <v>656.93999999999994</v>
      </c>
      <c r="G792" s="17">
        <v>0.18</v>
      </c>
      <c r="H792" s="17">
        <v>0.02</v>
      </c>
      <c r="I792" s="17"/>
      <c r="J792" s="17">
        <v>0</v>
      </c>
      <c r="K792" s="17">
        <f t="shared" ref="K792" si="244">SUM(F792:J792)</f>
        <v>657.13999999999987</v>
      </c>
      <c r="L792" s="17"/>
      <c r="M792" s="17"/>
      <c r="N792" s="17"/>
      <c r="O792" s="17"/>
      <c r="P792" s="17"/>
      <c r="Q792" s="17">
        <f t="shared" si="229"/>
        <v>110.63000000000079</v>
      </c>
      <c r="R792" s="2"/>
      <c r="S792" s="20">
        <v>24.72</v>
      </c>
      <c r="T792">
        <v>4.66</v>
      </c>
    </row>
    <row r="793" spans="1:23" x14ac:dyDescent="0.25">
      <c r="A793" s="26">
        <v>43649</v>
      </c>
      <c r="B793" s="17">
        <v>2000</v>
      </c>
      <c r="D793" s="36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>
        <f t="shared" si="229"/>
        <v>2110.630000000001</v>
      </c>
      <c r="R793" s="2"/>
      <c r="S793" s="20">
        <v>26.62</v>
      </c>
      <c r="T793">
        <v>9.1300000000000008</v>
      </c>
    </row>
    <row r="794" spans="1:23" x14ac:dyDescent="0.25">
      <c r="A794" s="26">
        <v>43649</v>
      </c>
      <c r="B794" s="17"/>
      <c r="C794" s="7" t="s">
        <v>184</v>
      </c>
      <c r="D794" s="36">
        <v>10</v>
      </c>
      <c r="E794" s="17">
        <v>64.239999999999995</v>
      </c>
      <c r="F794" s="17">
        <f t="shared" ref="F794" si="245">D794*E794</f>
        <v>642.4</v>
      </c>
      <c r="G794" s="17">
        <v>0.21</v>
      </c>
      <c r="H794" s="17">
        <v>0.03</v>
      </c>
      <c r="I794" s="17"/>
      <c r="J794" s="17">
        <v>0</v>
      </c>
      <c r="K794" s="17">
        <f t="shared" ref="K794" si="246">SUM(F794:J794)</f>
        <v>642.64</v>
      </c>
      <c r="L794" s="17"/>
      <c r="M794" s="17"/>
      <c r="N794" s="17"/>
      <c r="O794" s="17"/>
      <c r="P794" s="17"/>
      <c r="Q794" s="17">
        <f t="shared" si="229"/>
        <v>1467.9900000000011</v>
      </c>
      <c r="R794" s="2"/>
      <c r="S794" s="20">
        <v>26.62</v>
      </c>
      <c r="T794">
        <v>4.9400000000000004</v>
      </c>
    </row>
    <row r="795" spans="1:23" x14ac:dyDescent="0.25">
      <c r="A795" s="26">
        <v>43649</v>
      </c>
      <c r="B795" s="17"/>
      <c r="C795" s="7" t="s">
        <v>222</v>
      </c>
      <c r="D795" s="36">
        <v>10</v>
      </c>
      <c r="E795" s="17">
        <v>94.4</v>
      </c>
      <c r="F795" s="17">
        <f t="shared" ref="F795" si="247">D795*E795</f>
        <v>944</v>
      </c>
      <c r="G795" s="17">
        <v>0.22</v>
      </c>
      <c r="H795" s="17">
        <v>0.03</v>
      </c>
      <c r="I795" s="17"/>
      <c r="J795" s="17">
        <v>0</v>
      </c>
      <c r="K795" s="17">
        <f t="shared" ref="K795" si="248">SUM(F795:J795)</f>
        <v>944.25</v>
      </c>
      <c r="L795" s="17"/>
      <c r="M795" s="17"/>
      <c r="N795" s="17"/>
      <c r="O795" s="17"/>
      <c r="P795" s="17"/>
      <c r="Q795" s="17">
        <f t="shared" si="229"/>
        <v>523.74000000000115</v>
      </c>
      <c r="R795" s="2"/>
      <c r="S795" s="20">
        <v>26.62</v>
      </c>
      <c r="T795">
        <v>5.32</v>
      </c>
    </row>
    <row r="796" spans="1:23" x14ac:dyDescent="0.25">
      <c r="A796" s="26">
        <v>43651</v>
      </c>
      <c r="B796" s="17"/>
      <c r="C796" s="7" t="s">
        <v>96</v>
      </c>
      <c r="D796" s="36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>
        <v>53.89</v>
      </c>
      <c r="Q796" s="17">
        <f t="shared" si="229"/>
        <v>577.63000000000113</v>
      </c>
      <c r="R796" s="2"/>
      <c r="S796" s="20">
        <v>28.52</v>
      </c>
      <c r="T796">
        <v>1.43</v>
      </c>
    </row>
    <row r="797" spans="1:23" x14ac:dyDescent="0.25">
      <c r="A797" s="26">
        <v>43651</v>
      </c>
      <c r="B797" s="17"/>
      <c r="C797" s="7" t="s">
        <v>82</v>
      </c>
      <c r="D797" s="36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>
        <v>17</v>
      </c>
      <c r="Q797" s="17">
        <f t="shared" si="229"/>
        <v>594.63000000000113</v>
      </c>
      <c r="R797" s="2"/>
      <c r="S797" s="20">
        <v>20.91</v>
      </c>
      <c r="T797">
        <v>4.5599999999999996</v>
      </c>
    </row>
    <row r="798" spans="1:23" x14ac:dyDescent="0.25">
      <c r="A798" s="26">
        <v>43651</v>
      </c>
      <c r="B798" s="17"/>
      <c r="C798" s="7" t="s">
        <v>222</v>
      </c>
      <c r="D798" s="36"/>
      <c r="E798" s="17"/>
      <c r="F798" s="17"/>
      <c r="G798" s="17"/>
      <c r="H798" s="17"/>
      <c r="I798" s="17"/>
      <c r="J798" s="17"/>
      <c r="K798" s="17"/>
      <c r="L798" s="17"/>
      <c r="M798" s="17"/>
      <c r="N798" s="17">
        <v>102.75</v>
      </c>
      <c r="O798" s="17"/>
      <c r="P798" s="17"/>
      <c r="Q798" s="17">
        <f t="shared" si="229"/>
        <v>697.38000000000113</v>
      </c>
      <c r="R798" s="2"/>
      <c r="S798" s="20"/>
    </row>
    <row r="799" spans="1:23" x14ac:dyDescent="0.25">
      <c r="A799" s="26">
        <v>43651</v>
      </c>
      <c r="B799" s="17"/>
      <c r="C799" s="7" t="s">
        <v>276</v>
      </c>
      <c r="D799" s="36"/>
      <c r="E799" s="17"/>
      <c r="F799" s="17"/>
      <c r="G799" s="17"/>
      <c r="H799" s="17"/>
      <c r="I799" s="17"/>
      <c r="J799" s="17"/>
      <c r="K799" s="17"/>
      <c r="L799" s="17"/>
      <c r="M799" s="17"/>
      <c r="N799" s="17">
        <v>6.35</v>
      </c>
      <c r="O799" s="17"/>
      <c r="P799" s="17"/>
      <c r="Q799" s="17">
        <f t="shared" si="229"/>
        <v>703.73000000000116</v>
      </c>
      <c r="R799" s="2"/>
      <c r="S799" s="20"/>
    </row>
    <row r="800" spans="1:23" x14ac:dyDescent="0.25">
      <c r="A800" s="26">
        <v>43651</v>
      </c>
      <c r="B800" s="17"/>
      <c r="C800" s="7" t="s">
        <v>364</v>
      </c>
      <c r="D800" s="36">
        <v>6</v>
      </c>
      <c r="E800" s="17">
        <v>109.3</v>
      </c>
      <c r="F800" s="17">
        <f t="shared" ref="F800" si="249">D800*E800</f>
        <v>655.8</v>
      </c>
      <c r="G800" s="17">
        <v>0.18</v>
      </c>
      <c r="H800" s="17">
        <v>0.02</v>
      </c>
      <c r="I800" s="17"/>
      <c r="J800" s="17">
        <v>0</v>
      </c>
      <c r="K800" s="17">
        <f t="shared" ref="K800" si="250">SUM(F800:J800)</f>
        <v>655.99999999999989</v>
      </c>
      <c r="L800" s="17"/>
      <c r="M800" s="17"/>
      <c r="N800" s="17"/>
      <c r="O800" s="17"/>
      <c r="P800" s="17"/>
      <c r="Q800" s="17">
        <f t="shared" si="229"/>
        <v>47.730000000001269</v>
      </c>
      <c r="R800" s="2"/>
      <c r="S800" s="20">
        <f>SUM(S783:S798)</f>
        <v>372.18</v>
      </c>
      <c r="T800" s="20">
        <f>SUM(T783:T797)</f>
        <v>71.510000000000005</v>
      </c>
    </row>
    <row r="801" spans="1:20" x14ac:dyDescent="0.25">
      <c r="A801" s="26">
        <v>43654</v>
      </c>
      <c r="B801" s="17"/>
      <c r="C801" s="7" t="s">
        <v>234</v>
      </c>
      <c r="D801" s="36"/>
      <c r="E801" s="17"/>
      <c r="F801" s="17"/>
      <c r="G801" s="17"/>
      <c r="H801" s="17"/>
      <c r="I801" s="17"/>
      <c r="J801" s="17"/>
      <c r="K801" s="17"/>
      <c r="L801" s="17"/>
      <c r="M801" s="17"/>
      <c r="N801" s="17">
        <v>27.2</v>
      </c>
      <c r="O801" s="17"/>
      <c r="P801" s="17"/>
      <c r="Q801" s="17">
        <f t="shared" si="229"/>
        <v>74.930000000001272</v>
      </c>
      <c r="R801" s="2"/>
    </row>
    <row r="802" spans="1:20" x14ac:dyDescent="0.25">
      <c r="A802" s="26">
        <v>43654</v>
      </c>
      <c r="B802" s="17"/>
      <c r="C802" s="7" t="s">
        <v>186</v>
      </c>
      <c r="D802" s="36"/>
      <c r="E802" s="17"/>
      <c r="F802" s="17"/>
      <c r="G802" s="17"/>
      <c r="H802" s="17"/>
      <c r="I802" s="17"/>
      <c r="J802" s="17"/>
      <c r="K802" s="17"/>
      <c r="L802" s="17"/>
      <c r="M802" s="17"/>
      <c r="N802" s="17">
        <v>51.85</v>
      </c>
      <c r="O802" s="17"/>
      <c r="P802" s="17"/>
      <c r="Q802" s="17">
        <f t="shared" si="229"/>
        <v>126.78000000000128</v>
      </c>
      <c r="R802" s="2"/>
      <c r="S802" s="5" t="s">
        <v>260</v>
      </c>
      <c r="T802" s="20">
        <f>S800-T800</f>
        <v>300.67</v>
      </c>
    </row>
    <row r="803" spans="1:20" x14ac:dyDescent="0.25">
      <c r="A803" s="26">
        <v>43656</v>
      </c>
      <c r="B803" s="17">
        <v>1000</v>
      </c>
      <c r="D803" s="36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>
        <f t="shared" si="229"/>
        <v>1126.7800000000013</v>
      </c>
      <c r="R803" s="2"/>
      <c r="S803" s="5" t="s">
        <v>363</v>
      </c>
      <c r="T803">
        <v>17.579999999999998</v>
      </c>
    </row>
    <row r="804" spans="1:20" x14ac:dyDescent="0.25">
      <c r="A804" s="26">
        <v>43656</v>
      </c>
      <c r="B804" s="17"/>
      <c r="C804" s="7" t="s">
        <v>184</v>
      </c>
      <c r="D804" s="36">
        <v>10</v>
      </c>
      <c r="E804" s="17">
        <v>63.49</v>
      </c>
      <c r="F804" s="17">
        <f t="shared" ref="F804" si="251">D804*E804</f>
        <v>634.9</v>
      </c>
      <c r="G804" s="17">
        <v>0.17</v>
      </c>
      <c r="H804" s="17">
        <v>0.02</v>
      </c>
      <c r="I804" s="17"/>
      <c r="J804" s="17">
        <v>0</v>
      </c>
      <c r="K804" s="17">
        <f t="shared" ref="K804" si="252">SUM(F804:J804)</f>
        <v>635.08999999999992</v>
      </c>
      <c r="L804" s="17"/>
      <c r="M804" s="17"/>
      <c r="N804" s="17"/>
      <c r="O804" s="17"/>
      <c r="P804" s="17"/>
      <c r="Q804" s="17">
        <f t="shared" si="229"/>
        <v>491.69000000000142</v>
      </c>
      <c r="R804" s="2"/>
      <c r="S804" s="20"/>
    </row>
    <row r="805" spans="1:20" x14ac:dyDescent="0.25">
      <c r="A805" s="26">
        <v>43658</v>
      </c>
      <c r="B805" s="17"/>
      <c r="C805" s="7" t="s">
        <v>217</v>
      </c>
      <c r="D805" s="36"/>
      <c r="E805" s="17"/>
      <c r="F805" s="17"/>
      <c r="G805" s="17"/>
      <c r="H805" s="17"/>
      <c r="I805" s="17"/>
      <c r="J805" s="17"/>
      <c r="K805" s="17"/>
      <c r="L805" s="17"/>
      <c r="M805" s="17"/>
      <c r="N805" s="17">
        <v>76.25</v>
      </c>
      <c r="O805" s="17"/>
      <c r="P805" s="17"/>
      <c r="Q805" s="17">
        <f t="shared" si="229"/>
        <v>567.94000000000142</v>
      </c>
      <c r="R805" s="2"/>
      <c r="S805" s="20"/>
    </row>
    <row r="806" spans="1:20" x14ac:dyDescent="0.25">
      <c r="A806" s="26">
        <v>43658</v>
      </c>
      <c r="B806" s="17"/>
      <c r="C806" s="7" t="s">
        <v>267</v>
      </c>
      <c r="D806" s="36"/>
      <c r="E806" s="17"/>
      <c r="F806" s="17"/>
      <c r="G806" s="17"/>
      <c r="H806" s="17"/>
      <c r="I806" s="17"/>
      <c r="J806" s="17"/>
      <c r="K806" s="17"/>
      <c r="L806" s="17"/>
      <c r="M806" s="17"/>
      <c r="N806" s="17">
        <v>20.399999999999999</v>
      </c>
      <c r="O806" s="17"/>
      <c r="P806" s="17"/>
      <c r="Q806" s="17">
        <f t="shared" si="229"/>
        <v>588.3400000000014</v>
      </c>
      <c r="R806" s="2"/>
      <c r="S806" s="20"/>
    </row>
    <row r="807" spans="1:20" x14ac:dyDescent="0.25">
      <c r="A807" s="26">
        <v>43661</v>
      </c>
      <c r="B807" s="17"/>
      <c r="C807" s="7" t="s">
        <v>169</v>
      </c>
      <c r="D807" s="36"/>
      <c r="E807" s="17"/>
      <c r="F807" s="17"/>
      <c r="G807" s="17"/>
      <c r="H807" s="17"/>
      <c r="I807" s="17"/>
      <c r="J807" s="17"/>
      <c r="K807" s="17"/>
      <c r="L807" s="17"/>
      <c r="M807" s="17"/>
      <c r="N807" s="17">
        <v>77</v>
      </c>
      <c r="O807" s="17"/>
      <c r="P807" s="17"/>
      <c r="Q807" s="17">
        <f t="shared" si="229"/>
        <v>665.3400000000014</v>
      </c>
      <c r="R807" s="2"/>
      <c r="S807" s="20"/>
    </row>
    <row r="808" spans="1:20" x14ac:dyDescent="0.25">
      <c r="A808" s="26">
        <v>43661</v>
      </c>
      <c r="B808" s="17"/>
      <c r="C808" s="7" t="s">
        <v>181</v>
      </c>
      <c r="D808" s="36"/>
      <c r="E808" s="17"/>
      <c r="F808" s="17"/>
      <c r="G808" s="17"/>
      <c r="H808" s="17"/>
      <c r="I808" s="17"/>
      <c r="J808" s="17"/>
      <c r="K808" s="17"/>
      <c r="L808" s="17"/>
      <c r="M808" s="17"/>
      <c r="N808" s="17">
        <v>60.8</v>
      </c>
      <c r="O808" s="17"/>
      <c r="P808" s="17"/>
      <c r="Q808" s="17">
        <f t="shared" si="229"/>
        <v>726.14000000000135</v>
      </c>
      <c r="R808" s="2"/>
      <c r="S808" s="20"/>
    </row>
    <row r="809" spans="1:20" x14ac:dyDescent="0.25">
      <c r="A809" s="26">
        <v>43661</v>
      </c>
      <c r="B809" s="17"/>
      <c r="C809" s="7" t="s">
        <v>183</v>
      </c>
      <c r="D809" s="36"/>
      <c r="E809" s="17"/>
      <c r="F809" s="17"/>
      <c r="G809" s="17"/>
      <c r="H809" s="17"/>
      <c r="I809" s="17"/>
      <c r="J809" s="17"/>
      <c r="K809" s="17"/>
      <c r="L809" s="17"/>
      <c r="M809" s="17"/>
      <c r="N809" s="17">
        <v>13.75</v>
      </c>
      <c r="O809" s="17"/>
      <c r="P809" s="17"/>
      <c r="Q809" s="17">
        <f t="shared" si="229"/>
        <v>739.89000000000135</v>
      </c>
      <c r="R809" s="2"/>
      <c r="S809" s="20"/>
    </row>
    <row r="810" spans="1:20" x14ac:dyDescent="0.25">
      <c r="A810" s="26">
        <v>43661</v>
      </c>
      <c r="B810" s="17"/>
      <c r="C810" s="7" t="s">
        <v>221</v>
      </c>
      <c r="D810" s="36"/>
      <c r="E810" s="17"/>
      <c r="F810" s="17"/>
      <c r="G810" s="17"/>
      <c r="H810" s="17"/>
      <c r="I810" s="17"/>
      <c r="J810" s="17"/>
      <c r="K810" s="17"/>
      <c r="L810" s="17"/>
      <c r="M810" s="17"/>
      <c r="N810" s="17">
        <v>52.5</v>
      </c>
      <c r="O810" s="17"/>
      <c r="P810" s="17"/>
      <c r="Q810" s="17">
        <f t="shared" si="229"/>
        <v>792.39000000000135</v>
      </c>
      <c r="R810" s="2"/>
      <c r="S810" s="20"/>
    </row>
    <row r="811" spans="1:20" x14ac:dyDescent="0.25">
      <c r="A811" s="26">
        <v>43661</v>
      </c>
      <c r="B811" s="17"/>
      <c r="C811" s="7" t="s">
        <v>184</v>
      </c>
      <c r="D811" s="36"/>
      <c r="E811" s="17"/>
      <c r="F811" s="17"/>
      <c r="G811" s="17"/>
      <c r="H811" s="17"/>
      <c r="I811" s="17"/>
      <c r="J811" s="17"/>
      <c r="K811" s="17"/>
      <c r="L811" s="17"/>
      <c r="M811" s="17"/>
      <c r="N811" s="17">
        <v>18.309999999999999</v>
      </c>
      <c r="O811" s="17"/>
      <c r="P811" s="17"/>
      <c r="Q811" s="17">
        <f t="shared" si="229"/>
        <v>810.7000000000013</v>
      </c>
      <c r="R811" s="2"/>
      <c r="S811" s="20"/>
    </row>
    <row r="812" spans="1:20" x14ac:dyDescent="0.25">
      <c r="A812" s="26">
        <v>43661</v>
      </c>
      <c r="B812" s="17"/>
      <c r="C812" s="7" t="s">
        <v>173</v>
      </c>
      <c r="D812" s="36"/>
      <c r="E812" s="17"/>
      <c r="F812" s="17"/>
      <c r="G812" s="17"/>
      <c r="H812" s="17"/>
      <c r="I812" s="17"/>
      <c r="J812" s="17"/>
      <c r="K812" s="17"/>
      <c r="L812" s="17"/>
      <c r="M812" s="17"/>
      <c r="N812" s="17">
        <v>324.89999999999998</v>
      </c>
      <c r="O812" s="17"/>
      <c r="P812" s="17"/>
      <c r="Q812" s="17">
        <f t="shared" si="229"/>
        <v>1135.6000000000013</v>
      </c>
      <c r="R812" s="2"/>
      <c r="S812" s="20"/>
    </row>
    <row r="813" spans="1:20" x14ac:dyDescent="0.25">
      <c r="A813" s="26">
        <v>43661</v>
      </c>
      <c r="B813" s="17"/>
      <c r="C813" s="7" t="s">
        <v>222</v>
      </c>
      <c r="D813" s="36">
        <v>8</v>
      </c>
      <c r="E813" s="17">
        <v>97.7</v>
      </c>
      <c r="F813" s="17">
        <f t="shared" ref="F813" si="253">D813*E813</f>
        <v>781.6</v>
      </c>
      <c r="G813" s="17">
        <v>0.21</v>
      </c>
      <c r="H813" s="17">
        <v>0.03</v>
      </c>
      <c r="I813" s="17"/>
      <c r="J813" s="17">
        <v>0</v>
      </c>
      <c r="K813" s="17">
        <f t="shared" ref="K813" si="254">SUM(F813:J813)</f>
        <v>781.84</v>
      </c>
      <c r="L813" s="17"/>
      <c r="M813" s="17"/>
      <c r="N813" s="17"/>
      <c r="O813" s="17"/>
      <c r="P813" s="17"/>
      <c r="Q813" s="17">
        <f t="shared" si="229"/>
        <v>353.76000000000124</v>
      </c>
      <c r="R813" s="2"/>
      <c r="S813" s="20"/>
    </row>
    <row r="814" spans="1:20" x14ac:dyDescent="0.25">
      <c r="A814" s="26">
        <v>43661</v>
      </c>
      <c r="B814" s="17"/>
      <c r="D814" s="36"/>
      <c r="E814" s="17"/>
      <c r="F814" s="17"/>
      <c r="G814" s="17"/>
      <c r="H814" s="17"/>
      <c r="I814" s="17"/>
      <c r="J814" s="17"/>
      <c r="K814" s="17"/>
      <c r="L814" s="17">
        <v>-17.579999999999998</v>
      </c>
      <c r="M814" s="17"/>
      <c r="N814" s="17"/>
      <c r="O814" s="17"/>
      <c r="P814" s="17"/>
      <c r="Q814" s="17">
        <f t="shared" si="229"/>
        <v>371.34000000000123</v>
      </c>
      <c r="R814" s="121" t="s">
        <v>365</v>
      </c>
      <c r="S814" s="20"/>
    </row>
    <row r="815" spans="1:20" x14ac:dyDescent="0.25">
      <c r="A815" s="26">
        <v>43663</v>
      </c>
      <c r="B815" s="17"/>
      <c r="C815" s="7" t="s">
        <v>171</v>
      </c>
      <c r="D815" s="36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>
        <v>385.34</v>
      </c>
      <c r="Q815" s="17">
        <f t="shared" si="229"/>
        <v>756.6800000000012</v>
      </c>
      <c r="R815" s="2"/>
      <c r="S815" s="20"/>
    </row>
    <row r="816" spans="1:20" x14ac:dyDescent="0.25">
      <c r="A816" s="26">
        <v>43663</v>
      </c>
      <c r="B816" s="17"/>
      <c r="C816" s="7" t="s">
        <v>220</v>
      </c>
      <c r="D816" s="36"/>
      <c r="E816" s="17"/>
      <c r="F816" s="17"/>
      <c r="G816" s="17"/>
      <c r="H816" s="17"/>
      <c r="I816" s="17"/>
      <c r="J816" s="17"/>
      <c r="K816" s="17"/>
      <c r="L816" s="17"/>
      <c r="M816" s="17"/>
      <c r="N816" s="17">
        <v>21.9</v>
      </c>
      <c r="O816" s="17"/>
      <c r="P816" s="17"/>
      <c r="Q816" s="17">
        <f t="shared" si="229"/>
        <v>778.58000000000118</v>
      </c>
      <c r="R816" s="2"/>
      <c r="S816" s="20"/>
    </row>
    <row r="817" spans="1:19" x14ac:dyDescent="0.25">
      <c r="A817" s="26">
        <v>43663</v>
      </c>
      <c r="B817" s="17"/>
      <c r="C817" s="7" t="s">
        <v>364</v>
      </c>
      <c r="D817" s="36">
        <v>6</v>
      </c>
      <c r="E817" s="17">
        <v>108</v>
      </c>
      <c r="F817" s="17">
        <f t="shared" ref="F817" si="255">D817*E817</f>
        <v>648</v>
      </c>
      <c r="G817" s="17">
        <v>0.17</v>
      </c>
      <c r="H817" s="17">
        <v>0.02</v>
      </c>
      <c r="I817" s="17"/>
      <c r="J817" s="17">
        <v>0</v>
      </c>
      <c r="K817" s="17">
        <f t="shared" ref="K817" si="256">SUM(F817:J817)</f>
        <v>648.18999999999994</v>
      </c>
      <c r="L817" s="17"/>
      <c r="M817" s="17"/>
      <c r="N817" s="17"/>
      <c r="O817" s="17"/>
      <c r="P817" s="17"/>
      <c r="Q817" s="17">
        <f t="shared" si="229"/>
        <v>130.39000000000124</v>
      </c>
      <c r="R817" s="2"/>
      <c r="S817" s="20"/>
    </row>
    <row r="818" spans="1:19" x14ac:dyDescent="0.25">
      <c r="A818" s="26">
        <v>43664</v>
      </c>
      <c r="B818" s="17"/>
      <c r="C818" s="7" t="s">
        <v>355</v>
      </c>
      <c r="D818" s="36"/>
      <c r="E818" s="17"/>
      <c r="F818" s="17"/>
      <c r="G818" s="17"/>
      <c r="H818" s="17"/>
      <c r="I818" s="17"/>
      <c r="J818" s="17"/>
      <c r="K818" s="17"/>
      <c r="L818" s="17"/>
      <c r="M818" s="17"/>
      <c r="N818" s="17">
        <v>22.22</v>
      </c>
      <c r="O818" s="17"/>
      <c r="P818" s="17"/>
      <c r="Q818" s="17">
        <f t="shared" si="229"/>
        <v>152.61000000000124</v>
      </c>
      <c r="R818" s="2"/>
      <c r="S818" s="20"/>
    </row>
    <row r="819" spans="1:19" x14ac:dyDescent="0.25">
      <c r="A819" s="26">
        <v>43665</v>
      </c>
      <c r="B819" s="17">
        <v>2000</v>
      </c>
      <c r="D819" s="36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>
        <f t="shared" si="229"/>
        <v>2152.610000000001</v>
      </c>
      <c r="R819" s="2"/>
      <c r="S819" s="20"/>
    </row>
    <row r="820" spans="1:19" x14ac:dyDescent="0.25">
      <c r="A820" s="26">
        <v>43665</v>
      </c>
      <c r="B820" s="17"/>
      <c r="C820" s="7" t="s">
        <v>181</v>
      </c>
      <c r="D820" s="36">
        <v>5</v>
      </c>
      <c r="E820" s="17">
        <v>109.9</v>
      </c>
      <c r="F820" s="17">
        <f t="shared" ref="F820:F822" si="257">D820*E820</f>
        <v>549.5</v>
      </c>
      <c r="G820" s="17">
        <v>0.16</v>
      </c>
      <c r="H820" s="17">
        <v>0.02</v>
      </c>
      <c r="I820" s="17"/>
      <c r="J820" s="17">
        <v>0</v>
      </c>
      <c r="K820" s="17">
        <f t="shared" ref="K820:K822" si="258">SUM(F820:J820)</f>
        <v>549.67999999999995</v>
      </c>
      <c r="L820" s="17"/>
      <c r="M820" s="17"/>
      <c r="N820" s="17"/>
      <c r="O820" s="17"/>
      <c r="P820" s="17"/>
      <c r="Q820" s="17">
        <f t="shared" si="229"/>
        <v>1602.9300000000012</v>
      </c>
      <c r="R820" s="2"/>
      <c r="S820" s="20"/>
    </row>
    <row r="821" spans="1:19" x14ac:dyDescent="0.25">
      <c r="A821" s="26">
        <v>43665</v>
      </c>
      <c r="B821" s="17"/>
      <c r="C821" s="7" t="s">
        <v>217</v>
      </c>
      <c r="D821" s="36">
        <v>5</v>
      </c>
      <c r="E821" s="17">
        <v>103</v>
      </c>
      <c r="F821" s="17">
        <f t="shared" si="257"/>
        <v>515</v>
      </c>
      <c r="G821" s="17">
        <v>0.13</v>
      </c>
      <c r="H821" s="17">
        <v>0.02</v>
      </c>
      <c r="I821" s="17"/>
      <c r="J821" s="17">
        <v>0</v>
      </c>
      <c r="K821" s="17">
        <f t="shared" si="258"/>
        <v>515.15</v>
      </c>
      <c r="L821" s="17"/>
      <c r="M821" s="17"/>
      <c r="N821" s="17"/>
      <c r="O821" s="17"/>
      <c r="P821" s="17"/>
      <c r="Q821" s="17">
        <f t="shared" si="229"/>
        <v>1087.7800000000011</v>
      </c>
      <c r="R821" s="2"/>
      <c r="S821" s="20"/>
    </row>
    <row r="822" spans="1:19" x14ac:dyDescent="0.25">
      <c r="A822" s="26">
        <v>43668</v>
      </c>
      <c r="B822" s="17"/>
      <c r="C822" s="7" t="s">
        <v>169</v>
      </c>
      <c r="D822" s="36">
        <v>5</v>
      </c>
      <c r="E822" s="17">
        <v>108.5</v>
      </c>
      <c r="F822" s="17">
        <f t="shared" si="257"/>
        <v>542.5</v>
      </c>
      <c r="G822" s="17">
        <v>0.14000000000000001</v>
      </c>
      <c r="H822" s="17">
        <v>0.02</v>
      </c>
      <c r="I822" s="17"/>
      <c r="J822" s="17">
        <v>0</v>
      </c>
      <c r="K822" s="17">
        <f t="shared" si="258"/>
        <v>542.66</v>
      </c>
      <c r="L822" s="17"/>
      <c r="M822" s="17"/>
      <c r="N822" s="17"/>
      <c r="O822" s="17"/>
      <c r="P822" s="17"/>
      <c r="Q822" s="17">
        <f t="shared" si="229"/>
        <v>545.12000000000114</v>
      </c>
      <c r="R822" s="2"/>
      <c r="S822" s="20"/>
    </row>
    <row r="823" spans="1:19" x14ac:dyDescent="0.25">
      <c r="A823" s="26">
        <v>43668</v>
      </c>
      <c r="B823" s="17"/>
      <c r="C823" s="7" t="s">
        <v>364</v>
      </c>
      <c r="D823" s="36"/>
      <c r="E823" s="17"/>
      <c r="F823" s="17"/>
      <c r="G823" s="17"/>
      <c r="H823" s="17"/>
      <c r="I823" s="17"/>
      <c r="J823" s="17"/>
      <c r="K823" s="17"/>
      <c r="L823" s="17"/>
      <c r="M823" s="17"/>
      <c r="N823" s="17">
        <v>5.64</v>
      </c>
      <c r="O823" s="17"/>
      <c r="P823" s="17"/>
      <c r="Q823" s="17">
        <f t="shared" si="229"/>
        <v>550.76000000000113</v>
      </c>
      <c r="R823" s="2"/>
      <c r="S823" s="20"/>
    </row>
    <row r="824" spans="1:19" x14ac:dyDescent="0.25">
      <c r="A824" s="26">
        <v>43670</v>
      </c>
      <c r="B824" s="17"/>
      <c r="C824" s="7" t="s">
        <v>218</v>
      </c>
      <c r="D824" s="36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>
        <f>59.93+48.41</f>
        <v>108.34</v>
      </c>
      <c r="P824" s="17">
        <v>10.23</v>
      </c>
      <c r="Q824" s="17">
        <f t="shared" si="229"/>
        <v>669.33000000000118</v>
      </c>
      <c r="R824" s="2"/>
      <c r="S824" s="20"/>
    </row>
    <row r="825" spans="1:19" x14ac:dyDescent="0.25">
      <c r="A825" s="26">
        <v>43670</v>
      </c>
      <c r="B825" s="17"/>
      <c r="C825" s="7" t="s">
        <v>181</v>
      </c>
      <c r="D825" s="36">
        <v>5</v>
      </c>
      <c r="E825" s="17">
        <v>105.01</v>
      </c>
      <c r="F825" s="17">
        <f t="shared" ref="F825" si="259">D825*E825</f>
        <v>525.05000000000007</v>
      </c>
      <c r="G825" s="17">
        <v>0.14000000000000001</v>
      </c>
      <c r="H825" s="17">
        <v>0.03</v>
      </c>
      <c r="I825" s="17"/>
      <c r="J825" s="17">
        <v>0</v>
      </c>
      <c r="K825" s="17">
        <f t="shared" ref="K825" si="260">SUM(F825:J825)</f>
        <v>525.22</v>
      </c>
      <c r="L825" s="17"/>
      <c r="M825" s="17"/>
      <c r="N825" s="17"/>
      <c r="O825" s="17"/>
      <c r="P825" s="17"/>
      <c r="Q825" s="17">
        <f t="shared" si="229"/>
        <v>144.11000000000115</v>
      </c>
      <c r="R825" s="2"/>
      <c r="S825" s="20"/>
    </row>
    <row r="826" spans="1:19" x14ac:dyDescent="0.25">
      <c r="A826" s="26">
        <v>43671</v>
      </c>
      <c r="B826" s="17"/>
      <c r="C826" s="7" t="s">
        <v>270</v>
      </c>
      <c r="D826" s="36"/>
      <c r="E826" s="17"/>
      <c r="F826" s="17"/>
      <c r="G826" s="17"/>
      <c r="H826" s="17"/>
      <c r="I826" s="17"/>
      <c r="J826" s="17"/>
      <c r="K826" s="17"/>
      <c r="L826" s="17"/>
      <c r="M826" s="17"/>
      <c r="N826" s="17">
        <v>34.72</v>
      </c>
      <c r="O826" s="17"/>
      <c r="P826" s="17"/>
      <c r="Q826" s="17">
        <f t="shared" si="229"/>
        <v>178.83000000000115</v>
      </c>
      <c r="R826" s="2"/>
      <c r="S826" s="20"/>
    </row>
    <row r="827" spans="1:19" x14ac:dyDescent="0.25">
      <c r="A827" s="26">
        <v>43677</v>
      </c>
      <c r="B827" s="17"/>
      <c r="C827" s="7" t="s">
        <v>180</v>
      </c>
      <c r="D827" s="36"/>
      <c r="E827" s="17"/>
      <c r="F827" s="17"/>
      <c r="G827" s="17"/>
      <c r="H827" s="17"/>
      <c r="I827" s="17"/>
      <c r="J827" s="17"/>
      <c r="K827" s="17"/>
      <c r="L827" s="17"/>
      <c r="M827" s="17"/>
      <c r="N827" s="17">
        <v>25.64</v>
      </c>
      <c r="O827" s="17"/>
      <c r="P827" s="17"/>
      <c r="Q827" s="17">
        <f t="shared" ref="Q827:Q896" si="261">Q826+B827-K827-L827-M827+N827+O827+P827</f>
        <v>204.47000000000116</v>
      </c>
      <c r="R827" s="2"/>
      <c r="S827" s="20"/>
    </row>
    <row r="828" spans="1:19" x14ac:dyDescent="0.25">
      <c r="A828" s="26">
        <v>43678</v>
      </c>
      <c r="B828" s="17">
        <v>1000</v>
      </c>
      <c r="D828" s="36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>
        <f t="shared" si="261"/>
        <v>1204.4700000000012</v>
      </c>
      <c r="R828" s="2"/>
      <c r="S828" s="20"/>
    </row>
    <row r="829" spans="1:19" x14ac:dyDescent="0.25">
      <c r="A829" s="26">
        <v>43678</v>
      </c>
      <c r="B829" s="17"/>
      <c r="C829" s="7" t="s">
        <v>221</v>
      </c>
      <c r="D829" s="36">
        <v>50</v>
      </c>
      <c r="E829" s="17">
        <v>11.72</v>
      </c>
      <c r="F829" s="17">
        <f>D829*E829</f>
        <v>586</v>
      </c>
      <c r="G829" s="17">
        <v>0.16</v>
      </c>
      <c r="H829" s="17">
        <v>0.02</v>
      </c>
      <c r="I829" s="17"/>
      <c r="J829" s="17">
        <v>0</v>
      </c>
      <c r="K829" s="17">
        <f t="shared" ref="K829:K830" si="262">SUM(F829:J829)</f>
        <v>586.17999999999995</v>
      </c>
      <c r="L829" s="17"/>
      <c r="M829" s="17"/>
      <c r="N829" s="17"/>
      <c r="O829" s="17"/>
      <c r="P829" s="17"/>
      <c r="Q829" s="17">
        <f t="shared" si="261"/>
        <v>618.29000000000121</v>
      </c>
      <c r="R829" s="2"/>
      <c r="S829" s="20"/>
    </row>
    <row r="830" spans="1:19" x14ac:dyDescent="0.25">
      <c r="A830" s="26">
        <v>43679</v>
      </c>
      <c r="B830" s="17"/>
      <c r="C830" s="7" t="s">
        <v>217</v>
      </c>
      <c r="D830" s="36">
        <v>5</v>
      </c>
      <c r="E830" s="17">
        <v>106</v>
      </c>
      <c r="F830" s="17">
        <f t="shared" ref="F830" si="263">D830*E830</f>
        <v>530</v>
      </c>
      <c r="G830" s="17">
        <v>0.14000000000000001</v>
      </c>
      <c r="H830" s="17">
        <v>0.02</v>
      </c>
      <c r="I830" s="17"/>
      <c r="J830" s="17">
        <v>0</v>
      </c>
      <c r="K830" s="17">
        <f t="shared" si="262"/>
        <v>530.16</v>
      </c>
      <c r="L830" s="17"/>
      <c r="M830" s="17"/>
      <c r="N830" s="17"/>
      <c r="O830" s="17"/>
      <c r="P830" s="17"/>
      <c r="Q830" s="17">
        <f t="shared" si="261"/>
        <v>88.130000000001246</v>
      </c>
      <c r="R830" s="2"/>
      <c r="S830" s="20"/>
    </row>
    <row r="831" spans="1:19" x14ac:dyDescent="0.25">
      <c r="A831" s="26">
        <v>43682</v>
      </c>
      <c r="B831" s="17">
        <v>1000</v>
      </c>
      <c r="D831" s="36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>
        <f t="shared" si="261"/>
        <v>1088.1300000000012</v>
      </c>
      <c r="R831" s="2"/>
      <c r="S831" s="20"/>
    </row>
    <row r="832" spans="1:19" x14ac:dyDescent="0.25">
      <c r="A832" s="26">
        <v>43682</v>
      </c>
      <c r="B832" s="17"/>
      <c r="C832" s="7" t="s">
        <v>355</v>
      </c>
      <c r="D832" s="36">
        <v>5</v>
      </c>
      <c r="E832" s="17">
        <v>104.5</v>
      </c>
      <c r="F832" s="17">
        <f t="shared" ref="F832" si="264">D832*E832</f>
        <v>522.5</v>
      </c>
      <c r="G832" s="17">
        <v>0.14000000000000001</v>
      </c>
      <c r="H832" s="17">
        <v>0.02</v>
      </c>
      <c r="I832" s="17"/>
      <c r="J832" s="17">
        <v>0</v>
      </c>
      <c r="K832" s="17">
        <f t="shared" ref="K832" si="265">SUM(F832:J832)</f>
        <v>522.66</v>
      </c>
      <c r="L832" s="17"/>
      <c r="M832" s="17"/>
      <c r="N832" s="17"/>
      <c r="O832" s="17"/>
      <c r="P832" s="17"/>
      <c r="Q832" s="17">
        <f t="shared" si="261"/>
        <v>565.47000000000128</v>
      </c>
      <c r="R832" s="2"/>
      <c r="S832" s="20"/>
    </row>
    <row r="833" spans="1:21" x14ac:dyDescent="0.25">
      <c r="A833" s="26">
        <v>43684</v>
      </c>
      <c r="B833" s="17"/>
      <c r="C833" s="7" t="s">
        <v>222</v>
      </c>
      <c r="D833" s="36"/>
      <c r="E833" s="17"/>
      <c r="F833" s="17"/>
      <c r="G833" s="17"/>
      <c r="H833" s="17"/>
      <c r="I833" s="17"/>
      <c r="J833" s="17"/>
      <c r="K833" s="17"/>
      <c r="L833" s="17"/>
      <c r="M833" s="17"/>
      <c r="N833" s="17">
        <v>108.5</v>
      </c>
      <c r="O833" s="17"/>
      <c r="P833" s="17"/>
      <c r="Q833" s="17">
        <f t="shared" si="261"/>
        <v>673.97000000000128</v>
      </c>
      <c r="R833" s="2"/>
      <c r="S833" s="20"/>
    </row>
    <row r="834" spans="1:21" x14ac:dyDescent="0.25">
      <c r="A834" s="26">
        <v>43684</v>
      </c>
      <c r="B834" s="17"/>
      <c r="C834" s="7" t="s">
        <v>276</v>
      </c>
      <c r="D834" s="36"/>
      <c r="E834" s="17"/>
      <c r="F834" s="17"/>
      <c r="G834" s="17"/>
      <c r="H834" s="17"/>
      <c r="I834" s="17"/>
      <c r="J834" s="17"/>
      <c r="K834" s="17"/>
      <c r="L834" s="17"/>
      <c r="M834" s="17"/>
      <c r="N834" s="17">
        <v>6.19</v>
      </c>
      <c r="O834" s="17"/>
      <c r="P834" s="17"/>
      <c r="Q834" s="17">
        <f t="shared" si="261"/>
        <v>680.16000000000133</v>
      </c>
      <c r="R834" s="2"/>
      <c r="S834" s="20"/>
    </row>
    <row r="835" spans="1:21" x14ac:dyDescent="0.25">
      <c r="A835" s="26">
        <v>43684</v>
      </c>
      <c r="B835" s="17"/>
      <c r="C835" s="7" t="s">
        <v>88</v>
      </c>
      <c r="D835" s="36">
        <v>200</v>
      </c>
      <c r="E835" s="17">
        <v>2.9</v>
      </c>
      <c r="F835" s="17">
        <f t="shared" ref="F835" si="266">D835*E835</f>
        <v>580</v>
      </c>
      <c r="G835" s="17">
        <v>0.15</v>
      </c>
      <c r="H835" s="17">
        <f>0.02+0.16</f>
        <v>0.18</v>
      </c>
      <c r="I835" s="17"/>
      <c r="J835" s="17">
        <v>2.4900000000000002</v>
      </c>
      <c r="K835" s="17">
        <f t="shared" ref="K835" si="267">SUM(F835:J835)</f>
        <v>582.81999999999994</v>
      </c>
      <c r="L835" s="17"/>
      <c r="M835" s="17"/>
      <c r="N835" s="17"/>
      <c r="O835" s="17"/>
      <c r="P835" s="17"/>
      <c r="Q835" s="17">
        <f t="shared" si="261"/>
        <v>97.340000000001396</v>
      </c>
      <c r="R835" s="2"/>
      <c r="S835" s="20"/>
    </row>
    <row r="836" spans="1:21" x14ac:dyDescent="0.25">
      <c r="A836" s="26">
        <v>43691</v>
      </c>
      <c r="B836" s="17"/>
      <c r="C836" s="7" t="s">
        <v>183</v>
      </c>
      <c r="D836" s="36"/>
      <c r="E836" s="17"/>
      <c r="F836" s="17"/>
      <c r="G836" s="17"/>
      <c r="H836" s="17"/>
      <c r="I836" s="17"/>
      <c r="J836" s="17"/>
      <c r="K836" s="17"/>
      <c r="L836" s="17"/>
      <c r="M836" s="17"/>
      <c r="N836" s="17">
        <v>14.62</v>
      </c>
      <c r="O836" s="17"/>
      <c r="P836" s="17"/>
      <c r="Q836" s="17">
        <f t="shared" si="261"/>
        <v>111.9600000000014</v>
      </c>
      <c r="R836" s="2"/>
      <c r="S836" s="20"/>
    </row>
    <row r="837" spans="1:21" x14ac:dyDescent="0.25">
      <c r="A837" s="26">
        <v>43691</v>
      </c>
      <c r="B837" s="17"/>
      <c r="C837" s="7" t="s">
        <v>267</v>
      </c>
      <c r="D837" s="36"/>
      <c r="E837" s="17"/>
      <c r="F837" s="17"/>
      <c r="G837" s="17"/>
      <c r="H837" s="17"/>
      <c r="I837" s="17"/>
      <c r="J837" s="17"/>
      <c r="K837" s="17"/>
      <c r="L837" s="17"/>
      <c r="M837" s="17"/>
      <c r="N837" s="17">
        <v>20.399999999999999</v>
      </c>
      <c r="O837" s="17"/>
      <c r="P837" s="17"/>
      <c r="Q837" s="17">
        <f t="shared" si="261"/>
        <v>132.36000000000141</v>
      </c>
      <c r="R837" s="2"/>
      <c r="S837" s="20"/>
    </row>
    <row r="838" spans="1:21" x14ac:dyDescent="0.25">
      <c r="A838" s="26">
        <v>43691</v>
      </c>
      <c r="B838" s="17"/>
      <c r="C838" s="7" t="s">
        <v>184</v>
      </c>
      <c r="D838" s="36"/>
      <c r="E838" s="17"/>
      <c r="F838" s="17"/>
      <c r="G838" s="17"/>
      <c r="H838" s="17"/>
      <c r="I838" s="17"/>
      <c r="J838" s="17"/>
      <c r="K838" s="17"/>
      <c r="L838" s="17"/>
      <c r="M838" s="17"/>
      <c r="N838" s="17">
        <v>40.799999999999997</v>
      </c>
      <c r="O838" s="17"/>
      <c r="P838" s="17"/>
      <c r="Q838" s="17">
        <f t="shared" si="261"/>
        <v>173.16000000000139</v>
      </c>
      <c r="R838" s="2"/>
      <c r="S838" s="20"/>
    </row>
    <row r="839" spans="1:21" x14ac:dyDescent="0.25">
      <c r="A839" s="26">
        <v>43691</v>
      </c>
      <c r="B839" s="17"/>
      <c r="C839" s="7" t="s">
        <v>181</v>
      </c>
      <c r="D839" s="36"/>
      <c r="E839" s="17"/>
      <c r="F839" s="17"/>
      <c r="G839" s="17"/>
      <c r="H839" s="17"/>
      <c r="I839" s="17"/>
      <c r="J839" s="17"/>
      <c r="K839" s="17"/>
      <c r="L839" s="17"/>
      <c r="M839" s="17"/>
      <c r="N839" s="17">
        <v>67.2</v>
      </c>
      <c r="O839" s="17"/>
      <c r="P839" s="17"/>
      <c r="Q839" s="17">
        <f t="shared" si="261"/>
        <v>240.36000000000138</v>
      </c>
      <c r="R839" s="2"/>
      <c r="S839" s="20"/>
    </row>
    <row r="840" spans="1:21" x14ac:dyDescent="0.25">
      <c r="A840" s="26">
        <v>43691</v>
      </c>
      <c r="B840" s="17"/>
      <c r="C840" s="7" t="s">
        <v>169</v>
      </c>
      <c r="D840" s="36"/>
      <c r="E840" s="17"/>
      <c r="F840" s="17"/>
      <c r="G840" s="17"/>
      <c r="H840" s="17"/>
      <c r="I840" s="17"/>
      <c r="J840" s="17"/>
      <c r="K840" s="17"/>
      <c r="L840" s="17"/>
      <c r="M840" s="17"/>
      <c r="N840" s="17">
        <v>94.25</v>
      </c>
      <c r="O840" s="17"/>
      <c r="P840" s="17"/>
      <c r="Q840" s="17">
        <f t="shared" si="261"/>
        <v>334.61000000000138</v>
      </c>
      <c r="R840" s="2"/>
      <c r="S840" s="20"/>
    </row>
    <row r="841" spans="1:21" x14ac:dyDescent="0.25">
      <c r="A841" s="26">
        <v>43691</v>
      </c>
      <c r="B841" s="17"/>
      <c r="C841" s="7" t="s">
        <v>217</v>
      </c>
      <c r="D841" s="36"/>
      <c r="E841" s="17"/>
      <c r="F841" s="17"/>
      <c r="G841" s="17"/>
      <c r="H841" s="17"/>
      <c r="I841" s="17"/>
      <c r="J841" s="17"/>
      <c r="K841" s="17"/>
      <c r="L841" s="17"/>
      <c r="M841" s="17"/>
      <c r="N841" s="17">
        <v>79.3</v>
      </c>
      <c r="O841" s="17"/>
      <c r="P841" s="17"/>
      <c r="Q841" s="17">
        <f t="shared" si="261"/>
        <v>413.91000000000139</v>
      </c>
      <c r="R841" s="2"/>
      <c r="S841" s="20"/>
    </row>
    <row r="842" spans="1:21" x14ac:dyDescent="0.25">
      <c r="A842" s="26">
        <v>43691</v>
      </c>
      <c r="B842" s="17"/>
      <c r="C842" s="7" t="s">
        <v>173</v>
      </c>
      <c r="D842" s="36"/>
      <c r="E842" s="17"/>
      <c r="F842" s="17"/>
      <c r="G842" s="17"/>
      <c r="H842" s="17"/>
      <c r="I842" s="17"/>
      <c r="J842" s="17"/>
      <c r="K842" s="17"/>
      <c r="L842" s="17"/>
      <c r="M842" s="17"/>
      <c r="N842" s="17">
        <v>324.89999999999998</v>
      </c>
      <c r="O842" s="17"/>
      <c r="P842" s="17"/>
      <c r="Q842" s="17">
        <f t="shared" si="261"/>
        <v>738.81000000000131</v>
      </c>
      <c r="R842" s="2"/>
      <c r="S842" s="20"/>
    </row>
    <row r="843" spans="1:21" x14ac:dyDescent="0.25">
      <c r="A843" s="26">
        <v>43691</v>
      </c>
      <c r="B843" s="17"/>
      <c r="C843" s="7" t="s">
        <v>221</v>
      </c>
      <c r="D843" s="36">
        <v>50</v>
      </c>
      <c r="E843" s="17">
        <v>11</v>
      </c>
      <c r="F843" s="17">
        <f t="shared" ref="F843" si="268">D843*E843</f>
        <v>550</v>
      </c>
      <c r="G843" s="17">
        <v>0.15</v>
      </c>
      <c r="H843" s="17">
        <v>0.02</v>
      </c>
      <c r="I843" s="17"/>
      <c r="J843" s="17">
        <v>0</v>
      </c>
      <c r="K843" s="17">
        <f t="shared" ref="K843" si="269">SUM(F843:J843)</f>
        <v>550.16999999999996</v>
      </c>
      <c r="L843" s="17"/>
      <c r="M843" s="17"/>
      <c r="N843" s="17"/>
      <c r="O843" s="17"/>
      <c r="P843" s="17"/>
      <c r="Q843" s="17">
        <f t="shared" si="261"/>
        <v>188.64000000000135</v>
      </c>
      <c r="R843" s="2"/>
      <c r="S843" s="20"/>
    </row>
    <row r="844" spans="1:21" x14ac:dyDescent="0.25">
      <c r="A844" s="26">
        <v>43692</v>
      </c>
      <c r="B844" s="17"/>
      <c r="C844" s="7" t="s">
        <v>221</v>
      </c>
      <c r="D844" s="36"/>
      <c r="E844" s="17"/>
      <c r="F844" s="17"/>
      <c r="G844" s="17"/>
      <c r="H844" s="17"/>
      <c r="I844" s="17"/>
      <c r="J844" s="17"/>
      <c r="K844" s="17"/>
      <c r="L844" s="17"/>
      <c r="M844" s="17"/>
      <c r="N844" s="17">
        <v>52.5</v>
      </c>
      <c r="O844" s="17"/>
      <c r="P844" s="17"/>
      <c r="Q844" s="17">
        <f t="shared" si="261"/>
        <v>241.14000000000135</v>
      </c>
      <c r="R844" s="2"/>
    </row>
    <row r="845" spans="1:21" x14ac:dyDescent="0.25">
      <c r="A845" s="26">
        <v>43692</v>
      </c>
      <c r="B845" s="17"/>
      <c r="C845" s="7" t="s">
        <v>223</v>
      </c>
      <c r="D845" s="36"/>
      <c r="E845" s="17"/>
      <c r="F845" s="17"/>
      <c r="G845" s="17"/>
      <c r="H845" s="17"/>
      <c r="I845" s="17"/>
      <c r="J845" s="17"/>
      <c r="K845" s="17"/>
      <c r="L845" s="17"/>
      <c r="M845" s="17"/>
      <c r="N845" s="17">
        <v>421.85</v>
      </c>
      <c r="O845" s="17"/>
      <c r="P845" s="17"/>
      <c r="Q845" s="17">
        <f t="shared" si="261"/>
        <v>662.99000000000137</v>
      </c>
      <c r="R845" s="2"/>
      <c r="T845" s="20" t="s">
        <v>223</v>
      </c>
      <c r="U845" t="s">
        <v>73</v>
      </c>
    </row>
    <row r="846" spans="1:21" x14ac:dyDescent="0.25">
      <c r="A846" s="26">
        <v>43692</v>
      </c>
      <c r="B846" s="17"/>
      <c r="C846" s="7" t="s">
        <v>88</v>
      </c>
      <c r="D846" s="36">
        <v>200</v>
      </c>
      <c r="E846" s="17">
        <v>2.84</v>
      </c>
      <c r="F846" s="17">
        <f t="shared" ref="F846" si="270">D846*E846</f>
        <v>568</v>
      </c>
      <c r="G846" s="17">
        <v>0.15</v>
      </c>
      <c r="H846" s="17">
        <f>0.02+0.16</f>
        <v>0.18</v>
      </c>
      <c r="I846" s="17"/>
      <c r="J846" s="17">
        <v>2.4900000000000002</v>
      </c>
      <c r="K846" s="17">
        <f>SUM(F846:J846)</f>
        <v>570.81999999999994</v>
      </c>
      <c r="L846" s="17"/>
      <c r="M846" s="17"/>
      <c r="N846" s="17"/>
      <c r="O846" s="17"/>
      <c r="P846" s="17"/>
      <c r="Q846" s="17">
        <f t="shared" si="261"/>
        <v>92.170000000001437</v>
      </c>
      <c r="R846" s="2"/>
      <c r="T846" s="3">
        <v>18.89</v>
      </c>
      <c r="U846">
        <v>2.83</v>
      </c>
    </row>
    <row r="847" spans="1:21" x14ac:dyDescent="0.25">
      <c r="A847" s="26">
        <v>43693</v>
      </c>
      <c r="B847" s="17"/>
      <c r="C847" s="7" t="s">
        <v>220</v>
      </c>
      <c r="D847" s="36"/>
      <c r="E847" s="17"/>
      <c r="F847" s="17"/>
      <c r="G847" s="17"/>
      <c r="H847" s="17"/>
      <c r="I847" s="17"/>
      <c r="J847" s="17"/>
      <c r="K847" s="17"/>
      <c r="L847" s="17"/>
      <c r="M847" s="17"/>
      <c r="N847" s="17">
        <v>22.8</v>
      </c>
      <c r="O847" s="17"/>
      <c r="P847" s="17"/>
      <c r="Q847" s="17">
        <f t="shared" si="261"/>
        <v>114.97000000000143</v>
      </c>
      <c r="R847" s="2"/>
      <c r="T847" s="3">
        <v>10.39</v>
      </c>
      <c r="U847">
        <v>1.82</v>
      </c>
    </row>
    <row r="848" spans="1:21" x14ac:dyDescent="0.25">
      <c r="A848" s="26">
        <v>43696</v>
      </c>
      <c r="B848" s="17"/>
      <c r="C848" s="7" t="s">
        <v>355</v>
      </c>
      <c r="D848" s="36"/>
      <c r="E848" s="17"/>
      <c r="F848" s="17"/>
      <c r="G848" s="17"/>
      <c r="H848" s="17"/>
      <c r="I848" s="17"/>
      <c r="J848" s="17"/>
      <c r="K848" s="17"/>
      <c r="L848" s="17"/>
      <c r="M848" s="17"/>
      <c r="N848" s="17">
        <v>29.75</v>
      </c>
      <c r="O848" s="17"/>
      <c r="P848" s="17"/>
      <c r="Q848" s="17">
        <f t="shared" si="261"/>
        <v>144.72000000000145</v>
      </c>
      <c r="R848" s="2"/>
      <c r="T848" s="3">
        <v>14.16</v>
      </c>
      <c r="U848">
        <v>2.48</v>
      </c>
    </row>
    <row r="849" spans="1:21" x14ac:dyDescent="0.25">
      <c r="A849" s="26">
        <v>43696</v>
      </c>
      <c r="B849" s="17"/>
      <c r="C849" s="7" t="s">
        <v>170</v>
      </c>
      <c r="D849" s="36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>
        <v>326.60000000000002</v>
      </c>
      <c r="P849" s="17">
        <v>105.96</v>
      </c>
      <c r="Q849" s="17">
        <f t="shared" si="261"/>
        <v>577.28000000000145</v>
      </c>
      <c r="R849" s="2"/>
      <c r="T849" s="3">
        <v>18.89</v>
      </c>
      <c r="U849">
        <v>2.83</v>
      </c>
    </row>
    <row r="850" spans="1:21" x14ac:dyDescent="0.25">
      <c r="A850" s="26">
        <v>43696</v>
      </c>
      <c r="B850" s="17"/>
      <c r="C850" s="7" t="s">
        <v>88</v>
      </c>
      <c r="D850" s="36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>
        <v>138.43</v>
      </c>
      <c r="P850" s="17"/>
      <c r="Q850" s="17">
        <f t="shared" si="261"/>
        <v>715.7100000000014</v>
      </c>
      <c r="R850" s="2"/>
      <c r="T850" s="3">
        <v>18.89</v>
      </c>
      <c r="U850">
        <v>3.31</v>
      </c>
    </row>
    <row r="851" spans="1:21" x14ac:dyDescent="0.25">
      <c r="A851" s="26">
        <v>43698</v>
      </c>
      <c r="B851" s="17"/>
      <c r="C851" s="7" t="s">
        <v>364</v>
      </c>
      <c r="D851" s="36"/>
      <c r="E851" s="17"/>
      <c r="F851" s="17"/>
      <c r="G851" s="17"/>
      <c r="H851" s="17"/>
      <c r="I851" s="17"/>
      <c r="J851" s="17"/>
      <c r="K851" s="17"/>
      <c r="L851" s="17"/>
      <c r="M851" s="17"/>
      <c r="N851" s="17">
        <v>15.91</v>
      </c>
      <c r="O851" s="17"/>
      <c r="P851" s="17"/>
      <c r="Q851" s="17">
        <f t="shared" si="261"/>
        <v>731.62000000000137</v>
      </c>
      <c r="R851" s="2"/>
      <c r="T851" s="3">
        <v>18.89</v>
      </c>
      <c r="U851">
        <v>2.83</v>
      </c>
    </row>
    <row r="852" spans="1:21" x14ac:dyDescent="0.25">
      <c r="A852" s="26">
        <v>43698</v>
      </c>
      <c r="B852" s="17"/>
      <c r="C852" s="7" t="s">
        <v>270</v>
      </c>
      <c r="D852" s="36"/>
      <c r="E852" s="17"/>
      <c r="F852" s="17"/>
      <c r="G852" s="17"/>
      <c r="H852" s="17"/>
      <c r="I852" s="17"/>
      <c r="J852" s="17"/>
      <c r="K852" s="17"/>
      <c r="L852" s="17"/>
      <c r="M852" s="17"/>
      <c r="N852" s="17">
        <v>35.340000000000003</v>
      </c>
      <c r="O852" s="17"/>
      <c r="P852" s="17"/>
      <c r="Q852" s="17">
        <f t="shared" si="261"/>
        <v>766.9600000000014</v>
      </c>
      <c r="R852" s="2"/>
      <c r="T852" s="3">
        <v>15.11</v>
      </c>
      <c r="U852">
        <v>2.27</v>
      </c>
    </row>
    <row r="853" spans="1:21" x14ac:dyDescent="0.25">
      <c r="A853" s="26">
        <v>43698</v>
      </c>
      <c r="B853" s="17"/>
      <c r="C853" s="7" t="s">
        <v>221</v>
      </c>
      <c r="D853" s="36">
        <v>70</v>
      </c>
      <c r="E853" s="17">
        <v>10.79</v>
      </c>
      <c r="F853" s="17">
        <f t="shared" ref="F853" si="271">D853*E853</f>
        <v>755.3</v>
      </c>
      <c r="G853" s="17">
        <v>0.2</v>
      </c>
      <c r="H853" s="17">
        <v>0.03</v>
      </c>
      <c r="I853" s="17"/>
      <c r="J853" s="17">
        <v>0</v>
      </c>
      <c r="K853" s="17">
        <f t="shared" ref="K853" si="272">SUM(F853:J853)</f>
        <v>755.53</v>
      </c>
      <c r="L853" s="17"/>
      <c r="M853" s="17"/>
      <c r="N853" s="17"/>
      <c r="O853" s="17"/>
      <c r="P853" s="17"/>
      <c r="Q853" s="17">
        <f t="shared" si="261"/>
        <v>11.430000000001428</v>
      </c>
      <c r="R853" s="2"/>
      <c r="T853" s="3">
        <v>18.89</v>
      </c>
      <c r="U853">
        <v>2.83</v>
      </c>
    </row>
    <row r="854" spans="1:21" x14ac:dyDescent="0.25">
      <c r="A854" s="26">
        <v>43700</v>
      </c>
      <c r="B854" s="17"/>
      <c r="C854" s="7" t="s">
        <v>85</v>
      </c>
      <c r="D854" s="36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>
        <v>825.37</v>
      </c>
      <c r="P854" s="17"/>
      <c r="Q854" s="17">
        <f t="shared" si="261"/>
        <v>836.80000000000143</v>
      </c>
      <c r="R854" s="2"/>
      <c r="T854" s="3">
        <v>14.16</v>
      </c>
      <c r="U854">
        <v>2.12</v>
      </c>
    </row>
    <row r="855" spans="1:21" x14ac:dyDescent="0.25">
      <c r="A855" s="26">
        <v>43704</v>
      </c>
      <c r="B855" s="17"/>
      <c r="C855" s="7" t="s">
        <v>367</v>
      </c>
      <c r="D855" s="36">
        <v>20</v>
      </c>
      <c r="E855" s="17">
        <v>101</v>
      </c>
      <c r="F855" s="17">
        <f t="shared" ref="F855" si="273">D855*E855</f>
        <v>2020</v>
      </c>
      <c r="G855" s="17">
        <v>0</v>
      </c>
      <c r="H855" s="17">
        <v>0</v>
      </c>
      <c r="I855" s="17"/>
      <c r="J855" s="17">
        <v>0</v>
      </c>
      <c r="K855" s="17">
        <f t="shared" ref="K855" si="274">SUM(F855:J855)</f>
        <v>2020</v>
      </c>
      <c r="L855" s="17"/>
      <c r="M855" s="17"/>
      <c r="N855" s="17"/>
      <c r="O855" s="17"/>
      <c r="P855" s="17"/>
      <c r="Q855" s="17">
        <f t="shared" si="261"/>
        <v>-1183.1999999999985</v>
      </c>
      <c r="R855" s="2"/>
      <c r="T855" s="3">
        <v>11.33</v>
      </c>
      <c r="U855">
        <v>1.7</v>
      </c>
    </row>
    <row r="856" spans="1:21" x14ac:dyDescent="0.25">
      <c r="A856" s="26">
        <v>43706</v>
      </c>
      <c r="B856" s="17"/>
      <c r="D856" s="36"/>
      <c r="E856" s="17"/>
      <c r="F856" s="17"/>
      <c r="G856" s="17"/>
      <c r="H856" s="17"/>
      <c r="I856" s="17"/>
      <c r="J856" s="17"/>
      <c r="K856" s="17"/>
      <c r="L856" s="17">
        <f>4.39+4.13+0.18</f>
        <v>8.6999999999999993</v>
      </c>
      <c r="M856" s="17"/>
      <c r="N856" s="17"/>
      <c r="O856" s="17"/>
      <c r="P856" s="17"/>
      <c r="Q856" s="17">
        <f t="shared" si="261"/>
        <v>-1191.8999999999985</v>
      </c>
      <c r="R856" s="2" t="s">
        <v>368</v>
      </c>
      <c r="T856" s="3">
        <v>18.89</v>
      </c>
      <c r="U856">
        <v>2.83</v>
      </c>
    </row>
    <row r="857" spans="1:21" x14ac:dyDescent="0.25">
      <c r="A857" s="26">
        <v>43707</v>
      </c>
      <c r="B857" s="17"/>
      <c r="C857" s="7" t="s">
        <v>5</v>
      </c>
      <c r="D857" s="36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>
        <v>0.37</v>
      </c>
      <c r="P857" s="17">
        <v>37.520000000000003</v>
      </c>
      <c r="Q857" s="17">
        <f t="shared" si="261"/>
        <v>-1154.0099999999986</v>
      </c>
      <c r="R857" s="2"/>
      <c r="T857" s="3">
        <v>18.89</v>
      </c>
      <c r="U857">
        <v>2.83</v>
      </c>
    </row>
    <row r="858" spans="1:21" x14ac:dyDescent="0.25">
      <c r="A858" s="26">
        <v>43707</v>
      </c>
      <c r="B858" s="17"/>
      <c r="C858" s="7" t="s">
        <v>180</v>
      </c>
      <c r="D858" s="36"/>
      <c r="E858" s="17"/>
      <c r="F858" s="17"/>
      <c r="G858" s="17"/>
      <c r="H858" s="17"/>
      <c r="I858" s="17"/>
      <c r="J858" s="17"/>
      <c r="K858" s="17"/>
      <c r="L858" s="17"/>
      <c r="M858" s="17"/>
      <c r="N858" s="17">
        <v>18.93</v>
      </c>
      <c r="O858" s="17"/>
      <c r="P858" s="17"/>
      <c r="Q858" s="17">
        <f t="shared" si="261"/>
        <v>-1135.0799999999986</v>
      </c>
      <c r="R858" s="2"/>
      <c r="T858" s="3">
        <v>34.94</v>
      </c>
      <c r="U858">
        <v>5.24</v>
      </c>
    </row>
    <row r="859" spans="1:21" x14ac:dyDescent="0.25">
      <c r="A859" s="26">
        <v>43707</v>
      </c>
      <c r="B859" s="17">
        <v>1200</v>
      </c>
      <c r="D859" s="36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>
        <f>Q858+B859-K859-L859-M859+N859+O859+P859</f>
        <v>64.920000000001437</v>
      </c>
      <c r="R859" s="2"/>
      <c r="T859" s="3">
        <v>18.89</v>
      </c>
      <c r="U859">
        <v>2.83</v>
      </c>
    </row>
    <row r="860" spans="1:21" x14ac:dyDescent="0.25">
      <c r="A860" s="26">
        <v>43710</v>
      </c>
      <c r="B860" s="17">
        <v>1000</v>
      </c>
      <c r="D860" s="36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>
        <f>Q859+B860-K860-L860-M860+N860+O860+P860</f>
        <v>1064.9200000000014</v>
      </c>
      <c r="R860" s="2"/>
      <c r="T860" s="3">
        <v>12.28</v>
      </c>
      <c r="U860">
        <v>2.46</v>
      </c>
    </row>
    <row r="861" spans="1:21" x14ac:dyDescent="0.25">
      <c r="A861" s="26">
        <v>43712</v>
      </c>
      <c r="B861" s="17"/>
      <c r="C861" s="7" t="s">
        <v>221</v>
      </c>
      <c r="D861" s="36">
        <v>50</v>
      </c>
      <c r="E861" s="17">
        <v>10.87</v>
      </c>
      <c r="F861" s="17">
        <f t="shared" ref="F861" si="275">D861*E861</f>
        <v>543.5</v>
      </c>
      <c r="G861" s="17">
        <v>0.14000000000000001</v>
      </c>
      <c r="H861" s="17">
        <v>0.02</v>
      </c>
      <c r="I861" s="17"/>
      <c r="J861" s="17">
        <v>0</v>
      </c>
      <c r="K861" s="17">
        <f t="shared" ref="K861" si="276">SUM(F861:J861)</f>
        <v>543.66</v>
      </c>
      <c r="L861" s="17"/>
      <c r="M861" s="17"/>
      <c r="N861" s="17"/>
      <c r="O861" s="17"/>
      <c r="P861" s="17"/>
      <c r="Q861" s="17">
        <f t="shared" si="261"/>
        <v>521.26000000000147</v>
      </c>
      <c r="R861" s="2"/>
      <c r="T861" s="3">
        <v>22.66</v>
      </c>
      <c r="U861">
        <v>3.4</v>
      </c>
    </row>
    <row r="862" spans="1:21" x14ac:dyDescent="0.25">
      <c r="A862" s="26">
        <v>43713</v>
      </c>
      <c r="B862" s="17"/>
      <c r="C862" s="7" t="s">
        <v>96</v>
      </c>
      <c r="D862" s="36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>
        <v>154.4</v>
      </c>
      <c r="P862" s="17"/>
      <c r="Q862" s="17">
        <f t="shared" si="261"/>
        <v>675.66000000000145</v>
      </c>
      <c r="R862" s="2"/>
      <c r="T862" s="3">
        <v>23.61</v>
      </c>
      <c r="U862">
        <v>3.54</v>
      </c>
    </row>
    <row r="863" spans="1:21" x14ac:dyDescent="0.25">
      <c r="A863" s="26">
        <v>43713</v>
      </c>
      <c r="B863" s="17">
        <v>2000</v>
      </c>
      <c r="D863" s="36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>
        <f t="shared" si="261"/>
        <v>2675.6600000000017</v>
      </c>
      <c r="R863" s="2"/>
      <c r="T863" s="3">
        <v>33.049999999999997</v>
      </c>
      <c r="U863">
        <v>4.96</v>
      </c>
    </row>
    <row r="864" spans="1:21" x14ac:dyDescent="0.25">
      <c r="A864" s="26">
        <v>43714</v>
      </c>
      <c r="B864" s="17"/>
      <c r="C864" s="7" t="s">
        <v>217</v>
      </c>
      <c r="D864" s="36">
        <v>8</v>
      </c>
      <c r="E864" s="17">
        <v>103.35</v>
      </c>
      <c r="F864" s="17">
        <f t="shared" ref="F864" si="277">D864*E864</f>
        <v>826.8</v>
      </c>
      <c r="G864" s="17">
        <v>0.22</v>
      </c>
      <c r="H864" s="17">
        <v>0.03</v>
      </c>
      <c r="I864" s="17"/>
      <c r="J864" s="17">
        <v>0</v>
      </c>
      <c r="K864" s="17">
        <f t="shared" ref="K864" si="278">SUM(F864:J864)</f>
        <v>827.05</v>
      </c>
      <c r="L864" s="17"/>
      <c r="M864" s="17"/>
      <c r="N864" s="17"/>
      <c r="O864" s="17"/>
      <c r="P864" s="17"/>
      <c r="Q864" s="17">
        <f t="shared" si="261"/>
        <v>1848.6100000000017</v>
      </c>
      <c r="R864" s="2"/>
      <c r="T864" s="3">
        <v>13.22</v>
      </c>
      <c r="U864">
        <v>2.31</v>
      </c>
    </row>
    <row r="865" spans="1:21" x14ac:dyDescent="0.25">
      <c r="A865" s="26">
        <v>43714</v>
      </c>
      <c r="B865" s="17"/>
      <c r="C865" s="7" t="s">
        <v>222</v>
      </c>
      <c r="D865" s="36"/>
      <c r="E865" s="17"/>
      <c r="F865" s="17"/>
      <c r="G865" s="17"/>
      <c r="H865" s="17"/>
      <c r="I865" s="17"/>
      <c r="J865" s="17"/>
      <c r="K865" s="17"/>
      <c r="L865" s="17"/>
      <c r="M865" s="17"/>
      <c r="N865" s="17">
        <v>100.75</v>
      </c>
      <c r="O865" s="17"/>
      <c r="P865" s="17"/>
      <c r="Q865" s="17">
        <f t="shared" si="261"/>
        <v>1949.3600000000017</v>
      </c>
      <c r="R865" s="2"/>
      <c r="T865" s="3">
        <v>14.16</v>
      </c>
      <c r="U865">
        <v>2.12</v>
      </c>
    </row>
    <row r="866" spans="1:21" x14ac:dyDescent="0.25">
      <c r="A866" s="26">
        <v>43714</v>
      </c>
      <c r="B866" s="17"/>
      <c r="C866" s="7" t="s">
        <v>276</v>
      </c>
      <c r="D866" s="36"/>
      <c r="E866" s="17"/>
      <c r="F866" s="17"/>
      <c r="G866" s="17"/>
      <c r="H866" s="17"/>
      <c r="I866" s="17"/>
      <c r="J866" s="17"/>
      <c r="K866" s="17"/>
      <c r="L866" s="17"/>
      <c r="M866" s="17"/>
      <c r="N866" s="17">
        <v>5.52</v>
      </c>
      <c r="O866" s="17"/>
      <c r="P866" s="17"/>
      <c r="Q866" s="17">
        <f>Q865+B866-K866-L866-M866+N866+O866+P866+25.65</f>
        <v>1980.5300000000018</v>
      </c>
      <c r="R866" s="2" t="s">
        <v>369</v>
      </c>
      <c r="T866" s="3">
        <v>28.33</v>
      </c>
      <c r="U866">
        <v>4.25</v>
      </c>
    </row>
    <row r="867" spans="1:21" x14ac:dyDescent="0.25">
      <c r="A867" s="26">
        <v>43717</v>
      </c>
      <c r="B867" s="17"/>
      <c r="C867" s="7" t="s">
        <v>186</v>
      </c>
      <c r="D867" s="36"/>
      <c r="E867" s="17"/>
      <c r="F867" s="17"/>
      <c r="G867" s="17"/>
      <c r="H867" s="17"/>
      <c r="I867" s="17"/>
      <c r="J867" s="17"/>
      <c r="K867" s="17"/>
      <c r="L867" s="17"/>
      <c r="M867" s="17"/>
      <c r="N867" s="17">
        <v>51.85</v>
      </c>
      <c r="O867" s="17"/>
      <c r="P867" s="17"/>
      <c r="Q867" s="17">
        <f t="shared" si="261"/>
        <v>2032.3800000000017</v>
      </c>
      <c r="R867" s="118"/>
      <c r="T867" s="3">
        <v>8.5</v>
      </c>
      <c r="U867">
        <v>1.49</v>
      </c>
    </row>
    <row r="868" spans="1:21" x14ac:dyDescent="0.25">
      <c r="A868" s="26">
        <v>43717</v>
      </c>
      <c r="B868" s="17"/>
      <c r="C868" s="7" t="s">
        <v>234</v>
      </c>
      <c r="D868" s="36"/>
      <c r="E868" s="17"/>
      <c r="F868" s="17"/>
      <c r="G868" s="17"/>
      <c r="H868" s="17"/>
      <c r="I868" s="17"/>
      <c r="J868" s="17"/>
      <c r="K868" s="17"/>
      <c r="L868" s="17"/>
      <c r="M868" s="17"/>
      <c r="N868" s="17">
        <v>28.4</v>
      </c>
      <c r="O868" s="17"/>
      <c r="P868" s="17"/>
      <c r="Q868" s="17">
        <f t="shared" si="261"/>
        <v>2060.7800000000016</v>
      </c>
      <c r="R868" s="2"/>
      <c r="T868" s="3">
        <v>16.059999999999999</v>
      </c>
      <c r="U868">
        <v>2.41</v>
      </c>
    </row>
    <row r="869" spans="1:21" x14ac:dyDescent="0.25">
      <c r="A869" s="26">
        <v>43717</v>
      </c>
      <c r="B869" s="17"/>
      <c r="C869" s="7" t="s">
        <v>218</v>
      </c>
      <c r="D869" s="36">
        <v>100</v>
      </c>
      <c r="E869" s="17">
        <v>11.86</v>
      </c>
      <c r="F869" s="17">
        <f t="shared" ref="F869" si="279">D869*E869</f>
        <v>1186</v>
      </c>
      <c r="G869" s="17">
        <v>0.32</v>
      </c>
      <c r="H869" s="17">
        <f>0.04+0.16</f>
        <v>0.2</v>
      </c>
      <c r="I869" s="17"/>
      <c r="J869" s="17">
        <v>2.4900000000000002</v>
      </c>
      <c r="K869" s="17">
        <f t="shared" ref="K869" si="280">SUM(F869:J869)</f>
        <v>1189.01</v>
      </c>
      <c r="L869" s="17"/>
      <c r="M869" s="17"/>
      <c r="N869" s="17"/>
      <c r="O869" s="17"/>
      <c r="P869" s="17"/>
      <c r="Q869" s="17">
        <f t="shared" si="261"/>
        <v>871.77000000000157</v>
      </c>
      <c r="R869" s="2"/>
      <c r="T869" s="5">
        <v>33.049999999999997</v>
      </c>
      <c r="U869">
        <v>5.78</v>
      </c>
    </row>
    <row r="870" spans="1:21" x14ac:dyDescent="0.25">
      <c r="A870" s="26">
        <v>43718</v>
      </c>
      <c r="B870" s="17">
        <v>2000</v>
      </c>
      <c r="D870" s="36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>
        <f t="shared" si="261"/>
        <v>2871.7700000000013</v>
      </c>
      <c r="R870" s="2"/>
      <c r="T870" s="5">
        <v>14.16</v>
      </c>
      <c r="U870">
        <v>2.12</v>
      </c>
    </row>
    <row r="871" spans="1:21" x14ac:dyDescent="0.25">
      <c r="A871" s="26">
        <v>43718</v>
      </c>
      <c r="B871" s="17"/>
      <c r="C871" s="7" t="s">
        <v>364</v>
      </c>
      <c r="D871" s="36">
        <v>7</v>
      </c>
      <c r="E871" s="17">
        <v>109.2</v>
      </c>
      <c r="F871" s="17">
        <f t="shared" ref="F871" si="281">D871*E871</f>
        <v>764.4</v>
      </c>
      <c r="G871" s="17">
        <v>0.21</v>
      </c>
      <c r="H871" s="17">
        <v>0.02</v>
      </c>
      <c r="I871" s="17"/>
      <c r="J871" s="17">
        <v>0</v>
      </c>
      <c r="K871" s="17">
        <f t="shared" ref="K871" si="282">SUM(F871:J871)</f>
        <v>764.63</v>
      </c>
      <c r="L871" s="17"/>
      <c r="M871" s="17"/>
      <c r="N871" s="17"/>
      <c r="O871" s="17"/>
      <c r="P871" s="17"/>
      <c r="Q871" s="17">
        <f t="shared" si="261"/>
        <v>2107.1400000000012</v>
      </c>
      <c r="R871" s="2"/>
      <c r="T871" s="5">
        <v>6.61</v>
      </c>
      <c r="U871">
        <v>1.1599999999999999</v>
      </c>
    </row>
    <row r="872" spans="1:21" x14ac:dyDescent="0.25">
      <c r="A872" s="26">
        <v>43720</v>
      </c>
      <c r="B872" s="17"/>
      <c r="C872" s="7" t="s">
        <v>221</v>
      </c>
      <c r="D872" s="36"/>
      <c r="E872" s="17"/>
      <c r="F872" s="17"/>
      <c r="G872" s="17"/>
      <c r="H872" s="17"/>
      <c r="I872" s="17"/>
      <c r="J872" s="17"/>
      <c r="K872" s="17"/>
      <c r="L872" s="17"/>
      <c r="M872" s="17"/>
      <c r="N872" s="17">
        <v>64.400000000000006</v>
      </c>
      <c r="O872" s="17"/>
      <c r="P872" s="17"/>
      <c r="Q872" s="17">
        <f t="shared" si="261"/>
        <v>2171.5400000000013</v>
      </c>
      <c r="R872" s="2"/>
      <c r="T872" s="5">
        <v>14.16</v>
      </c>
      <c r="U872">
        <v>2.48</v>
      </c>
    </row>
    <row r="873" spans="1:21" x14ac:dyDescent="0.25">
      <c r="A873" s="26">
        <v>43720</v>
      </c>
      <c r="B873" s="17"/>
      <c r="C873" s="7" t="s">
        <v>221</v>
      </c>
      <c r="D873" s="36">
        <v>80</v>
      </c>
      <c r="E873" s="17">
        <v>10.89</v>
      </c>
      <c r="F873" s="17">
        <f t="shared" ref="F873" si="283">D873*E873</f>
        <v>871.2</v>
      </c>
      <c r="G873" s="17">
        <v>0.23</v>
      </c>
      <c r="H873" s="17">
        <v>0.03</v>
      </c>
      <c r="I873" s="17"/>
      <c r="J873" s="17">
        <v>0</v>
      </c>
      <c r="K873" s="17">
        <f t="shared" ref="K873" si="284">SUM(F873:J873)</f>
        <v>871.46</v>
      </c>
      <c r="L873" s="17"/>
      <c r="M873" s="17"/>
      <c r="N873" s="17"/>
      <c r="O873" s="17"/>
      <c r="P873" s="17"/>
      <c r="Q873" s="17">
        <f t="shared" si="261"/>
        <v>1300.0800000000013</v>
      </c>
      <c r="R873" s="2"/>
      <c r="T873" s="5">
        <v>9.44</v>
      </c>
      <c r="U873">
        <v>1.42</v>
      </c>
    </row>
    <row r="874" spans="1:21" x14ac:dyDescent="0.25">
      <c r="A874" s="26">
        <v>43721</v>
      </c>
      <c r="B874" s="17"/>
      <c r="C874" s="7" t="s">
        <v>364</v>
      </c>
      <c r="D874" s="36"/>
      <c r="E874" s="17"/>
      <c r="F874" s="17"/>
      <c r="G874" s="17"/>
      <c r="H874" s="17"/>
      <c r="I874" s="17"/>
      <c r="J874" s="17"/>
      <c r="K874" s="17"/>
      <c r="L874" s="17"/>
      <c r="M874" s="17"/>
      <c r="N874" s="17">
        <v>15.43</v>
      </c>
      <c r="O874" s="17"/>
      <c r="P874" s="17"/>
      <c r="Q874" s="17">
        <f t="shared" si="261"/>
        <v>1315.5100000000014</v>
      </c>
      <c r="R874" s="2"/>
      <c r="T874" s="5"/>
    </row>
    <row r="875" spans="1:21" x14ac:dyDescent="0.25">
      <c r="A875" s="26">
        <v>43721</v>
      </c>
      <c r="B875" s="17"/>
      <c r="C875" s="7" t="s">
        <v>184</v>
      </c>
      <c r="D875" s="36"/>
      <c r="E875" s="17"/>
      <c r="F875" s="17"/>
      <c r="G875" s="17"/>
      <c r="H875" s="17"/>
      <c r="I875" s="17"/>
      <c r="J875" s="17"/>
      <c r="K875" s="17"/>
      <c r="L875" s="17"/>
      <c r="M875" s="17"/>
      <c r="N875" s="17">
        <v>19.5</v>
      </c>
      <c r="O875" s="17"/>
      <c r="P875" s="17"/>
      <c r="Q875" s="17">
        <f t="shared" si="261"/>
        <v>1335.0100000000014</v>
      </c>
      <c r="R875" s="2"/>
      <c r="T875" s="5">
        <f>SUM(T846:T873)</f>
        <v>500.50000000000011</v>
      </c>
      <c r="U875" s="5">
        <f>SUM(U846:U873)</f>
        <v>78.650000000000006</v>
      </c>
    </row>
    <row r="876" spans="1:21" x14ac:dyDescent="0.25">
      <c r="A876" s="26">
        <v>43721</v>
      </c>
      <c r="B876" s="17"/>
      <c r="C876" s="7" t="s">
        <v>267</v>
      </c>
      <c r="D876" s="36"/>
      <c r="E876" s="17"/>
      <c r="F876" s="17"/>
      <c r="G876" s="17"/>
      <c r="H876" s="17"/>
      <c r="I876" s="17"/>
      <c r="J876" s="17"/>
      <c r="K876" s="17"/>
      <c r="L876" s="17"/>
      <c r="M876" s="17"/>
      <c r="N876" s="17">
        <v>20.399999999999999</v>
      </c>
      <c r="O876" s="17"/>
      <c r="P876" s="17"/>
      <c r="Q876" s="17">
        <f t="shared" si="261"/>
        <v>1355.4100000000014</v>
      </c>
      <c r="R876" s="2"/>
      <c r="T876" s="5"/>
    </row>
    <row r="877" spans="1:21" x14ac:dyDescent="0.25">
      <c r="A877" s="26">
        <v>43721</v>
      </c>
      <c r="B877" s="17"/>
      <c r="C877" s="7" t="s">
        <v>183</v>
      </c>
      <c r="D877" s="36"/>
      <c r="E877" s="17"/>
      <c r="F877" s="17"/>
      <c r="G877" s="17"/>
      <c r="H877" s="17"/>
      <c r="I877" s="17"/>
      <c r="J877" s="17"/>
      <c r="K877" s="17"/>
      <c r="L877" s="17"/>
      <c r="M877" s="17"/>
      <c r="N877" s="17">
        <v>16.86</v>
      </c>
      <c r="O877" s="17"/>
      <c r="P877" s="17"/>
      <c r="Q877" s="17">
        <f t="shared" si="261"/>
        <v>1372.2700000000013</v>
      </c>
      <c r="R877" s="2"/>
      <c r="T877" s="5" t="s">
        <v>260</v>
      </c>
      <c r="U877" s="5">
        <f>T875-U875</f>
        <v>421.85000000000014</v>
      </c>
    </row>
    <row r="878" spans="1:21" x14ac:dyDescent="0.25">
      <c r="A878" s="26">
        <v>43721</v>
      </c>
      <c r="B878" s="17"/>
      <c r="C878" s="7" t="s">
        <v>181</v>
      </c>
      <c r="D878" s="36"/>
      <c r="E878" s="17"/>
      <c r="F878" s="17"/>
      <c r="G878" s="17"/>
      <c r="H878" s="17"/>
      <c r="I878" s="17"/>
      <c r="J878" s="17"/>
      <c r="K878" s="17"/>
      <c r="L878" s="17"/>
      <c r="M878" s="17"/>
      <c r="N878" s="17">
        <v>67.2</v>
      </c>
      <c r="O878" s="17"/>
      <c r="P878" s="17"/>
      <c r="Q878" s="17">
        <f t="shared" si="261"/>
        <v>1439.4700000000014</v>
      </c>
      <c r="R878" s="2"/>
      <c r="T878" s="5"/>
    </row>
    <row r="879" spans="1:21" x14ac:dyDescent="0.25">
      <c r="A879" s="26">
        <v>43721</v>
      </c>
      <c r="B879" s="17"/>
      <c r="C879" s="7" t="s">
        <v>169</v>
      </c>
      <c r="D879" s="36"/>
      <c r="E879" s="17"/>
      <c r="F879" s="17"/>
      <c r="G879" s="17"/>
      <c r="H879" s="17"/>
      <c r="I879" s="17"/>
      <c r="J879" s="17"/>
      <c r="K879" s="17"/>
      <c r="L879" s="17"/>
      <c r="M879" s="17"/>
      <c r="N879" s="17">
        <v>133.4</v>
      </c>
      <c r="O879" s="17"/>
      <c r="P879" s="17"/>
      <c r="Q879" s="17">
        <f t="shared" si="261"/>
        <v>1572.8700000000015</v>
      </c>
      <c r="R879" s="2"/>
      <c r="T879" s="5"/>
    </row>
    <row r="880" spans="1:21" x14ac:dyDescent="0.25">
      <c r="A880" s="26">
        <v>43721</v>
      </c>
      <c r="B880" s="17"/>
      <c r="C880" s="7" t="s">
        <v>217</v>
      </c>
      <c r="D880" s="36"/>
      <c r="E880" s="17"/>
      <c r="F880" s="17"/>
      <c r="G880" s="17"/>
      <c r="H880" s="17"/>
      <c r="I880" s="17"/>
      <c r="J880" s="17"/>
      <c r="K880" s="17"/>
      <c r="L880" s="17"/>
      <c r="M880" s="17"/>
      <c r="N880" s="17">
        <v>82.35</v>
      </c>
      <c r="O880" s="17"/>
      <c r="P880" s="17"/>
      <c r="Q880" s="17">
        <f t="shared" si="261"/>
        <v>1655.2200000000014</v>
      </c>
      <c r="R880" s="2"/>
      <c r="T880" s="5"/>
    </row>
    <row r="881" spans="1:20" x14ac:dyDescent="0.25">
      <c r="A881" s="26">
        <v>43721</v>
      </c>
      <c r="B881" s="17"/>
      <c r="C881" s="7" t="s">
        <v>173</v>
      </c>
      <c r="D881" s="36"/>
      <c r="E881" s="17"/>
      <c r="F881" s="17"/>
      <c r="G881" s="17"/>
      <c r="H881" s="17"/>
      <c r="I881" s="17"/>
      <c r="J881" s="17"/>
      <c r="K881" s="17"/>
      <c r="L881" s="17"/>
      <c r="M881" s="17"/>
      <c r="N881" s="17">
        <v>324.89999999999998</v>
      </c>
      <c r="O881" s="17"/>
      <c r="P881" s="17"/>
      <c r="Q881" s="17">
        <f t="shared" si="261"/>
        <v>1980.1200000000013</v>
      </c>
      <c r="R881" s="2"/>
      <c r="T881" s="5"/>
    </row>
    <row r="882" spans="1:20" x14ac:dyDescent="0.25">
      <c r="A882" s="26">
        <v>43721</v>
      </c>
      <c r="B882" s="17"/>
      <c r="C882" s="7" t="s">
        <v>355</v>
      </c>
      <c r="D882" s="36">
        <v>10</v>
      </c>
      <c r="E882" s="17">
        <v>102.68</v>
      </c>
      <c r="F882" s="17">
        <f t="shared" ref="F882" si="285">D882*E882</f>
        <v>1026.8000000000002</v>
      </c>
      <c r="G882" s="17">
        <v>0.28000000000000003</v>
      </c>
      <c r="H882" s="17">
        <v>0.03</v>
      </c>
      <c r="I882" s="17"/>
      <c r="J882" s="17">
        <v>0</v>
      </c>
      <c r="K882" s="17">
        <f t="shared" ref="K882" si="286">SUM(F882:J882)</f>
        <v>1027.1100000000001</v>
      </c>
      <c r="L882" s="17"/>
      <c r="M882" s="17"/>
      <c r="N882" s="17"/>
      <c r="O882" s="17"/>
      <c r="P882" s="17"/>
      <c r="Q882" s="17">
        <f t="shared" si="261"/>
        <v>953.01000000000113</v>
      </c>
      <c r="R882" s="2"/>
      <c r="T882" s="5"/>
    </row>
    <row r="883" spans="1:20" x14ac:dyDescent="0.25">
      <c r="A883" s="26">
        <v>43724</v>
      </c>
      <c r="C883" s="7" t="s">
        <v>183</v>
      </c>
      <c r="D883" s="36">
        <v>10</v>
      </c>
      <c r="E883" s="17">
        <v>47.5</v>
      </c>
      <c r="F883" s="17">
        <f t="shared" ref="F883" si="287">D883*E883</f>
        <v>475</v>
      </c>
      <c r="G883" s="17">
        <v>0.15</v>
      </c>
      <c r="H883" s="17">
        <v>0.02</v>
      </c>
      <c r="I883" s="17"/>
      <c r="J883" s="17">
        <v>0</v>
      </c>
      <c r="K883" s="17">
        <f t="shared" ref="K883" si="288">SUM(F883:J883)</f>
        <v>475.16999999999996</v>
      </c>
      <c r="O883" s="17"/>
      <c r="P883" s="17"/>
      <c r="Q883" s="17">
        <f t="shared" si="261"/>
        <v>477.84000000000117</v>
      </c>
      <c r="R883" s="2"/>
      <c r="T883" s="5"/>
    </row>
    <row r="884" spans="1:20" x14ac:dyDescent="0.25">
      <c r="A884" s="26">
        <v>43724</v>
      </c>
      <c r="C884" s="7" t="s">
        <v>364</v>
      </c>
      <c r="D884" s="36">
        <v>4</v>
      </c>
      <c r="E884" s="17">
        <v>109.14</v>
      </c>
      <c r="F884" s="17">
        <f t="shared" ref="F884" si="289">D884*E884</f>
        <v>436.56</v>
      </c>
      <c r="G884" s="17">
        <v>0.1</v>
      </c>
      <c r="H884" s="17">
        <v>0.01</v>
      </c>
      <c r="I884" s="17"/>
      <c r="J884" s="17">
        <v>0</v>
      </c>
      <c r="K884" s="17">
        <f t="shared" ref="K884" si="290">SUM(F884:J884)</f>
        <v>436.67</v>
      </c>
      <c r="O884" s="17"/>
      <c r="P884" s="17"/>
      <c r="Q884" s="17">
        <f t="shared" si="261"/>
        <v>41.170000000001153</v>
      </c>
      <c r="R884" s="2"/>
      <c r="S884" s="20"/>
      <c r="T884" s="5"/>
    </row>
    <row r="885" spans="1:20" x14ac:dyDescent="0.25">
      <c r="A885" s="26">
        <v>43725</v>
      </c>
      <c r="B885" s="17"/>
      <c r="C885" s="7" t="s">
        <v>220</v>
      </c>
      <c r="D885" s="36"/>
      <c r="E885" s="17"/>
      <c r="F885" s="17"/>
      <c r="G885" s="17"/>
      <c r="H885" s="17"/>
      <c r="I885" s="17"/>
      <c r="J885" s="17"/>
      <c r="K885" s="17"/>
      <c r="L885" s="17"/>
      <c r="M885" s="17"/>
      <c r="N885" s="17">
        <v>24</v>
      </c>
      <c r="O885" s="17"/>
      <c r="P885" s="17"/>
      <c r="Q885" s="17">
        <f t="shared" si="261"/>
        <v>65.170000000001153</v>
      </c>
      <c r="R885" s="2"/>
      <c r="S885" s="20"/>
      <c r="T885" s="5"/>
    </row>
    <row r="886" spans="1:20" x14ac:dyDescent="0.25">
      <c r="A886" s="26">
        <v>43726</v>
      </c>
      <c r="B886" s="17"/>
      <c r="C886" s="7" t="s">
        <v>355</v>
      </c>
      <c r="D886" s="36"/>
      <c r="E886" s="17"/>
      <c r="F886" s="17"/>
      <c r="G886" s="17"/>
      <c r="H886" s="17"/>
      <c r="I886" s="17"/>
      <c r="J886" s="17"/>
      <c r="K886" s="17"/>
      <c r="L886" s="17"/>
      <c r="M886" s="17"/>
      <c r="N886" s="17">
        <v>24.5</v>
      </c>
      <c r="O886" s="17"/>
      <c r="P886" s="17"/>
      <c r="Q886" s="17">
        <f t="shared" si="261"/>
        <v>89.670000000001153</v>
      </c>
      <c r="R886" s="2"/>
      <c r="T886" s="5"/>
    </row>
    <row r="887" spans="1:20" x14ac:dyDescent="0.25">
      <c r="A887" s="26">
        <v>43726</v>
      </c>
      <c r="B887" s="17"/>
      <c r="C887" s="7" t="s">
        <v>370</v>
      </c>
      <c r="D887" s="36"/>
      <c r="E887" s="17"/>
      <c r="F887" s="17"/>
      <c r="G887" s="17"/>
      <c r="H887" s="17"/>
      <c r="I887" s="17"/>
      <c r="J887" s="17"/>
      <c r="K887" s="17"/>
      <c r="L887" s="17"/>
      <c r="M887" s="17"/>
      <c r="N887" s="17">
        <v>1.03</v>
      </c>
      <c r="O887" s="17"/>
      <c r="P887" s="17"/>
      <c r="Q887" s="17">
        <f t="shared" si="261"/>
        <v>90.700000000001154</v>
      </c>
      <c r="R887" s="2"/>
      <c r="T887" s="5"/>
    </row>
    <row r="888" spans="1:20" x14ac:dyDescent="0.25">
      <c r="A888" s="26">
        <v>43728</v>
      </c>
      <c r="B888" s="17">
        <v>1000</v>
      </c>
      <c r="D888" s="36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>
        <f t="shared" si="261"/>
        <v>1090.7000000000012</v>
      </c>
      <c r="R888" s="2"/>
      <c r="T888" s="5"/>
    </row>
    <row r="889" spans="1:20" x14ac:dyDescent="0.25">
      <c r="A889" s="26">
        <v>43728</v>
      </c>
      <c r="B889" s="17"/>
      <c r="C889" s="7" t="s">
        <v>186</v>
      </c>
      <c r="D889" s="36">
        <v>5</v>
      </c>
      <c r="E889" s="17">
        <v>88.09</v>
      </c>
      <c r="F889" s="17">
        <f t="shared" ref="F889" si="291">D889*E889</f>
        <v>440.45000000000005</v>
      </c>
      <c r="G889" s="17">
        <v>0.12</v>
      </c>
      <c r="H889" s="17">
        <v>0.01</v>
      </c>
      <c r="I889" s="17"/>
      <c r="J889" s="17">
        <v>0</v>
      </c>
      <c r="K889" s="17">
        <f t="shared" ref="K889" si="292">SUM(F889:J889)</f>
        <v>440.58000000000004</v>
      </c>
      <c r="L889" s="17"/>
      <c r="M889" s="17"/>
      <c r="N889" s="17"/>
      <c r="O889" s="17"/>
      <c r="P889" s="17"/>
      <c r="Q889" s="17">
        <f t="shared" si="261"/>
        <v>650.12000000000114</v>
      </c>
      <c r="R889" s="2"/>
      <c r="T889" s="5"/>
    </row>
    <row r="890" spans="1:20" x14ac:dyDescent="0.25">
      <c r="A890" s="26">
        <v>43732</v>
      </c>
      <c r="B890" s="17">
        <v>500</v>
      </c>
      <c r="D890" s="36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>
        <f t="shared" si="261"/>
        <v>1150.1200000000013</v>
      </c>
      <c r="R890" s="2"/>
      <c r="T890" s="5"/>
    </row>
    <row r="891" spans="1:20" x14ac:dyDescent="0.25">
      <c r="A891" s="26">
        <v>43732</v>
      </c>
      <c r="B891" s="17"/>
      <c r="C891" s="7" t="s">
        <v>371</v>
      </c>
      <c r="D891" s="36">
        <v>10</v>
      </c>
      <c r="E891" s="17">
        <v>101</v>
      </c>
      <c r="F891" s="17">
        <f t="shared" ref="F891" si="293">D891*E891</f>
        <v>1010</v>
      </c>
      <c r="G891" s="17">
        <v>0</v>
      </c>
      <c r="H891" s="17">
        <v>0</v>
      </c>
      <c r="I891" s="17"/>
      <c r="J891" s="17">
        <v>0</v>
      </c>
      <c r="K891" s="17">
        <f t="shared" ref="K891" si="294">SUM(F891:J891)</f>
        <v>1010</v>
      </c>
      <c r="L891" s="17"/>
      <c r="M891" s="17"/>
      <c r="N891" s="17"/>
      <c r="O891" s="17"/>
      <c r="P891" s="17"/>
      <c r="Q891" s="17">
        <f t="shared" si="261"/>
        <v>140.12000000000126</v>
      </c>
      <c r="R891" s="2" t="s">
        <v>351</v>
      </c>
      <c r="T891" s="5"/>
    </row>
    <row r="892" spans="1:20" x14ac:dyDescent="0.25">
      <c r="A892" s="26">
        <v>43733</v>
      </c>
      <c r="B892" s="17"/>
      <c r="C892" s="7" t="s">
        <v>270</v>
      </c>
      <c r="D892" s="36"/>
      <c r="E892" s="17"/>
      <c r="F892" s="17"/>
      <c r="G892" s="17"/>
      <c r="H892" s="17"/>
      <c r="I892" s="17"/>
      <c r="J892" s="17"/>
      <c r="K892" s="17"/>
      <c r="L892" s="17"/>
      <c r="M892" s="17"/>
      <c r="N892" s="17">
        <v>35.340000000000003</v>
      </c>
      <c r="O892" s="17"/>
      <c r="P892" s="17"/>
      <c r="Q892" s="17">
        <f t="shared" si="261"/>
        <v>175.46000000000126</v>
      </c>
      <c r="R892" s="2"/>
      <c r="T892" s="5"/>
    </row>
    <row r="893" spans="1:20" x14ac:dyDescent="0.25">
      <c r="A893" s="26">
        <v>43738</v>
      </c>
      <c r="B893" s="17"/>
      <c r="C893" s="7" t="s">
        <v>5</v>
      </c>
      <c r="D893" s="36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>
        <v>19.8</v>
      </c>
      <c r="Q893" s="17">
        <f t="shared" si="261"/>
        <v>195.26000000000127</v>
      </c>
      <c r="R893" s="2"/>
      <c r="T893" s="5"/>
    </row>
    <row r="894" spans="1:20" x14ac:dyDescent="0.25">
      <c r="A894" s="26">
        <v>43738</v>
      </c>
      <c r="B894" s="17"/>
      <c r="C894" s="7" t="s">
        <v>180</v>
      </c>
      <c r="D894" s="36"/>
      <c r="E894" s="17"/>
      <c r="F894" s="17"/>
      <c r="G894" s="17"/>
      <c r="H894" s="17"/>
      <c r="I894" s="17"/>
      <c r="J894" s="17"/>
      <c r="K894" s="17"/>
      <c r="L894" s="17"/>
      <c r="M894" s="17"/>
      <c r="N894" s="17">
        <v>17.829999999999998</v>
      </c>
      <c r="O894" s="17"/>
      <c r="P894" s="17"/>
      <c r="Q894" s="17">
        <f t="shared" si="261"/>
        <v>213.09000000000128</v>
      </c>
      <c r="R894" s="2"/>
    </row>
    <row r="895" spans="1:20" x14ac:dyDescent="0.25">
      <c r="A895" s="26">
        <v>43739</v>
      </c>
      <c r="B895" s="17"/>
      <c r="C895" s="7" t="s">
        <v>85</v>
      </c>
      <c r="D895" s="36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>
        <v>48.48</v>
      </c>
      <c r="P895" s="17"/>
      <c r="Q895" s="17">
        <f t="shared" si="261"/>
        <v>261.5700000000013</v>
      </c>
      <c r="R895" s="2"/>
    </row>
    <row r="896" spans="1:20" x14ac:dyDescent="0.25">
      <c r="A896" s="26">
        <v>43739</v>
      </c>
      <c r="B896" s="17">
        <v>1000</v>
      </c>
      <c r="D896" s="36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>
        <f t="shared" si="261"/>
        <v>1261.5700000000013</v>
      </c>
      <c r="R896" s="2"/>
    </row>
    <row r="897" spans="1:19" x14ac:dyDescent="0.25">
      <c r="A897" s="26">
        <v>43739</v>
      </c>
      <c r="B897" s="17"/>
      <c r="C897" s="7" t="s">
        <v>372</v>
      </c>
      <c r="D897" s="36">
        <v>-150</v>
      </c>
      <c r="E897" s="17">
        <v>4</v>
      </c>
      <c r="F897" s="17">
        <f t="shared" ref="F897:F898" si="295">D897*E897</f>
        <v>-600</v>
      </c>
      <c r="G897" s="17">
        <v>0.16</v>
      </c>
      <c r="H897" s="17">
        <v>0.02</v>
      </c>
      <c r="I897" s="17"/>
      <c r="J897" s="17">
        <v>0</v>
      </c>
      <c r="K897" s="17">
        <f t="shared" ref="K897:K898" si="296">SUM(F897:J897)</f>
        <v>-599.82000000000005</v>
      </c>
      <c r="L897" s="17"/>
      <c r="M897" s="17"/>
      <c r="N897" s="17"/>
      <c r="O897" s="17"/>
      <c r="P897" s="17"/>
      <c r="Q897" s="17">
        <f t="shared" ref="Q897:Q970" si="297">Q896+B897-K897-L897-M897+N897+O897+P897</f>
        <v>1861.3900000000012</v>
      </c>
      <c r="R897" s="2"/>
    </row>
    <row r="898" spans="1:19" x14ac:dyDescent="0.25">
      <c r="A898" s="26">
        <v>43740</v>
      </c>
      <c r="B898" s="17"/>
      <c r="C898" s="7" t="s">
        <v>372</v>
      </c>
      <c r="D898" s="36">
        <v>-38</v>
      </c>
      <c r="E898" s="17">
        <v>5.01</v>
      </c>
      <c r="F898" s="17">
        <f t="shared" si="295"/>
        <v>-190.38</v>
      </c>
      <c r="G898" s="17">
        <v>0.05</v>
      </c>
      <c r="H898" s="17">
        <v>0</v>
      </c>
      <c r="I898" s="17"/>
      <c r="J898" s="17">
        <v>0</v>
      </c>
      <c r="K898" s="17">
        <f t="shared" si="296"/>
        <v>-190.32999999999998</v>
      </c>
      <c r="L898" s="17"/>
      <c r="M898" s="17"/>
      <c r="N898" s="17"/>
      <c r="O898" s="17"/>
      <c r="P898" s="17"/>
      <c r="Q898" s="17">
        <f t="shared" si="297"/>
        <v>2051.7200000000012</v>
      </c>
      <c r="R898" s="2"/>
    </row>
    <row r="899" spans="1:19" x14ac:dyDescent="0.25">
      <c r="A899" s="26">
        <v>43741</v>
      </c>
      <c r="B899" s="17"/>
      <c r="C899" s="7" t="s">
        <v>171</v>
      </c>
      <c r="D899" s="36">
        <v>40</v>
      </c>
      <c r="E899" s="17">
        <v>16.98</v>
      </c>
      <c r="F899" s="17">
        <f t="shared" ref="F899" si="298">D899*E899</f>
        <v>679.2</v>
      </c>
      <c r="G899" s="17">
        <v>0.13</v>
      </c>
      <c r="H899" s="17">
        <v>0.18</v>
      </c>
      <c r="I899" s="17"/>
      <c r="J899" s="17">
        <v>2.4900000000000002</v>
      </c>
      <c r="K899" s="17">
        <f t="shared" ref="K899" si="299">SUM(F899:J899)</f>
        <v>682</v>
      </c>
      <c r="L899" s="17"/>
      <c r="M899" s="17"/>
      <c r="N899" s="17"/>
      <c r="O899" s="17"/>
      <c r="P899" s="17"/>
      <c r="Q899" s="17">
        <f t="shared" si="297"/>
        <v>1369.7200000000012</v>
      </c>
      <c r="R899" s="2"/>
    </row>
    <row r="900" spans="1:19" x14ac:dyDescent="0.25">
      <c r="A900" s="26">
        <v>43741</v>
      </c>
      <c r="B900" s="17"/>
      <c r="C900" s="7" t="s">
        <v>88</v>
      </c>
      <c r="D900" s="36">
        <v>100</v>
      </c>
      <c r="E900" s="17">
        <v>2.85</v>
      </c>
      <c r="F900" s="17">
        <f t="shared" ref="F900" si="300">D900*E900</f>
        <v>285</v>
      </c>
      <c r="G900" s="17">
        <v>0.13</v>
      </c>
      <c r="H900" s="17">
        <v>0.18</v>
      </c>
      <c r="I900" s="17"/>
      <c r="J900" s="17">
        <v>2.4900000000000002</v>
      </c>
      <c r="K900" s="17">
        <f t="shared" ref="K900" si="301">SUM(F900:J900)</f>
        <v>287.8</v>
      </c>
      <c r="L900" s="17"/>
      <c r="M900" s="17"/>
      <c r="N900" s="17"/>
      <c r="O900" s="17"/>
      <c r="P900" s="17"/>
      <c r="Q900" s="17">
        <f t="shared" si="297"/>
        <v>1081.9200000000012</v>
      </c>
      <c r="R900" s="2"/>
      <c r="S900" s="20"/>
    </row>
    <row r="901" spans="1:19" x14ac:dyDescent="0.25">
      <c r="A901" s="26">
        <v>43742</v>
      </c>
      <c r="B901" s="17"/>
      <c r="C901" s="7" t="s">
        <v>82</v>
      </c>
      <c r="D901" s="36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>
        <v>34</v>
      </c>
      <c r="Q901" s="17">
        <f t="shared" si="297"/>
        <v>1115.9200000000012</v>
      </c>
      <c r="R901" s="2"/>
    </row>
    <row r="902" spans="1:19" x14ac:dyDescent="0.25">
      <c r="A902" s="26">
        <v>43745</v>
      </c>
      <c r="B902" s="17"/>
      <c r="C902" s="7" t="s">
        <v>222</v>
      </c>
      <c r="D902" s="36"/>
      <c r="E902" s="17"/>
      <c r="F902" s="17"/>
      <c r="G902" s="17"/>
      <c r="H902" s="17"/>
      <c r="I902" s="17"/>
      <c r="J902" s="17"/>
      <c r="K902" s="17"/>
      <c r="L902" s="17"/>
      <c r="M902" s="17"/>
      <c r="N902" s="17">
        <v>100.75</v>
      </c>
      <c r="O902" s="17"/>
      <c r="P902" s="17"/>
      <c r="Q902" s="17">
        <f t="shared" si="297"/>
        <v>1216.6700000000012</v>
      </c>
      <c r="R902" s="2"/>
    </row>
    <row r="903" spans="1:19" x14ac:dyDescent="0.25">
      <c r="A903" s="26">
        <v>43745</v>
      </c>
      <c r="B903" s="17"/>
      <c r="C903" s="7" t="s">
        <v>276</v>
      </c>
      <c r="D903" s="36"/>
      <c r="E903" s="17"/>
      <c r="F903" s="17"/>
      <c r="G903" s="17"/>
      <c r="H903" s="17"/>
      <c r="I903" s="17"/>
      <c r="J903" s="17"/>
      <c r="K903" s="17"/>
      <c r="L903" s="17"/>
      <c r="M903" s="17"/>
      <c r="N903" s="17">
        <v>9.32</v>
      </c>
      <c r="O903" s="17"/>
      <c r="P903" s="17"/>
      <c r="Q903" s="17">
        <f t="shared" si="297"/>
        <v>1225.9900000000011</v>
      </c>
      <c r="R903" s="2"/>
    </row>
    <row r="904" spans="1:19" x14ac:dyDescent="0.25">
      <c r="A904" s="26">
        <v>43746</v>
      </c>
      <c r="B904" s="17">
        <v>1000</v>
      </c>
      <c r="D904" s="36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>
        <f t="shared" si="297"/>
        <v>2225.9900000000011</v>
      </c>
      <c r="R904" s="2"/>
    </row>
    <row r="905" spans="1:19" x14ac:dyDescent="0.25">
      <c r="A905" s="26">
        <v>43746</v>
      </c>
      <c r="B905" s="17"/>
      <c r="C905" s="7" t="s">
        <v>96</v>
      </c>
      <c r="D905" s="36">
        <v>-500</v>
      </c>
      <c r="E905" s="17">
        <v>34.25</v>
      </c>
      <c r="F905" s="17">
        <f t="shared" ref="F905:F906" si="302">D905*E905</f>
        <v>-17125</v>
      </c>
      <c r="G905" s="17">
        <v>4.9000000000000004</v>
      </c>
      <c r="H905" s="17">
        <v>0.73</v>
      </c>
      <c r="I905" s="17"/>
      <c r="J905" s="17">
        <v>2.4900000000000002</v>
      </c>
      <c r="K905" s="17">
        <f t="shared" ref="K905:K906" si="303">SUM(F905:J905)</f>
        <v>-17116.879999999997</v>
      </c>
      <c r="L905" s="17"/>
      <c r="M905" s="17"/>
      <c r="N905" s="17"/>
      <c r="O905" s="17"/>
      <c r="P905" s="17"/>
      <c r="Q905" s="17">
        <f t="shared" si="297"/>
        <v>19342.87</v>
      </c>
      <c r="R905" s="2"/>
      <c r="S905" s="20"/>
    </row>
    <row r="906" spans="1:19" x14ac:dyDescent="0.25">
      <c r="A906" s="26">
        <v>43746</v>
      </c>
      <c r="B906" s="17"/>
      <c r="C906" s="7" t="s">
        <v>186</v>
      </c>
      <c r="D906" s="36">
        <v>10</v>
      </c>
      <c r="E906" s="17">
        <v>88.25</v>
      </c>
      <c r="F906" s="17">
        <f t="shared" si="302"/>
        <v>882.5</v>
      </c>
      <c r="G906" s="17">
        <v>0.05</v>
      </c>
      <c r="H906" s="17">
        <v>0.16</v>
      </c>
      <c r="I906" s="17"/>
      <c r="J906" s="17">
        <v>0</v>
      </c>
      <c r="K906" s="17">
        <f t="shared" si="303"/>
        <v>882.70999999999992</v>
      </c>
      <c r="L906" s="17"/>
      <c r="M906" s="17"/>
      <c r="N906" s="17"/>
      <c r="O906" s="17"/>
      <c r="P906" s="17"/>
      <c r="Q906" s="17">
        <f t="shared" si="297"/>
        <v>18460.16</v>
      </c>
      <c r="R906" s="2"/>
    </row>
    <row r="907" spans="1:19" x14ac:dyDescent="0.25">
      <c r="A907" s="26">
        <v>43746</v>
      </c>
      <c r="B907" s="17"/>
      <c r="C907" s="7" t="s">
        <v>234</v>
      </c>
      <c r="D907" s="36"/>
      <c r="E907" s="17"/>
      <c r="F907" s="17"/>
      <c r="G907" s="17"/>
      <c r="H907" s="17"/>
      <c r="I907" s="17"/>
      <c r="J907" s="17"/>
      <c r="K907" s="17"/>
      <c r="L907" s="17"/>
      <c r="M907" s="17"/>
      <c r="N907" s="17">
        <v>27.2</v>
      </c>
      <c r="O907" s="17"/>
      <c r="P907" s="17"/>
      <c r="Q907" s="17">
        <f t="shared" si="297"/>
        <v>18487.36</v>
      </c>
      <c r="R907" s="2"/>
    </row>
    <row r="908" spans="1:19" x14ac:dyDescent="0.25">
      <c r="A908" s="26">
        <v>43746</v>
      </c>
      <c r="B908" s="17"/>
      <c r="C908" s="7" t="s">
        <v>186</v>
      </c>
      <c r="D908" s="36"/>
      <c r="E908" s="17"/>
      <c r="F908" s="17"/>
      <c r="G908" s="17"/>
      <c r="H908" s="17"/>
      <c r="I908" s="17"/>
      <c r="J908" s="17"/>
      <c r="K908" s="17"/>
      <c r="L908" s="17"/>
      <c r="M908" s="17"/>
      <c r="N908" s="17">
        <v>54.9</v>
      </c>
      <c r="O908" s="17"/>
      <c r="P908" s="17"/>
      <c r="Q908" s="17">
        <f t="shared" si="297"/>
        <v>18542.260000000002</v>
      </c>
      <c r="R908" s="2"/>
    </row>
    <row r="909" spans="1:19" x14ac:dyDescent="0.25">
      <c r="A909" s="26">
        <v>43747</v>
      </c>
      <c r="B909" s="17"/>
      <c r="C909" s="7" t="s">
        <v>373</v>
      </c>
      <c r="D909" s="36">
        <v>-6</v>
      </c>
      <c r="E909" s="17">
        <v>2.68</v>
      </c>
      <c r="F909" s="17">
        <f t="shared" ref="F909" si="304">D909*E909</f>
        <v>-16.080000000000002</v>
      </c>
      <c r="G909" s="17">
        <v>0</v>
      </c>
      <c r="H909" s="17">
        <v>0</v>
      </c>
      <c r="I909" s="17"/>
      <c r="J909" s="17">
        <v>0</v>
      </c>
      <c r="K909" s="17">
        <f t="shared" ref="K909" si="305">SUM(F909:J909)</f>
        <v>-16.080000000000002</v>
      </c>
      <c r="L909" s="17"/>
      <c r="M909" s="17"/>
      <c r="N909" s="17"/>
      <c r="O909" s="17"/>
      <c r="P909" s="17"/>
      <c r="Q909" s="17">
        <f t="shared" si="297"/>
        <v>18558.340000000004</v>
      </c>
      <c r="R909" s="2"/>
    </row>
    <row r="910" spans="1:19" x14ac:dyDescent="0.25">
      <c r="A910" s="26">
        <v>43748</v>
      </c>
      <c r="B910" s="17"/>
      <c r="C910" s="7" t="s">
        <v>173</v>
      </c>
      <c r="D910" s="36">
        <v>20</v>
      </c>
      <c r="E910" s="17">
        <v>85</v>
      </c>
      <c r="F910" s="17">
        <f t="shared" ref="F910" si="306">D910*E910</f>
        <v>1700</v>
      </c>
      <c r="G910" s="17">
        <v>0</v>
      </c>
      <c r="H910" s="17">
        <v>0</v>
      </c>
      <c r="I910" s="17"/>
      <c r="J910" s="17">
        <v>0</v>
      </c>
      <c r="K910" s="17">
        <f t="shared" ref="K910" si="307">SUM(F910:J910)</f>
        <v>1700</v>
      </c>
      <c r="L910" s="17"/>
      <c r="M910" s="17"/>
      <c r="N910" s="17"/>
      <c r="O910" s="17"/>
      <c r="P910" s="17"/>
      <c r="Q910" s="17">
        <f t="shared" si="297"/>
        <v>16858.340000000004</v>
      </c>
      <c r="R910" s="2" t="s">
        <v>351</v>
      </c>
    </row>
    <row r="911" spans="1:19" x14ac:dyDescent="0.25">
      <c r="A911" s="26">
        <v>43748</v>
      </c>
      <c r="B911" s="17"/>
      <c r="C911" s="7" t="s">
        <v>184</v>
      </c>
      <c r="D911" s="36">
        <v>10</v>
      </c>
      <c r="E911" s="17">
        <v>65.02</v>
      </c>
      <c r="F911" s="17">
        <f t="shared" ref="F911:F912" si="308">D911*E911</f>
        <v>650.19999999999993</v>
      </c>
      <c r="G911" s="17">
        <v>0.2</v>
      </c>
      <c r="H911" s="17">
        <v>0.02</v>
      </c>
      <c r="I911" s="17"/>
      <c r="J911" s="17">
        <v>0</v>
      </c>
      <c r="K911" s="17">
        <f t="shared" ref="K911:K912" si="309">SUM(F911:J911)</f>
        <v>650.41999999999996</v>
      </c>
      <c r="L911" s="17"/>
      <c r="M911" s="17"/>
      <c r="N911" s="17"/>
      <c r="O911" s="17"/>
      <c r="P911" s="17"/>
      <c r="Q911" s="17">
        <f t="shared" si="297"/>
        <v>16207.920000000004</v>
      </c>
      <c r="R911" s="2"/>
    </row>
    <row r="912" spans="1:19" x14ac:dyDescent="0.25">
      <c r="A912" s="26">
        <v>43748</v>
      </c>
      <c r="B912" s="17"/>
      <c r="C912" s="7" t="s">
        <v>355</v>
      </c>
      <c r="D912" s="36">
        <v>10</v>
      </c>
      <c r="E912" s="17">
        <v>102.85</v>
      </c>
      <c r="F912" s="17">
        <f t="shared" si="308"/>
        <v>1028.5</v>
      </c>
      <c r="G912" s="17">
        <v>0.4</v>
      </c>
      <c r="H912" s="17">
        <v>0.06</v>
      </c>
      <c r="I912" s="17"/>
      <c r="J912" s="17">
        <v>0</v>
      </c>
      <c r="K912" s="17">
        <f t="shared" si="309"/>
        <v>1028.96</v>
      </c>
      <c r="L912" s="17"/>
      <c r="M912" s="17"/>
      <c r="N912" s="17"/>
      <c r="O912" s="17"/>
      <c r="P912" s="17"/>
      <c r="Q912" s="17">
        <f t="shared" si="297"/>
        <v>15178.960000000003</v>
      </c>
      <c r="R912" s="2"/>
    </row>
    <row r="913" spans="1:19" x14ac:dyDescent="0.25">
      <c r="A913" s="26">
        <v>43748</v>
      </c>
      <c r="B913" s="17"/>
      <c r="C913" s="7" t="s">
        <v>374</v>
      </c>
      <c r="D913" s="36">
        <v>10</v>
      </c>
      <c r="E913" s="17">
        <v>76.95</v>
      </c>
      <c r="F913" s="17">
        <f t="shared" ref="F913" si="310">D913*E913</f>
        <v>769.5</v>
      </c>
      <c r="G913" s="17">
        <v>7.0000000000000007E-2</v>
      </c>
      <c r="H913" s="17">
        <v>0.02</v>
      </c>
      <c r="I913" s="17"/>
      <c r="J913" s="17">
        <v>0</v>
      </c>
      <c r="K913" s="17">
        <f t="shared" ref="K913" si="311">SUM(F913:J913)</f>
        <v>769.59</v>
      </c>
      <c r="L913" s="17"/>
      <c r="M913" s="17"/>
      <c r="N913" s="17"/>
      <c r="O913" s="17"/>
      <c r="P913" s="17"/>
      <c r="Q913" s="17">
        <f t="shared" si="297"/>
        <v>14409.370000000003</v>
      </c>
      <c r="R913" s="118"/>
    </row>
    <row r="914" spans="1:19" x14ac:dyDescent="0.25">
      <c r="A914" s="26">
        <v>43749</v>
      </c>
      <c r="B914" s="17"/>
      <c r="C914" s="7" t="s">
        <v>374</v>
      </c>
      <c r="D914" s="36">
        <v>10</v>
      </c>
      <c r="E914" s="17">
        <v>77.31</v>
      </c>
      <c r="F914" s="17">
        <f t="shared" ref="F914" si="312">D914*E914</f>
        <v>773.1</v>
      </c>
      <c r="G914" s="17">
        <v>0.21</v>
      </c>
      <c r="H914" s="17">
        <v>0.05</v>
      </c>
      <c r="I914" s="17"/>
      <c r="J914" s="17">
        <v>0</v>
      </c>
      <c r="K914" s="17">
        <f t="shared" ref="K914" si="313">SUM(F914:J914)</f>
        <v>773.36</v>
      </c>
      <c r="L914" s="17"/>
      <c r="M914" s="17"/>
      <c r="N914" s="17"/>
      <c r="O914" s="17"/>
      <c r="P914" s="17"/>
      <c r="Q914" s="17">
        <f t="shared" si="297"/>
        <v>13636.010000000002</v>
      </c>
      <c r="R914" s="118"/>
    </row>
    <row r="915" spans="1:19" x14ac:dyDescent="0.25">
      <c r="A915" s="26">
        <v>43752</v>
      </c>
      <c r="B915" s="17"/>
      <c r="C915" s="7" t="s">
        <v>376</v>
      </c>
      <c r="D915" s="36"/>
      <c r="E915" s="17"/>
      <c r="F915" s="17"/>
      <c r="G915" s="17"/>
      <c r="H915" s="17"/>
      <c r="I915" s="17"/>
      <c r="J915" s="17"/>
      <c r="K915" s="17"/>
      <c r="L915" s="17"/>
      <c r="M915" s="17"/>
      <c r="N915" s="17">
        <v>0.59</v>
      </c>
      <c r="O915" s="17"/>
      <c r="P915" s="17"/>
      <c r="Q915" s="17">
        <f t="shared" si="297"/>
        <v>13636.600000000002</v>
      </c>
      <c r="R915" s="2"/>
    </row>
    <row r="916" spans="1:19" x14ac:dyDescent="0.25">
      <c r="A916" s="26">
        <v>43752</v>
      </c>
      <c r="B916" s="17"/>
      <c r="C916" s="7" t="s">
        <v>217</v>
      </c>
      <c r="D916" s="36"/>
      <c r="E916" s="17"/>
      <c r="F916" s="17"/>
      <c r="G916" s="17"/>
      <c r="H916" s="17"/>
      <c r="I916" s="17"/>
      <c r="J916" s="17"/>
      <c r="K916" s="17"/>
      <c r="L916" s="17"/>
      <c r="M916" s="17"/>
      <c r="N916" s="17">
        <v>87.23</v>
      </c>
      <c r="O916" s="17"/>
      <c r="P916" s="17"/>
      <c r="Q916" s="17">
        <f t="shared" si="297"/>
        <v>13723.830000000002</v>
      </c>
      <c r="R916" s="2"/>
    </row>
    <row r="917" spans="1:19" x14ac:dyDescent="0.25">
      <c r="A917" s="26">
        <v>43752</v>
      </c>
      <c r="B917" s="17"/>
      <c r="C917" s="7" t="s">
        <v>169</v>
      </c>
      <c r="D917" s="36"/>
      <c r="E917" s="17"/>
      <c r="F917" s="17"/>
      <c r="G917" s="17"/>
      <c r="H917" s="17"/>
      <c r="I917" s="17"/>
      <c r="J917" s="17"/>
      <c r="K917" s="17"/>
      <c r="L917" s="17"/>
      <c r="M917" s="17"/>
      <c r="N917" s="17">
        <v>133.4</v>
      </c>
      <c r="O917" s="17"/>
      <c r="P917" s="17"/>
      <c r="Q917" s="17">
        <f t="shared" si="297"/>
        <v>13857.230000000001</v>
      </c>
      <c r="R917" s="2"/>
    </row>
    <row r="918" spans="1:19" x14ac:dyDescent="0.25">
      <c r="A918" s="26">
        <v>43752</v>
      </c>
      <c r="B918" s="17"/>
      <c r="C918" s="7" t="s">
        <v>364</v>
      </c>
      <c r="D918" s="36"/>
      <c r="E918" s="17"/>
      <c r="F918" s="17"/>
      <c r="G918" s="17"/>
      <c r="H918" s="17"/>
      <c r="I918" s="17"/>
      <c r="J918" s="17"/>
      <c r="K918" s="17"/>
      <c r="L918" s="17"/>
      <c r="M918" s="17"/>
      <c r="N918" s="17">
        <v>15.09</v>
      </c>
      <c r="O918" s="17"/>
      <c r="P918" s="17"/>
      <c r="Q918" s="17">
        <f t="shared" si="297"/>
        <v>13872.320000000002</v>
      </c>
      <c r="R918" s="2"/>
    </row>
    <row r="919" spans="1:19" x14ac:dyDescent="0.25">
      <c r="A919" s="26">
        <v>43752</v>
      </c>
      <c r="B919" s="17"/>
      <c r="C919" s="7" t="s">
        <v>181</v>
      </c>
      <c r="D919" s="36"/>
      <c r="E919" s="17"/>
      <c r="F919" s="17"/>
      <c r="G919" s="17"/>
      <c r="H919" s="17"/>
      <c r="I919" s="17"/>
      <c r="J919" s="17"/>
      <c r="K919" s="17"/>
      <c r="L919" s="17"/>
      <c r="M919" s="17"/>
      <c r="N919" s="17">
        <v>67.2</v>
      </c>
      <c r="O919" s="17"/>
      <c r="P919" s="17"/>
      <c r="Q919" s="17">
        <f t="shared" si="297"/>
        <v>13939.520000000002</v>
      </c>
      <c r="R919" s="2"/>
    </row>
    <row r="920" spans="1:19" x14ac:dyDescent="0.25">
      <c r="A920" s="26">
        <v>43752</v>
      </c>
      <c r="B920" s="17"/>
      <c r="C920" s="7" t="s">
        <v>183</v>
      </c>
      <c r="D920" s="36"/>
      <c r="E920" s="17"/>
      <c r="F920" s="17"/>
      <c r="G920" s="17"/>
      <c r="H920" s="17"/>
      <c r="I920" s="17"/>
      <c r="J920" s="17"/>
      <c r="K920" s="17"/>
      <c r="L920" s="17"/>
      <c r="M920" s="17"/>
      <c r="N920" s="17">
        <v>19.37</v>
      </c>
      <c r="O920" s="17"/>
      <c r="P920" s="17"/>
      <c r="Q920" s="17">
        <f t="shared" si="297"/>
        <v>13958.890000000003</v>
      </c>
      <c r="R920" s="2"/>
    </row>
    <row r="921" spans="1:19" x14ac:dyDescent="0.25">
      <c r="A921" s="26">
        <v>43752</v>
      </c>
      <c r="B921" s="17"/>
      <c r="C921" s="7" t="s">
        <v>267</v>
      </c>
      <c r="D921" s="36"/>
      <c r="E921" s="17"/>
      <c r="F921" s="17"/>
      <c r="G921" s="17"/>
      <c r="H921" s="17"/>
      <c r="I921" s="17"/>
      <c r="J921" s="17"/>
      <c r="K921" s="17"/>
      <c r="L921" s="17"/>
      <c r="M921" s="17"/>
      <c r="N921" s="17">
        <v>20.399999999999999</v>
      </c>
      <c r="O921" s="17"/>
      <c r="P921" s="17"/>
      <c r="Q921" s="17">
        <f t="shared" si="297"/>
        <v>13979.290000000003</v>
      </c>
      <c r="R921" s="2"/>
    </row>
    <row r="922" spans="1:19" x14ac:dyDescent="0.25">
      <c r="A922" s="26">
        <v>43752</v>
      </c>
      <c r="B922" s="17"/>
      <c r="C922" s="7" t="s">
        <v>173</v>
      </c>
      <c r="D922" s="36"/>
      <c r="E922" s="17"/>
      <c r="F922" s="17"/>
      <c r="G922" s="17"/>
      <c r="H922" s="17"/>
      <c r="I922" s="17"/>
      <c r="J922" s="17"/>
      <c r="K922" s="17"/>
      <c r="L922" s="17"/>
      <c r="M922" s="17"/>
      <c r="N922" s="17">
        <v>324.89999999999998</v>
      </c>
      <c r="O922" s="17"/>
      <c r="P922" s="17"/>
      <c r="Q922" s="17">
        <f t="shared" si="297"/>
        <v>14304.190000000002</v>
      </c>
      <c r="R922" s="2"/>
    </row>
    <row r="923" spans="1:19" x14ac:dyDescent="0.25">
      <c r="A923" s="26">
        <v>43752</v>
      </c>
      <c r="B923" s="17"/>
      <c r="C923" s="7" t="s">
        <v>218</v>
      </c>
      <c r="D923" s="36">
        <v>100</v>
      </c>
      <c r="E923" s="17">
        <v>11.96</v>
      </c>
      <c r="F923" s="17">
        <f t="shared" ref="F923" si="314">D923*E923</f>
        <v>1196</v>
      </c>
      <c r="G923" s="17">
        <v>0.32</v>
      </c>
      <c r="H923" s="17">
        <f>0.04+0.16</f>
        <v>0.2</v>
      </c>
      <c r="I923" s="17"/>
      <c r="J923" s="17">
        <v>2.4900000000000002</v>
      </c>
      <c r="K923" s="17">
        <f t="shared" ref="K923" si="315">SUM(F923:J923)</f>
        <v>1199.01</v>
      </c>
      <c r="L923" s="17"/>
      <c r="M923" s="17"/>
      <c r="N923" s="17"/>
      <c r="O923" s="17"/>
      <c r="P923" s="17"/>
      <c r="Q923" s="17">
        <f t="shared" si="297"/>
        <v>13105.180000000002</v>
      </c>
      <c r="R923" s="2"/>
    </row>
    <row r="924" spans="1:19" x14ac:dyDescent="0.25">
      <c r="A924" s="26">
        <v>43753</v>
      </c>
      <c r="B924" s="17"/>
      <c r="C924" s="7" t="s">
        <v>221</v>
      </c>
      <c r="D924" s="36"/>
      <c r="E924" s="17"/>
      <c r="F924" s="17"/>
      <c r="G924" s="17"/>
      <c r="H924" s="17"/>
      <c r="I924" s="17"/>
      <c r="J924" s="17"/>
      <c r="K924" s="17"/>
      <c r="L924" s="17"/>
      <c r="M924" s="17"/>
      <c r="N924" s="17">
        <v>94.5</v>
      </c>
      <c r="O924" s="17"/>
      <c r="P924" s="17"/>
      <c r="Q924" s="17">
        <f t="shared" si="297"/>
        <v>13199.680000000002</v>
      </c>
      <c r="R924" s="2"/>
    </row>
    <row r="925" spans="1:19" x14ac:dyDescent="0.25">
      <c r="A925" s="26">
        <v>43753</v>
      </c>
      <c r="B925" s="17"/>
      <c r="C925" s="7" t="s">
        <v>374</v>
      </c>
      <c r="D925" s="36">
        <v>10</v>
      </c>
      <c r="E925" s="17">
        <v>77.010000000000005</v>
      </c>
      <c r="F925" s="17">
        <f t="shared" ref="F925" si="316">D925*E925</f>
        <v>770.1</v>
      </c>
      <c r="G925" s="17">
        <v>0.21</v>
      </c>
      <c r="H925" s="17">
        <v>0.03</v>
      </c>
      <c r="I925" s="17"/>
      <c r="J925" s="17">
        <v>0</v>
      </c>
      <c r="K925" s="17">
        <f t="shared" ref="K925" si="317">SUM(F925:J925)</f>
        <v>770.34</v>
      </c>
      <c r="L925" s="17"/>
      <c r="M925" s="17"/>
      <c r="N925" s="17"/>
      <c r="O925" s="17"/>
      <c r="P925" s="17"/>
      <c r="Q925" s="17">
        <f t="shared" si="297"/>
        <v>12429.340000000002</v>
      </c>
      <c r="R925" s="2"/>
    </row>
    <row r="926" spans="1:19" x14ac:dyDescent="0.25">
      <c r="A926" s="26">
        <v>43753</v>
      </c>
      <c r="B926" s="17"/>
      <c r="C926" s="7" t="s">
        <v>374</v>
      </c>
      <c r="D926" s="36">
        <v>10</v>
      </c>
      <c r="E926" s="17">
        <v>77.099999999999994</v>
      </c>
      <c r="F926" s="17">
        <f t="shared" ref="F926" si="318">D926*E926</f>
        <v>771</v>
      </c>
      <c r="G926" s="17">
        <v>0.21</v>
      </c>
      <c r="H926" s="17">
        <v>0.03</v>
      </c>
      <c r="I926" s="17"/>
      <c r="J926" s="17">
        <v>0</v>
      </c>
      <c r="K926" s="17">
        <f t="shared" ref="K926" si="319">SUM(F926:J926)</f>
        <v>771.24</v>
      </c>
      <c r="L926" s="17"/>
      <c r="M926" s="17"/>
      <c r="N926" s="17"/>
      <c r="O926" s="17"/>
      <c r="P926" s="17"/>
      <c r="Q926" s="17">
        <f t="shared" si="297"/>
        <v>11658.100000000002</v>
      </c>
      <c r="R926" s="2"/>
    </row>
    <row r="927" spans="1:19" x14ac:dyDescent="0.25">
      <c r="A927" s="26">
        <v>43754</v>
      </c>
      <c r="B927" s="17"/>
      <c r="C927" s="7" t="s">
        <v>220</v>
      </c>
      <c r="D927" s="36"/>
      <c r="E927" s="17"/>
      <c r="F927" s="17"/>
      <c r="G927" s="17"/>
      <c r="H927" s="17"/>
      <c r="I927" s="17"/>
      <c r="J927" s="17"/>
      <c r="K927" s="17"/>
      <c r="L927" s="17"/>
      <c r="M927" s="17"/>
      <c r="N927" s="17">
        <v>25.2</v>
      </c>
      <c r="O927" s="17"/>
      <c r="P927" s="17"/>
      <c r="Q927" s="17">
        <f t="shared" si="297"/>
        <v>11683.300000000003</v>
      </c>
      <c r="R927" s="2"/>
      <c r="S927" s="20"/>
    </row>
    <row r="928" spans="1:19" x14ac:dyDescent="0.25">
      <c r="A928" s="26">
        <v>43754</v>
      </c>
      <c r="B928" s="17"/>
      <c r="C928" s="7" t="s">
        <v>184</v>
      </c>
      <c r="D928" s="36">
        <v>10</v>
      </c>
      <c r="E928" s="17">
        <v>65.03</v>
      </c>
      <c r="F928" s="17">
        <f t="shared" ref="F928" si="320">D928*E928</f>
        <v>650.29999999999995</v>
      </c>
      <c r="G928" s="17">
        <v>0.2</v>
      </c>
      <c r="H928" s="17">
        <v>0.03</v>
      </c>
      <c r="I928" s="17"/>
      <c r="J928" s="17">
        <v>0</v>
      </c>
      <c r="K928" s="17">
        <f t="shared" ref="K928" si="321">SUM(F928:J928)</f>
        <v>650.53</v>
      </c>
      <c r="L928" s="17"/>
      <c r="M928" s="17"/>
      <c r="N928" s="17"/>
      <c r="O928" s="17"/>
      <c r="P928" s="17"/>
      <c r="Q928" s="17">
        <f t="shared" si="297"/>
        <v>11032.770000000002</v>
      </c>
      <c r="R928" s="2"/>
    </row>
    <row r="929" spans="1:19" x14ac:dyDescent="0.25">
      <c r="A929" s="26">
        <v>43754</v>
      </c>
      <c r="B929" s="17"/>
      <c r="C929" s="7" t="s">
        <v>221</v>
      </c>
      <c r="D929" s="36">
        <v>100</v>
      </c>
      <c r="E929" s="17">
        <v>11.2</v>
      </c>
      <c r="F929" s="17">
        <f t="shared" ref="F929" si="322">D929*E929</f>
        <v>1120</v>
      </c>
      <c r="G929" s="17">
        <v>0.28000000000000003</v>
      </c>
      <c r="H929" s="17">
        <v>0.04</v>
      </c>
      <c r="I929" s="17"/>
      <c r="J929" s="17">
        <v>0</v>
      </c>
      <c r="K929" s="17">
        <f t="shared" ref="K929" si="323">SUM(F929:J929)</f>
        <v>1120.32</v>
      </c>
      <c r="L929" s="17"/>
      <c r="M929" s="17"/>
      <c r="N929" s="17"/>
      <c r="O929" s="17"/>
      <c r="P929" s="17"/>
      <c r="Q929" s="17">
        <f t="shared" si="297"/>
        <v>9912.4500000000025</v>
      </c>
      <c r="R929" s="2"/>
    </row>
    <row r="930" spans="1:19" x14ac:dyDescent="0.25">
      <c r="A930" s="26">
        <v>43755</v>
      </c>
      <c r="B930" s="17"/>
      <c r="C930" s="7" t="s">
        <v>355</v>
      </c>
      <c r="D930" s="36"/>
      <c r="E930" s="17"/>
      <c r="F930" s="17"/>
      <c r="G930" s="17"/>
      <c r="H930" s="17"/>
      <c r="I930" s="17"/>
      <c r="J930" s="17"/>
      <c r="K930" s="17"/>
      <c r="L930" s="17"/>
      <c r="M930" s="17"/>
      <c r="N930" s="17">
        <v>50.25</v>
      </c>
      <c r="O930" s="17"/>
      <c r="P930" s="17"/>
      <c r="Q930" s="17">
        <f t="shared" si="297"/>
        <v>9962.7000000000025</v>
      </c>
      <c r="R930" s="2"/>
      <c r="S930" s="20"/>
    </row>
    <row r="931" spans="1:19" x14ac:dyDescent="0.25">
      <c r="A931" s="26">
        <v>43756</v>
      </c>
      <c r="B931" s="17"/>
      <c r="C931" s="7" t="s">
        <v>30</v>
      </c>
      <c r="D931" s="36">
        <v>100</v>
      </c>
      <c r="E931" s="17">
        <v>13.7</v>
      </c>
      <c r="F931" s="17">
        <f t="shared" ref="F931:F932" si="324">D931*E931</f>
        <v>1370</v>
      </c>
      <c r="G931" s="17">
        <v>0.35</v>
      </c>
      <c r="H931" s="17">
        <f>0.04+0.16</f>
        <v>0.2</v>
      </c>
      <c r="I931" s="17"/>
      <c r="J931" s="17">
        <v>2.4900000000000002</v>
      </c>
      <c r="K931" s="17">
        <f t="shared" ref="K931:K932" si="325">SUM(F931:J931)</f>
        <v>1373.04</v>
      </c>
      <c r="L931" s="17"/>
      <c r="M931" s="17"/>
      <c r="N931" s="17"/>
      <c r="O931" s="17"/>
      <c r="P931" s="17"/>
      <c r="Q931" s="17">
        <f t="shared" si="297"/>
        <v>8589.6600000000035</v>
      </c>
      <c r="R931" s="2"/>
    </row>
    <row r="932" spans="1:19" x14ac:dyDescent="0.25">
      <c r="A932" s="26">
        <v>43756</v>
      </c>
      <c r="B932" s="17"/>
      <c r="C932" s="7" t="s">
        <v>355</v>
      </c>
      <c r="D932" s="36">
        <v>10</v>
      </c>
      <c r="E932" s="17">
        <v>102.55</v>
      </c>
      <c r="F932" s="17">
        <f t="shared" si="324"/>
        <v>1025.5</v>
      </c>
      <c r="G932" s="17">
        <v>0.3</v>
      </c>
      <c r="H932" s="17">
        <v>0.05</v>
      </c>
      <c r="I932" s="17"/>
      <c r="J932" s="17">
        <v>0</v>
      </c>
      <c r="K932" s="17">
        <f t="shared" si="325"/>
        <v>1025.8499999999999</v>
      </c>
      <c r="L932" s="17"/>
      <c r="M932" s="17"/>
      <c r="N932" s="17"/>
      <c r="O932" s="17"/>
      <c r="P932" s="17"/>
      <c r="Q932" s="17">
        <f t="shared" si="297"/>
        <v>7563.8100000000031</v>
      </c>
      <c r="R932" s="2"/>
    </row>
    <row r="933" spans="1:19" x14ac:dyDescent="0.25">
      <c r="A933" s="26">
        <v>43759</v>
      </c>
      <c r="B933" s="17"/>
      <c r="C933" s="7" t="s">
        <v>270</v>
      </c>
      <c r="D933" s="36">
        <v>10</v>
      </c>
      <c r="E933" s="17">
        <v>109.68</v>
      </c>
      <c r="F933" s="17">
        <f t="shared" ref="F933" si="326">D933*E933</f>
        <v>1096.8000000000002</v>
      </c>
      <c r="G933" s="17">
        <v>0</v>
      </c>
      <c r="H933" s="17">
        <v>0</v>
      </c>
      <c r="I933" s="17"/>
      <c r="J933" s="17">
        <v>0</v>
      </c>
      <c r="K933" s="17">
        <f t="shared" ref="K933" si="327">SUM(F933:J933)</f>
        <v>1096.8000000000002</v>
      </c>
      <c r="L933" s="17"/>
      <c r="M933" s="17"/>
      <c r="N933" s="17"/>
      <c r="O933" s="17"/>
      <c r="P933" s="17"/>
      <c r="Q933" s="17">
        <f t="shared" si="297"/>
        <v>6467.0100000000029</v>
      </c>
      <c r="R933" s="2" t="s">
        <v>351</v>
      </c>
    </row>
    <row r="934" spans="1:19" x14ac:dyDescent="0.25">
      <c r="A934" s="26">
        <v>43761</v>
      </c>
      <c r="B934" s="17"/>
      <c r="C934" s="7" t="s">
        <v>218</v>
      </c>
      <c r="D934" s="36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>
        <v>26.84</v>
      </c>
      <c r="P934" s="17"/>
      <c r="Q934" s="17">
        <f t="shared" si="297"/>
        <v>6493.8500000000031</v>
      </c>
      <c r="R934" s="2"/>
    </row>
    <row r="935" spans="1:19" x14ac:dyDescent="0.25">
      <c r="A935" s="26">
        <v>43761</v>
      </c>
      <c r="B935" s="17"/>
      <c r="C935" s="7" t="s">
        <v>96</v>
      </c>
      <c r="D935" s="36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>
        <v>51</v>
      </c>
      <c r="Q935" s="17">
        <f t="shared" si="297"/>
        <v>6544.8500000000031</v>
      </c>
      <c r="R935" s="2"/>
    </row>
    <row r="936" spans="1:19" x14ac:dyDescent="0.25">
      <c r="A936" s="26">
        <v>43761</v>
      </c>
      <c r="B936" s="17"/>
      <c r="C936" s="7" t="s">
        <v>184</v>
      </c>
      <c r="D936" s="36">
        <v>5</v>
      </c>
      <c r="E936" s="17">
        <v>68.239999999999995</v>
      </c>
      <c r="F936" s="17">
        <f t="shared" ref="F936:F937" si="328">D936*E936</f>
        <v>341.2</v>
      </c>
      <c r="G936" s="17">
        <v>0.1</v>
      </c>
      <c r="H936" s="17">
        <v>0.02</v>
      </c>
      <c r="I936" s="17"/>
      <c r="J936" s="17">
        <v>0</v>
      </c>
      <c r="K936" s="17">
        <f t="shared" ref="K936:K937" si="329">SUM(F936:J936)</f>
        <v>341.32</v>
      </c>
      <c r="L936" s="17"/>
      <c r="M936" s="17"/>
      <c r="N936" s="17"/>
      <c r="O936" s="17"/>
      <c r="P936" s="17"/>
      <c r="Q936" s="17">
        <f t="shared" si="297"/>
        <v>6203.5300000000034</v>
      </c>
      <c r="R936" s="2"/>
    </row>
    <row r="937" spans="1:19" x14ac:dyDescent="0.25">
      <c r="A937" s="26">
        <v>43761</v>
      </c>
      <c r="B937" s="17"/>
      <c r="C937" s="7" t="s">
        <v>184</v>
      </c>
      <c r="D937" s="36">
        <v>5</v>
      </c>
      <c r="E937" s="17">
        <v>68.22</v>
      </c>
      <c r="F937" s="17">
        <f t="shared" si="328"/>
        <v>341.1</v>
      </c>
      <c r="G937" s="17">
        <v>0.1</v>
      </c>
      <c r="H937" s="17">
        <v>0.02</v>
      </c>
      <c r="I937" s="17"/>
      <c r="J937" s="17">
        <v>0</v>
      </c>
      <c r="K937" s="17">
        <f t="shared" si="329"/>
        <v>341.22</v>
      </c>
      <c r="L937" s="17"/>
      <c r="M937" s="17"/>
      <c r="N937" s="17"/>
      <c r="O937" s="17"/>
      <c r="P937" s="17"/>
      <c r="Q937" s="17">
        <f t="shared" si="297"/>
        <v>5862.3100000000031</v>
      </c>
      <c r="R937" s="2"/>
    </row>
    <row r="938" spans="1:19" x14ac:dyDescent="0.25">
      <c r="A938" s="26">
        <v>43761</v>
      </c>
      <c r="B938" s="17"/>
      <c r="C938" s="7" t="s">
        <v>374</v>
      </c>
      <c r="D938" s="36">
        <v>10</v>
      </c>
      <c r="E938" s="17">
        <v>78.959999999999994</v>
      </c>
      <c r="F938" s="17">
        <f t="shared" ref="F938" si="330">D938*E938</f>
        <v>789.59999999999991</v>
      </c>
      <c r="G938" s="17">
        <v>0.2</v>
      </c>
      <c r="H938" s="17">
        <v>0.02</v>
      </c>
      <c r="I938" s="17"/>
      <c r="J938" s="17">
        <v>0</v>
      </c>
      <c r="K938" s="17">
        <f t="shared" ref="K938" si="331">SUM(F938:J938)</f>
        <v>789.81999999999994</v>
      </c>
      <c r="L938" s="17"/>
      <c r="M938" s="17"/>
      <c r="N938" s="17"/>
      <c r="O938" s="17"/>
      <c r="P938" s="17"/>
      <c r="Q938" s="17">
        <f t="shared" si="297"/>
        <v>5072.4900000000034</v>
      </c>
      <c r="R938" s="2"/>
    </row>
    <row r="939" spans="1:19" x14ac:dyDescent="0.25">
      <c r="A939" s="26">
        <v>43763</v>
      </c>
      <c r="B939" s="17"/>
      <c r="C939" s="7" t="s">
        <v>270</v>
      </c>
      <c r="D939" s="36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>
        <v>36.58</v>
      </c>
      <c r="P939" s="17"/>
      <c r="Q939" s="17">
        <f t="shared" si="297"/>
        <v>5109.0700000000033</v>
      </c>
      <c r="R939" s="2"/>
      <c r="S939" s="20"/>
    </row>
    <row r="940" spans="1:19" x14ac:dyDescent="0.25">
      <c r="A940" s="26">
        <v>43768</v>
      </c>
      <c r="B940" s="17"/>
      <c r="C940" s="7" t="s">
        <v>364</v>
      </c>
      <c r="D940" s="36">
        <v>11</v>
      </c>
      <c r="E940" s="17">
        <v>107.76</v>
      </c>
      <c r="F940" s="17">
        <f t="shared" ref="F940" si="332">D940*E940</f>
        <v>1185.3600000000001</v>
      </c>
      <c r="G940" s="17">
        <v>0.32</v>
      </c>
      <c r="H940" s="17">
        <v>0.04</v>
      </c>
      <c r="I940" s="17"/>
      <c r="J940" s="17">
        <v>0</v>
      </c>
      <c r="K940" s="17">
        <f t="shared" ref="K940" si="333">SUM(F940:J940)</f>
        <v>1185.72</v>
      </c>
      <c r="L940" s="17"/>
      <c r="M940" s="17"/>
      <c r="N940" s="17"/>
      <c r="O940" s="17"/>
      <c r="P940" s="17"/>
      <c r="Q940" s="17">
        <f t="shared" si="297"/>
        <v>3923.3500000000031</v>
      </c>
      <c r="R940" s="2"/>
    </row>
    <row r="941" spans="1:19" x14ac:dyDescent="0.25">
      <c r="A941" s="26">
        <v>43769</v>
      </c>
      <c r="B941" s="17"/>
      <c r="C941" s="7" t="s">
        <v>180</v>
      </c>
      <c r="D941" s="36"/>
      <c r="E941" s="17"/>
      <c r="F941" s="17"/>
      <c r="G941" s="17"/>
      <c r="H941" s="17"/>
      <c r="I941" s="17"/>
      <c r="J941" s="17"/>
      <c r="K941" s="17"/>
      <c r="L941" s="17"/>
      <c r="M941" s="17"/>
      <c r="N941" s="17">
        <v>19.2</v>
      </c>
      <c r="O941" s="17"/>
      <c r="P941" s="17"/>
      <c r="Q941" s="17">
        <f t="shared" si="297"/>
        <v>3942.5500000000029</v>
      </c>
      <c r="R941" s="2"/>
    </row>
    <row r="942" spans="1:19" x14ac:dyDescent="0.25">
      <c r="A942" s="26">
        <v>43769</v>
      </c>
      <c r="B942" s="17"/>
      <c r="C942" s="7" t="s">
        <v>377</v>
      </c>
      <c r="D942" s="36">
        <v>10</v>
      </c>
      <c r="E942" s="17">
        <v>102.84</v>
      </c>
      <c r="F942" s="17">
        <f t="shared" ref="F942" si="334">D942*E942</f>
        <v>1028.4000000000001</v>
      </c>
      <c r="G942" s="17">
        <v>0.28000000000000003</v>
      </c>
      <c r="H942" s="17">
        <v>0.04</v>
      </c>
      <c r="I942" s="17"/>
      <c r="J942" s="17">
        <v>0</v>
      </c>
      <c r="K942" s="17">
        <f t="shared" ref="K942" si="335">SUM(F942:J942)</f>
        <v>1028.72</v>
      </c>
      <c r="L942" s="17"/>
      <c r="M942" s="17"/>
      <c r="N942" s="17"/>
      <c r="O942" s="17"/>
      <c r="P942" s="17"/>
      <c r="Q942" s="17">
        <f t="shared" si="297"/>
        <v>2913.8300000000027</v>
      </c>
      <c r="R942" s="2"/>
    </row>
    <row r="943" spans="1:19" x14ac:dyDescent="0.25">
      <c r="A943" s="26">
        <v>43770</v>
      </c>
      <c r="B943" s="17"/>
      <c r="C943" s="7" t="s">
        <v>378</v>
      </c>
      <c r="D943" s="36">
        <v>5</v>
      </c>
      <c r="E943" s="17">
        <v>109.68</v>
      </c>
      <c r="F943" s="17">
        <f t="shared" ref="F943:F944" si="336">D943*E943</f>
        <v>548.40000000000009</v>
      </c>
      <c r="G943" s="17">
        <v>0</v>
      </c>
      <c r="H943" s="17">
        <v>0</v>
      </c>
      <c r="I943" s="17"/>
      <c r="J943" s="17">
        <v>0</v>
      </c>
      <c r="K943" s="17">
        <f t="shared" ref="K943:K944" si="337">SUM(F943:J943)</f>
        <v>548.40000000000009</v>
      </c>
      <c r="L943" s="17"/>
      <c r="M943" s="17"/>
      <c r="N943" s="17"/>
      <c r="O943" s="17"/>
      <c r="P943" s="17"/>
      <c r="Q943" s="17">
        <f t="shared" si="297"/>
        <v>2365.4300000000026</v>
      </c>
      <c r="R943" s="2" t="s">
        <v>351</v>
      </c>
    </row>
    <row r="944" spans="1:19" x14ac:dyDescent="0.25">
      <c r="A944" s="26">
        <v>43774</v>
      </c>
      <c r="B944" s="17"/>
      <c r="C944" s="7" t="s">
        <v>377</v>
      </c>
      <c r="D944" s="36">
        <v>10</v>
      </c>
      <c r="E944" s="17">
        <v>103.85</v>
      </c>
      <c r="F944" s="17">
        <f t="shared" si="336"/>
        <v>1038.5</v>
      </c>
      <c r="G944" s="17">
        <v>0.28000000000000003</v>
      </c>
      <c r="H944" s="17">
        <v>0.04</v>
      </c>
      <c r="I944" s="17"/>
      <c r="J944" s="17">
        <v>0</v>
      </c>
      <c r="K944" s="17">
        <f t="shared" si="337"/>
        <v>1038.82</v>
      </c>
      <c r="L944" s="17"/>
      <c r="M944" s="17"/>
      <c r="N944" s="17"/>
      <c r="O944" s="17"/>
      <c r="P944" s="17"/>
      <c r="Q944" s="17">
        <f t="shared" si="297"/>
        <v>1326.6100000000026</v>
      </c>
      <c r="R944" s="2"/>
    </row>
    <row r="945" spans="1:18" x14ac:dyDescent="0.25">
      <c r="A945" s="26">
        <v>43775</v>
      </c>
      <c r="B945" s="17">
        <v>2000</v>
      </c>
      <c r="D945" s="36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>
        <f t="shared" si="297"/>
        <v>3326.6100000000024</v>
      </c>
      <c r="R945" s="2"/>
    </row>
    <row r="946" spans="1:18" x14ac:dyDescent="0.25">
      <c r="A946" s="26">
        <v>43776</v>
      </c>
      <c r="B946" s="17"/>
      <c r="C946" s="7" t="s">
        <v>184</v>
      </c>
      <c r="D946" s="36">
        <v>10</v>
      </c>
      <c r="E946" s="17">
        <v>69.599999999999994</v>
      </c>
      <c r="F946" s="17">
        <f t="shared" ref="F946" si="338">D946*E946</f>
        <v>696</v>
      </c>
      <c r="G946" s="17">
        <v>0.19</v>
      </c>
      <c r="H946" s="17">
        <v>0.02</v>
      </c>
      <c r="I946" s="17"/>
      <c r="J946" s="17">
        <v>0</v>
      </c>
      <c r="K946" s="17">
        <f t="shared" ref="K946" si="339">SUM(F946:J946)</f>
        <v>696.21</v>
      </c>
      <c r="L946" s="17"/>
      <c r="M946" s="17"/>
      <c r="N946" s="17"/>
      <c r="O946" s="17"/>
      <c r="P946" s="17"/>
      <c r="Q946" s="17">
        <f t="shared" si="297"/>
        <v>2630.4000000000024</v>
      </c>
      <c r="R946" s="2"/>
    </row>
    <row r="947" spans="1:18" x14ac:dyDescent="0.25">
      <c r="A947" s="26">
        <v>43776</v>
      </c>
      <c r="B947" s="17"/>
      <c r="C947" s="7" t="s">
        <v>222</v>
      </c>
      <c r="D947" s="36"/>
      <c r="E947" s="17"/>
      <c r="F947" s="17"/>
      <c r="G947" s="17"/>
      <c r="H947" s="17"/>
      <c r="I947" s="17"/>
      <c r="J947" s="17"/>
      <c r="K947" s="17"/>
      <c r="L947" s="17"/>
      <c r="M947" s="17"/>
      <c r="N947" s="17">
        <v>100.75</v>
      </c>
      <c r="O947" s="17"/>
      <c r="P947" s="17"/>
      <c r="Q947" s="17">
        <f t="shared" si="297"/>
        <v>2731.1500000000024</v>
      </c>
      <c r="R947" s="2"/>
    </row>
    <row r="948" spans="1:18" x14ac:dyDescent="0.25">
      <c r="A948" s="26">
        <v>43776</v>
      </c>
      <c r="B948" s="17"/>
      <c r="C948" s="7" t="s">
        <v>276</v>
      </c>
      <c r="D948" s="36"/>
      <c r="E948" s="17"/>
      <c r="F948" s="17"/>
      <c r="G948" s="17"/>
      <c r="H948" s="17"/>
      <c r="I948" s="17"/>
      <c r="J948" s="17"/>
      <c r="K948" s="17"/>
      <c r="L948" s="17"/>
      <c r="M948" s="17"/>
      <c r="N948" s="17">
        <v>10.42</v>
      </c>
      <c r="O948" s="17"/>
      <c r="P948" s="17"/>
      <c r="Q948" s="17">
        <f t="shared" si="297"/>
        <v>2741.5700000000024</v>
      </c>
      <c r="R948" s="2"/>
    </row>
    <row r="949" spans="1:18" x14ac:dyDescent="0.25">
      <c r="A949" s="26">
        <v>43777</v>
      </c>
      <c r="B949" s="17"/>
      <c r="C949" s="7" t="s">
        <v>234</v>
      </c>
      <c r="D949" s="36"/>
      <c r="E949" s="17"/>
      <c r="F949" s="17"/>
      <c r="G949" s="17"/>
      <c r="H949" s="17"/>
      <c r="I949" s="17"/>
      <c r="J949" s="17"/>
      <c r="K949" s="17"/>
      <c r="L949" s="17"/>
      <c r="M949" s="17"/>
      <c r="N949" s="17">
        <v>27.2</v>
      </c>
      <c r="O949" s="17"/>
      <c r="P949" s="17"/>
      <c r="Q949" s="17">
        <f t="shared" si="297"/>
        <v>2768.7700000000023</v>
      </c>
      <c r="R949" s="2"/>
    </row>
    <row r="950" spans="1:18" x14ac:dyDescent="0.25">
      <c r="A950" s="26">
        <v>43777</v>
      </c>
      <c r="B950" s="17"/>
      <c r="C950" s="7" t="s">
        <v>186</v>
      </c>
      <c r="D950" s="36"/>
      <c r="E950" s="17"/>
      <c r="F950" s="17"/>
      <c r="G950" s="17"/>
      <c r="H950" s="17"/>
      <c r="I950" s="17"/>
      <c r="J950" s="17"/>
      <c r="K950" s="17"/>
      <c r="L950" s="17"/>
      <c r="M950" s="17"/>
      <c r="N950" s="17">
        <v>61</v>
      </c>
      <c r="O950" s="17"/>
      <c r="P950" s="17"/>
      <c r="Q950" s="17">
        <f t="shared" si="297"/>
        <v>2829.7700000000023</v>
      </c>
      <c r="R950" s="2"/>
    </row>
    <row r="951" spans="1:18" x14ac:dyDescent="0.25">
      <c r="A951" s="26">
        <v>43777</v>
      </c>
      <c r="B951" s="17"/>
      <c r="C951" s="7" t="s">
        <v>355</v>
      </c>
      <c r="D951" s="36">
        <v>10</v>
      </c>
      <c r="E951" s="17">
        <v>102.98</v>
      </c>
      <c r="F951" s="17">
        <f t="shared" ref="F951" si="340">D951*E951</f>
        <v>1029.8</v>
      </c>
      <c r="G951" s="17">
        <v>0.28000000000000003</v>
      </c>
      <c r="H951" s="17">
        <v>0.04</v>
      </c>
      <c r="I951" s="17"/>
      <c r="J951" s="17">
        <v>0</v>
      </c>
      <c r="K951" s="17">
        <f t="shared" ref="K951" si="341">SUM(F951:J951)</f>
        <v>1030.1199999999999</v>
      </c>
      <c r="L951" s="17"/>
      <c r="M951" s="17"/>
      <c r="N951" s="17"/>
      <c r="O951" s="17"/>
      <c r="P951" s="17"/>
      <c r="Q951" s="17">
        <f t="shared" si="297"/>
        <v>1799.6500000000024</v>
      </c>
      <c r="R951" s="2"/>
    </row>
    <row r="952" spans="1:18" x14ac:dyDescent="0.25">
      <c r="A952" s="26">
        <v>43781</v>
      </c>
      <c r="B952" s="17"/>
      <c r="C952" s="7" t="s">
        <v>364</v>
      </c>
      <c r="D952" s="36">
        <v>10</v>
      </c>
      <c r="E952" s="17">
        <v>106.35</v>
      </c>
      <c r="F952" s="17">
        <f t="shared" ref="F952" si="342">D952*E952</f>
        <v>1063.5</v>
      </c>
      <c r="G952" s="17">
        <v>0.28999999999999998</v>
      </c>
      <c r="H952" s="17">
        <v>0.04</v>
      </c>
      <c r="I952" s="17"/>
      <c r="J952" s="17">
        <v>0</v>
      </c>
      <c r="K952" s="17">
        <f t="shared" ref="K952" si="343">SUM(F952:J952)</f>
        <v>1063.83</v>
      </c>
      <c r="L952" s="17"/>
      <c r="M952" s="17"/>
      <c r="N952" s="17"/>
      <c r="O952" s="17"/>
      <c r="P952" s="17"/>
      <c r="Q952" s="17">
        <f t="shared" si="297"/>
        <v>735.82000000000244</v>
      </c>
      <c r="R952" s="2"/>
    </row>
    <row r="953" spans="1:18" x14ac:dyDescent="0.25">
      <c r="A953" s="26">
        <v>43783</v>
      </c>
      <c r="B953" s="17"/>
      <c r="C953" s="7" t="s">
        <v>88</v>
      </c>
      <c r="D953" s="36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>
        <v>150.91999999999999</v>
      </c>
      <c r="P953" s="17">
        <v>66.13</v>
      </c>
      <c r="Q953" s="17">
        <f t="shared" si="297"/>
        <v>952.87000000000239</v>
      </c>
      <c r="R953" s="2"/>
    </row>
    <row r="954" spans="1:18" x14ac:dyDescent="0.25">
      <c r="A954" s="26">
        <v>43783</v>
      </c>
      <c r="B954" s="17"/>
      <c r="C954" s="7" t="s">
        <v>379</v>
      </c>
      <c r="D954" s="36"/>
      <c r="E954" s="17"/>
      <c r="F954" s="17"/>
      <c r="G954" s="17"/>
      <c r="H954" s="17"/>
      <c r="I954" s="17"/>
      <c r="J954" s="17"/>
      <c r="K954" s="17"/>
      <c r="L954" s="17"/>
      <c r="M954" s="17"/>
      <c r="N954" s="17">
        <v>2.0499999999999998</v>
      </c>
      <c r="O954" s="17"/>
      <c r="P954" s="17"/>
      <c r="Q954" s="17">
        <f t="shared" si="297"/>
        <v>954.92000000000235</v>
      </c>
      <c r="R954" s="2"/>
    </row>
    <row r="955" spans="1:18" x14ac:dyDescent="0.25">
      <c r="A955" s="26">
        <v>43783</v>
      </c>
      <c r="B955" s="17"/>
      <c r="C955" s="7" t="s">
        <v>377</v>
      </c>
      <c r="D955" s="36"/>
      <c r="E955" s="17"/>
      <c r="F955" s="17"/>
      <c r="G955" s="17"/>
      <c r="H955" s="17"/>
      <c r="I955" s="17"/>
      <c r="J955" s="17"/>
      <c r="K955" s="17"/>
      <c r="L955" s="17"/>
      <c r="M955" s="17"/>
      <c r="N955" s="17">
        <v>4.3</v>
      </c>
      <c r="O955" s="17"/>
      <c r="P955" s="17"/>
      <c r="Q955" s="17">
        <f t="shared" si="297"/>
        <v>959.2200000000023</v>
      </c>
      <c r="R955" s="2"/>
    </row>
    <row r="956" spans="1:18" x14ac:dyDescent="0.25">
      <c r="A956" s="26">
        <v>43783</v>
      </c>
      <c r="B956" s="17"/>
      <c r="C956" s="7" t="s">
        <v>183</v>
      </c>
      <c r="D956" s="36"/>
      <c r="E956" s="17"/>
      <c r="F956" s="17"/>
      <c r="G956" s="17"/>
      <c r="H956" s="17"/>
      <c r="I956" s="17"/>
      <c r="J956" s="17"/>
      <c r="K956" s="17"/>
      <c r="L956" s="17"/>
      <c r="M956" s="17"/>
      <c r="N956" s="17">
        <v>17.05</v>
      </c>
      <c r="O956" s="17"/>
      <c r="P956" s="17"/>
      <c r="Q956" s="17">
        <f t="shared" si="297"/>
        <v>976.27000000000226</v>
      </c>
      <c r="R956" s="2"/>
    </row>
    <row r="957" spans="1:18" x14ac:dyDescent="0.25">
      <c r="A957" s="26">
        <v>43783</v>
      </c>
      <c r="B957" s="17"/>
      <c r="C957" s="7" t="s">
        <v>267</v>
      </c>
      <c r="D957" s="36"/>
      <c r="E957" s="17"/>
      <c r="F957" s="17"/>
      <c r="G957" s="17"/>
      <c r="H957" s="17"/>
      <c r="I957" s="17"/>
      <c r="J957" s="17"/>
      <c r="K957" s="17"/>
      <c r="L957" s="17"/>
      <c r="M957" s="17"/>
      <c r="N957" s="17">
        <v>20.399999999999999</v>
      </c>
      <c r="O957" s="17"/>
      <c r="P957" s="17"/>
      <c r="Q957" s="17">
        <f t="shared" si="297"/>
        <v>996.67000000000223</v>
      </c>
      <c r="R957" s="2"/>
    </row>
    <row r="958" spans="1:18" x14ac:dyDescent="0.25">
      <c r="A958" s="26">
        <v>43783</v>
      </c>
      <c r="B958" s="17"/>
      <c r="C958" s="7" t="s">
        <v>364</v>
      </c>
      <c r="D958" s="36"/>
      <c r="E958" s="17"/>
      <c r="F958" s="17"/>
      <c r="G958" s="17"/>
      <c r="H958" s="17"/>
      <c r="I958" s="17"/>
      <c r="J958" s="17"/>
      <c r="K958" s="17"/>
      <c r="L958" s="17"/>
      <c r="M958" s="17"/>
      <c r="N958" s="17">
        <v>21.96</v>
      </c>
      <c r="O958" s="17"/>
      <c r="P958" s="17"/>
      <c r="Q958" s="17">
        <f t="shared" si="297"/>
        <v>1018.6300000000023</v>
      </c>
      <c r="R958" s="2"/>
    </row>
    <row r="959" spans="1:18" x14ac:dyDescent="0.25">
      <c r="A959" s="26">
        <v>43783</v>
      </c>
      <c r="B959" s="17"/>
      <c r="C959" s="7" t="s">
        <v>374</v>
      </c>
      <c r="D959" s="36"/>
      <c r="E959" s="17"/>
      <c r="F959" s="17"/>
      <c r="G959" s="17"/>
      <c r="H959" s="17"/>
      <c r="I959" s="17"/>
      <c r="J959" s="17"/>
      <c r="K959" s="17"/>
      <c r="L959" s="17"/>
      <c r="M959" s="17"/>
      <c r="N959" s="17">
        <v>30</v>
      </c>
      <c r="O959" s="17"/>
      <c r="P959" s="17"/>
      <c r="Q959" s="17">
        <f t="shared" si="297"/>
        <v>1048.6300000000024</v>
      </c>
      <c r="R959" s="2"/>
    </row>
    <row r="960" spans="1:18" x14ac:dyDescent="0.25">
      <c r="A960" s="26">
        <v>43783</v>
      </c>
      <c r="B960" s="17"/>
      <c r="C960" s="7" t="s">
        <v>181</v>
      </c>
      <c r="D960" s="36"/>
      <c r="E960" s="17"/>
      <c r="F960" s="17"/>
      <c r="G960" s="17"/>
      <c r="H960" s="17"/>
      <c r="I960" s="17"/>
      <c r="J960" s="17"/>
      <c r="K960" s="17"/>
      <c r="L960" s="17"/>
      <c r="M960" s="17"/>
      <c r="N960" s="17">
        <v>59.85</v>
      </c>
      <c r="O960" s="17"/>
      <c r="P960" s="17"/>
      <c r="Q960" s="17">
        <f t="shared" si="297"/>
        <v>1108.4800000000023</v>
      </c>
      <c r="R960" s="2"/>
    </row>
    <row r="961" spans="1:18" x14ac:dyDescent="0.25">
      <c r="A961" s="26">
        <v>43783</v>
      </c>
      <c r="B961" s="17"/>
      <c r="C961" s="7" t="s">
        <v>221</v>
      </c>
      <c r="D961" s="36"/>
      <c r="E961" s="17"/>
      <c r="F961" s="17"/>
      <c r="G961" s="17"/>
      <c r="H961" s="17"/>
      <c r="I961" s="17"/>
      <c r="J961" s="17"/>
      <c r="K961" s="17"/>
      <c r="L961" s="17"/>
      <c r="M961" s="17"/>
      <c r="N961" s="17">
        <v>103.5</v>
      </c>
      <c r="O961" s="17"/>
      <c r="P961" s="17"/>
      <c r="Q961" s="17">
        <f t="shared" si="297"/>
        <v>1211.9800000000023</v>
      </c>
      <c r="R961" s="2"/>
    </row>
    <row r="962" spans="1:18" x14ac:dyDescent="0.25">
      <c r="A962" s="26">
        <v>43783</v>
      </c>
      <c r="B962" s="17"/>
      <c r="C962" s="7" t="s">
        <v>169</v>
      </c>
      <c r="D962" s="36"/>
      <c r="E962" s="17"/>
      <c r="F962" s="17"/>
      <c r="G962" s="17"/>
      <c r="H962" s="17"/>
      <c r="I962" s="17"/>
      <c r="J962" s="17"/>
      <c r="K962" s="17"/>
      <c r="L962" s="17"/>
      <c r="M962" s="17"/>
      <c r="N962" s="17">
        <v>91.35</v>
      </c>
      <c r="O962" s="17"/>
      <c r="P962" s="17"/>
      <c r="Q962" s="17">
        <f t="shared" si="297"/>
        <v>1303.3300000000022</v>
      </c>
      <c r="R962" s="2"/>
    </row>
    <row r="963" spans="1:18" x14ac:dyDescent="0.25">
      <c r="A963" s="26">
        <v>43783</v>
      </c>
      <c r="B963" s="17"/>
      <c r="C963" s="7" t="s">
        <v>217</v>
      </c>
      <c r="D963" s="36"/>
      <c r="E963" s="17"/>
      <c r="F963" s="17"/>
      <c r="G963" s="17"/>
      <c r="H963" s="17"/>
      <c r="I963" s="17"/>
      <c r="J963" s="17"/>
      <c r="K963" s="17"/>
      <c r="L963" s="17"/>
      <c r="M963" s="17"/>
      <c r="N963" s="17">
        <v>97.92</v>
      </c>
      <c r="O963" s="17"/>
      <c r="P963" s="17"/>
      <c r="Q963" s="17">
        <f t="shared" si="297"/>
        <v>1401.2500000000023</v>
      </c>
      <c r="R963" s="2"/>
    </row>
    <row r="964" spans="1:18" x14ac:dyDescent="0.25">
      <c r="A964" s="26">
        <v>43783</v>
      </c>
      <c r="B964" s="17"/>
      <c r="C964" s="7" t="s">
        <v>173</v>
      </c>
      <c r="D964" s="36"/>
      <c r="E964" s="17"/>
      <c r="F964" s="17"/>
      <c r="G964" s="17"/>
      <c r="H964" s="17"/>
      <c r="I964" s="17"/>
      <c r="J964" s="17"/>
      <c r="K964" s="17"/>
      <c r="L964" s="17"/>
      <c r="M964" s="17"/>
      <c r="N964" s="17">
        <v>302.10000000000002</v>
      </c>
      <c r="O964" s="17"/>
      <c r="P964" s="17"/>
      <c r="Q964" s="17">
        <f t="shared" si="297"/>
        <v>1703.3500000000022</v>
      </c>
      <c r="R964" s="2"/>
    </row>
    <row r="965" spans="1:18" x14ac:dyDescent="0.25">
      <c r="A965" s="26">
        <v>43787</v>
      </c>
      <c r="B965" s="17"/>
      <c r="C965" s="7" t="s">
        <v>383</v>
      </c>
      <c r="D965" s="36">
        <v>10</v>
      </c>
      <c r="E965" s="17">
        <v>95.5</v>
      </c>
      <c r="F965" s="17">
        <f t="shared" ref="F965" si="344">D965*E965</f>
        <v>955</v>
      </c>
      <c r="G965" s="17">
        <v>0.27</v>
      </c>
      <c r="H965" s="17">
        <v>0.04</v>
      </c>
      <c r="I965" s="17"/>
      <c r="J965" s="17">
        <v>0</v>
      </c>
      <c r="K965" s="17">
        <f t="shared" ref="K965" si="345">SUM(F965:J965)</f>
        <v>955.31</v>
      </c>
      <c r="L965" s="17"/>
      <c r="M965" s="17"/>
      <c r="N965" s="17"/>
      <c r="O965" s="17"/>
      <c r="P965" s="17"/>
      <c r="Q965" s="17">
        <f t="shared" si="297"/>
        <v>748.04000000000224</v>
      </c>
      <c r="R965" s="2"/>
    </row>
    <row r="966" spans="1:18" x14ac:dyDescent="0.25">
      <c r="A966" s="26">
        <v>43787</v>
      </c>
      <c r="B966" s="17"/>
      <c r="C966" s="7" t="s">
        <v>384</v>
      </c>
      <c r="D966" s="36">
        <v>-500</v>
      </c>
      <c r="E966" s="17">
        <v>0.08</v>
      </c>
      <c r="F966" s="17">
        <f t="shared" ref="F966" si="346">D966*E966</f>
        <v>-40</v>
      </c>
      <c r="G966" s="17">
        <v>0</v>
      </c>
      <c r="H966" s="17">
        <v>0</v>
      </c>
      <c r="I966" s="17"/>
      <c r="J966" s="17">
        <v>0</v>
      </c>
      <c r="K966" s="17">
        <f t="shared" ref="K966" si="347">SUM(F966:J966)</f>
        <v>-40</v>
      </c>
      <c r="L966" s="17"/>
      <c r="M966" s="17"/>
      <c r="N966" s="17"/>
      <c r="O966" s="17"/>
      <c r="P966" s="17"/>
      <c r="Q966" s="17">
        <f t="shared" si="297"/>
        <v>788.04000000000224</v>
      </c>
      <c r="R966" s="2"/>
    </row>
    <row r="967" spans="1:18" ht="13.5" customHeight="1" x14ac:dyDescent="0.25">
      <c r="A967" s="26">
        <v>43788</v>
      </c>
      <c r="B967" s="17"/>
      <c r="C967" s="7" t="s">
        <v>220</v>
      </c>
      <c r="D967" s="36"/>
      <c r="E967" s="17"/>
      <c r="F967" s="17"/>
      <c r="G967" s="17"/>
      <c r="H967" s="17"/>
      <c r="I967" s="17"/>
      <c r="J967" s="17"/>
      <c r="K967" s="17"/>
      <c r="L967" s="17"/>
      <c r="M967" s="17"/>
      <c r="N967" s="17">
        <v>21.83</v>
      </c>
      <c r="O967" s="17"/>
      <c r="P967" s="17"/>
      <c r="Q967" s="17">
        <f t="shared" si="297"/>
        <v>809.87000000000228</v>
      </c>
      <c r="R967" s="2"/>
    </row>
    <row r="968" spans="1:18" x14ac:dyDescent="0.25">
      <c r="A968" s="26">
        <v>43790</v>
      </c>
      <c r="B968" s="17"/>
      <c r="C968" s="7" t="s">
        <v>355</v>
      </c>
      <c r="D968" s="36"/>
      <c r="E968" s="17"/>
      <c r="F968" s="17"/>
      <c r="G968" s="17"/>
      <c r="H968" s="17"/>
      <c r="I968" s="17"/>
      <c r="J968" s="17"/>
      <c r="K968" s="17"/>
      <c r="L968" s="17"/>
      <c r="M968" s="17"/>
      <c r="N968" s="17">
        <v>65.55</v>
      </c>
      <c r="O968" s="17"/>
      <c r="P968" s="17"/>
      <c r="Q968" s="17">
        <f t="shared" si="297"/>
        <v>875.42000000000223</v>
      </c>
      <c r="R968" s="118"/>
    </row>
    <row r="969" spans="1:18" x14ac:dyDescent="0.25">
      <c r="A969" s="26">
        <v>43790</v>
      </c>
      <c r="B969" s="17">
        <v>1000</v>
      </c>
      <c r="D969" s="36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>
        <f t="shared" si="297"/>
        <v>1875.4200000000023</v>
      </c>
      <c r="R969" s="2"/>
    </row>
    <row r="970" spans="1:18" x14ac:dyDescent="0.25">
      <c r="A970" s="26">
        <v>43791</v>
      </c>
      <c r="B970" s="17"/>
      <c r="C970" s="7" t="s">
        <v>218</v>
      </c>
      <c r="D970" s="36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>
        <v>133.33000000000001</v>
      </c>
      <c r="P970" s="17"/>
      <c r="Q970" s="17">
        <f t="shared" si="297"/>
        <v>2008.7500000000023</v>
      </c>
      <c r="R970" s="2"/>
    </row>
    <row r="971" spans="1:18" x14ac:dyDescent="0.25">
      <c r="A971" s="26">
        <v>43794</v>
      </c>
      <c r="B971" s="17"/>
      <c r="C971" s="7" t="s">
        <v>385</v>
      </c>
      <c r="D971" s="36"/>
      <c r="E971" s="17"/>
      <c r="F971" s="17"/>
      <c r="G971" s="17"/>
      <c r="H971" s="17"/>
      <c r="I971" s="17"/>
      <c r="J971" s="17"/>
      <c r="K971" s="17"/>
      <c r="L971" s="17"/>
      <c r="M971" s="17"/>
      <c r="N971" s="17">
        <v>1.38</v>
      </c>
      <c r="O971" s="17"/>
      <c r="P971" s="17"/>
      <c r="Q971" s="17">
        <f t="shared" ref="Q971:Q1039" si="348">Q970+B971-K971-L971-M971+N971+O971+P971</f>
        <v>2010.1300000000024</v>
      </c>
      <c r="R971" s="2"/>
    </row>
    <row r="972" spans="1:18" x14ac:dyDescent="0.25">
      <c r="A972" s="26">
        <v>43794</v>
      </c>
      <c r="B972" s="17"/>
      <c r="C972" s="7" t="s">
        <v>270</v>
      </c>
      <c r="D972" s="36"/>
      <c r="E972" s="17"/>
      <c r="F972" s="17"/>
      <c r="G972" s="17"/>
      <c r="H972" s="17"/>
      <c r="I972" s="17"/>
      <c r="J972" s="17"/>
      <c r="K972" s="17"/>
      <c r="L972" s="17"/>
      <c r="M972" s="17"/>
      <c r="N972" s="17">
        <v>36.58</v>
      </c>
      <c r="O972" s="17"/>
      <c r="P972" s="17"/>
      <c r="Q972" s="17">
        <f t="shared" si="348"/>
        <v>2046.7100000000023</v>
      </c>
      <c r="R972" s="2"/>
    </row>
    <row r="973" spans="1:18" x14ac:dyDescent="0.25">
      <c r="A973" s="26">
        <v>43794</v>
      </c>
      <c r="B973" s="17"/>
      <c r="C973" s="7" t="s">
        <v>252</v>
      </c>
      <c r="D973" s="36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>
        <v>155.6</v>
      </c>
      <c r="P973" s="17"/>
      <c r="Q973" s="17">
        <f t="shared" si="348"/>
        <v>2202.3100000000022</v>
      </c>
      <c r="R973" s="2"/>
    </row>
    <row r="974" spans="1:18" x14ac:dyDescent="0.25">
      <c r="A974" s="26">
        <v>43794</v>
      </c>
      <c r="B974" s="17"/>
      <c r="C974" s="7" t="s">
        <v>383</v>
      </c>
      <c r="D974" s="36">
        <v>10</v>
      </c>
      <c r="E974" s="17">
        <v>95.7</v>
      </c>
      <c r="F974" s="17">
        <f t="shared" ref="F974" si="349">D974*E974</f>
        <v>957</v>
      </c>
      <c r="G974" s="17">
        <v>0.26</v>
      </c>
      <c r="H974" s="17">
        <v>0.03</v>
      </c>
      <c r="I974" s="17"/>
      <c r="J974" s="17">
        <v>0</v>
      </c>
      <c r="K974" s="17">
        <f t="shared" ref="K974" si="350">SUM(F974:J974)</f>
        <v>957.29</v>
      </c>
      <c r="L974" s="17"/>
      <c r="M974" s="17"/>
      <c r="N974" s="17"/>
      <c r="O974" s="17"/>
      <c r="P974" s="17"/>
      <c r="Q974" s="17">
        <f t="shared" si="348"/>
        <v>1245.0200000000023</v>
      </c>
      <c r="R974" s="2"/>
    </row>
    <row r="975" spans="1:18" x14ac:dyDescent="0.25">
      <c r="A975" s="26">
        <v>43798</v>
      </c>
      <c r="B975" s="17"/>
      <c r="C975" s="7" t="s">
        <v>5</v>
      </c>
      <c r="D975" s="36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>
        <v>31.03</v>
      </c>
      <c r="Q975" s="17">
        <f t="shared" si="348"/>
        <v>1276.0500000000022</v>
      </c>
      <c r="R975" s="2"/>
    </row>
    <row r="976" spans="1:18" x14ac:dyDescent="0.25">
      <c r="A976" s="26">
        <v>43798</v>
      </c>
      <c r="B976" s="17"/>
      <c r="C976" s="7" t="s">
        <v>170</v>
      </c>
      <c r="D976" s="36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>
        <v>219.8</v>
      </c>
      <c r="P976" s="17">
        <v>100.83</v>
      </c>
      <c r="Q976" s="17">
        <f t="shared" si="348"/>
        <v>1596.6800000000021</v>
      </c>
      <c r="R976" s="2"/>
    </row>
    <row r="977" spans="1:20" x14ac:dyDescent="0.25">
      <c r="A977" s="26">
        <v>43798</v>
      </c>
      <c r="B977" s="17"/>
      <c r="C977" s="7" t="s">
        <v>180</v>
      </c>
      <c r="D977" s="36"/>
      <c r="E977" s="17"/>
      <c r="F977" s="17"/>
      <c r="G977" s="17"/>
      <c r="H977" s="17"/>
      <c r="I977" s="17"/>
      <c r="J977" s="17"/>
      <c r="K977" s="17"/>
      <c r="L977" s="17"/>
      <c r="M977" s="17"/>
      <c r="N977" s="17">
        <v>20.16</v>
      </c>
      <c r="O977" s="17"/>
      <c r="P977" s="17"/>
      <c r="Q977" s="17">
        <f t="shared" si="348"/>
        <v>1616.8400000000022</v>
      </c>
      <c r="R977" s="2"/>
    </row>
    <row r="978" spans="1:20" x14ac:dyDescent="0.25">
      <c r="A978" s="26">
        <v>43798</v>
      </c>
      <c r="B978" s="17"/>
      <c r="C978" s="7" t="s">
        <v>384</v>
      </c>
      <c r="D978" s="36">
        <v>292</v>
      </c>
      <c r="E978" s="17">
        <v>10.89</v>
      </c>
      <c r="F978" s="17">
        <f t="shared" ref="F978" si="351">D978*E978</f>
        <v>3179.88</v>
      </c>
      <c r="G978" s="17">
        <v>0</v>
      </c>
      <c r="H978" s="17">
        <v>0</v>
      </c>
      <c r="I978" s="17"/>
      <c r="J978" s="17">
        <v>0</v>
      </c>
      <c r="K978" s="17">
        <f t="shared" ref="K978" si="352">SUM(F978:J978)</f>
        <v>3179.88</v>
      </c>
      <c r="L978" s="17"/>
      <c r="M978" s="17"/>
      <c r="N978" s="17"/>
      <c r="O978" s="17"/>
      <c r="P978" s="17"/>
      <c r="Q978" s="17">
        <f t="shared" si="348"/>
        <v>-1563.0399999999979</v>
      </c>
      <c r="R978" s="2" t="s">
        <v>351</v>
      </c>
    </row>
    <row r="979" spans="1:20" x14ac:dyDescent="0.25">
      <c r="A979" s="26">
        <v>43798</v>
      </c>
      <c r="B979" s="17"/>
      <c r="D979" s="36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>
        <f t="shared" si="348"/>
        <v>-1563.0399999999979</v>
      </c>
      <c r="R979" s="2"/>
    </row>
    <row r="980" spans="1:20" x14ac:dyDescent="0.25">
      <c r="A980" s="26">
        <v>43798</v>
      </c>
      <c r="B980" s="17">
        <v>1600</v>
      </c>
      <c r="D980" s="36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>
        <f t="shared" si="348"/>
        <v>36.960000000002083</v>
      </c>
      <c r="R980" s="2"/>
    </row>
    <row r="981" spans="1:20" x14ac:dyDescent="0.25">
      <c r="A981" s="26">
        <v>43803</v>
      </c>
      <c r="B981" s="17"/>
      <c r="C981" s="7" t="s">
        <v>386</v>
      </c>
      <c r="D981" s="36">
        <v>8</v>
      </c>
      <c r="E981" s="17">
        <v>100</v>
      </c>
      <c r="F981" s="17">
        <f t="shared" ref="F981" si="353">D981*E981</f>
        <v>800</v>
      </c>
      <c r="G981" s="17">
        <v>0</v>
      </c>
      <c r="H981" s="17">
        <v>0</v>
      </c>
      <c r="I981" s="17"/>
      <c r="J981" s="17">
        <v>0</v>
      </c>
      <c r="K981" s="17">
        <f t="shared" ref="K981" si="354">SUM(F981:J981)</f>
        <v>800</v>
      </c>
      <c r="L981" s="17"/>
      <c r="M981" s="17"/>
      <c r="N981" s="17"/>
      <c r="O981" s="17"/>
      <c r="P981" s="17"/>
      <c r="Q981" s="17">
        <f t="shared" si="348"/>
        <v>-763.03999999999792</v>
      </c>
      <c r="R981" s="2" t="s">
        <v>351</v>
      </c>
    </row>
    <row r="982" spans="1:20" x14ac:dyDescent="0.25">
      <c r="A982" s="26">
        <v>43803</v>
      </c>
      <c r="B982" s="17">
        <v>2000</v>
      </c>
      <c r="D982" s="36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>
        <f t="shared" si="348"/>
        <v>1236.9600000000021</v>
      </c>
      <c r="R982" s="2"/>
    </row>
    <row r="983" spans="1:20" x14ac:dyDescent="0.25">
      <c r="A983" s="26">
        <v>43805</v>
      </c>
      <c r="B983" s="17"/>
      <c r="C983" s="7" t="s">
        <v>276</v>
      </c>
      <c r="D983" s="36"/>
      <c r="E983" s="17"/>
      <c r="F983" s="17"/>
      <c r="G983" s="17"/>
      <c r="H983" s="17"/>
      <c r="I983" s="17"/>
      <c r="J983" s="17"/>
      <c r="K983" s="17"/>
      <c r="L983" s="17"/>
      <c r="M983" s="17"/>
      <c r="N983" s="17">
        <v>9.81</v>
      </c>
      <c r="O983" s="17"/>
      <c r="P983" s="17"/>
      <c r="Q983" s="17">
        <f t="shared" si="348"/>
        <v>1246.770000000002</v>
      </c>
      <c r="R983" s="2"/>
    </row>
    <row r="984" spans="1:20" x14ac:dyDescent="0.25">
      <c r="A984" s="26">
        <v>43808</v>
      </c>
      <c r="B984" s="17"/>
      <c r="C984" s="7" t="s">
        <v>222</v>
      </c>
      <c r="D984" s="36"/>
      <c r="E984" s="17"/>
      <c r="F984" s="17"/>
      <c r="G984" s="17"/>
      <c r="H984" s="17"/>
      <c r="I984" s="17"/>
      <c r="J984" s="17"/>
      <c r="K984" s="17"/>
      <c r="L984" s="17"/>
      <c r="M984" s="17"/>
      <c r="N984" s="17">
        <v>131.75</v>
      </c>
      <c r="O984" s="17"/>
      <c r="P984" s="17"/>
      <c r="Q984" s="17">
        <f t="shared" si="348"/>
        <v>1378.520000000002</v>
      </c>
      <c r="R984" s="2"/>
    </row>
    <row r="985" spans="1:20" x14ac:dyDescent="0.25">
      <c r="A985" s="26">
        <v>43808</v>
      </c>
      <c r="B985" s="17"/>
      <c r="C985" s="7" t="s">
        <v>234</v>
      </c>
      <c r="D985" s="36"/>
      <c r="E985" s="17"/>
      <c r="F985" s="17"/>
      <c r="G985" s="17"/>
      <c r="H985" s="17"/>
      <c r="I985" s="17"/>
      <c r="J985" s="17"/>
      <c r="K985" s="17"/>
      <c r="L985" s="17"/>
      <c r="M985" s="17"/>
      <c r="N985" s="17">
        <v>26.8</v>
      </c>
      <c r="O985" s="17"/>
      <c r="P985" s="17"/>
      <c r="Q985" s="17">
        <f t="shared" si="348"/>
        <v>1405.320000000002</v>
      </c>
      <c r="R985" s="2"/>
    </row>
    <row r="986" spans="1:20" x14ac:dyDescent="0.25">
      <c r="A986" s="26">
        <v>43808</v>
      </c>
      <c r="B986" s="17"/>
      <c r="C986" s="7" t="s">
        <v>186</v>
      </c>
      <c r="D986" s="36"/>
      <c r="E986" s="17"/>
      <c r="F986" s="17"/>
      <c r="G986" s="17"/>
      <c r="H986" s="17"/>
      <c r="I986" s="17"/>
      <c r="J986" s="17"/>
      <c r="K986" s="17"/>
      <c r="L986" s="17"/>
      <c r="M986" s="17"/>
      <c r="N986" s="17">
        <v>140</v>
      </c>
      <c r="O986" s="17"/>
      <c r="P986" s="17"/>
      <c r="Q986" s="17">
        <f t="shared" si="348"/>
        <v>1545.320000000002</v>
      </c>
      <c r="R986" s="2"/>
    </row>
    <row r="987" spans="1:20" x14ac:dyDescent="0.25">
      <c r="A987" s="26">
        <v>43808</v>
      </c>
      <c r="B987" s="17"/>
      <c r="C987" s="7" t="s">
        <v>186</v>
      </c>
      <c r="D987" s="36"/>
      <c r="E987" s="17"/>
      <c r="F987" s="17"/>
      <c r="G987" s="17"/>
      <c r="H987" s="17"/>
      <c r="I987" s="17"/>
      <c r="J987" s="17"/>
      <c r="K987" s="17"/>
      <c r="L987" s="17"/>
      <c r="M987" s="17"/>
      <c r="N987" s="17">
        <v>366</v>
      </c>
      <c r="O987" s="17"/>
      <c r="P987" s="17"/>
      <c r="Q987" s="17">
        <f t="shared" si="348"/>
        <v>1911.320000000002</v>
      </c>
      <c r="R987" s="2"/>
    </row>
    <row r="988" spans="1:20" x14ac:dyDescent="0.25">
      <c r="A988" s="26">
        <v>43808</v>
      </c>
      <c r="B988" s="17"/>
      <c r="C988" s="7" t="s">
        <v>377</v>
      </c>
      <c r="D988" s="36">
        <v>5</v>
      </c>
      <c r="E988" s="17">
        <v>106.8</v>
      </c>
      <c r="F988" s="17">
        <f t="shared" ref="F988:F989" si="355">D988*E988</f>
        <v>534</v>
      </c>
      <c r="G988" s="17">
        <v>0.13</v>
      </c>
      <c r="H988" s="17">
        <v>0.03</v>
      </c>
      <c r="I988" s="17"/>
      <c r="J988" s="17">
        <v>0</v>
      </c>
      <c r="K988" s="17">
        <f t="shared" ref="K988:K989" si="356">SUM(F988:J988)</f>
        <v>534.16</v>
      </c>
      <c r="L988" s="17"/>
      <c r="M988" s="17"/>
      <c r="N988" s="17"/>
      <c r="O988" s="17"/>
      <c r="P988" s="17"/>
      <c r="Q988" s="17">
        <f t="shared" si="348"/>
        <v>1377.1600000000021</v>
      </c>
      <c r="R988" s="2"/>
      <c r="S988" s="20"/>
    </row>
    <row r="989" spans="1:20" x14ac:dyDescent="0.25">
      <c r="A989" s="26">
        <v>43808</v>
      </c>
      <c r="B989" s="17"/>
      <c r="C989" s="7" t="s">
        <v>364</v>
      </c>
      <c r="D989" s="36">
        <v>10</v>
      </c>
      <c r="E989" s="17">
        <v>105.3</v>
      </c>
      <c r="F989" s="17">
        <f t="shared" si="355"/>
        <v>1053</v>
      </c>
      <c r="G989" s="17">
        <v>0.3</v>
      </c>
      <c r="H989" s="17">
        <v>0.03</v>
      </c>
      <c r="I989" s="17"/>
      <c r="J989" s="17">
        <v>0</v>
      </c>
      <c r="K989" s="17">
        <f t="shared" si="356"/>
        <v>1053.33</v>
      </c>
      <c r="L989" s="17"/>
      <c r="M989" s="17"/>
      <c r="N989" s="17"/>
      <c r="O989" s="17"/>
      <c r="P989" s="17"/>
      <c r="Q989" s="17">
        <f t="shared" si="348"/>
        <v>323.8300000000022</v>
      </c>
      <c r="R989" s="2"/>
      <c r="S989" s="20"/>
    </row>
    <row r="990" spans="1:20" x14ac:dyDescent="0.25">
      <c r="A990" s="26">
        <v>43810</v>
      </c>
      <c r="B990" s="17"/>
      <c r="C990" s="7" t="s">
        <v>387</v>
      </c>
      <c r="D990" s="36">
        <v>-46</v>
      </c>
      <c r="E990" s="17">
        <v>5.3</v>
      </c>
      <c r="F990" s="17">
        <f t="shared" ref="F990" si="357">D990*E990</f>
        <v>-243.79999999999998</v>
      </c>
      <c r="G990" s="17">
        <v>0.06</v>
      </c>
      <c r="H990" s="17">
        <v>0</v>
      </c>
      <c r="I990" s="17"/>
      <c r="J990" s="17">
        <v>0</v>
      </c>
      <c r="K990" s="17">
        <f t="shared" ref="K990" si="358">SUM(F990:J990)</f>
        <v>-243.73999999999998</v>
      </c>
      <c r="L990" s="17"/>
      <c r="M990" s="17"/>
      <c r="N990" s="17"/>
      <c r="O990" s="17"/>
      <c r="P990" s="17"/>
      <c r="Q990" s="17">
        <f t="shared" si="348"/>
        <v>567.57000000000221</v>
      </c>
      <c r="R990" s="2"/>
    </row>
    <row r="991" spans="1:20" x14ac:dyDescent="0.25">
      <c r="A991" s="26">
        <v>43811</v>
      </c>
      <c r="B991" s="17"/>
      <c r="C991" s="7" t="s">
        <v>173</v>
      </c>
      <c r="D991" s="36"/>
      <c r="E991" s="17"/>
      <c r="F991" s="17"/>
      <c r="G991" s="17"/>
      <c r="H991" s="17"/>
      <c r="I991" s="17"/>
      <c r="J991" s="17"/>
      <c r="K991" s="17"/>
      <c r="L991" s="17"/>
      <c r="M991" s="17"/>
      <c r="N991" s="17">
        <v>302.10000000000002</v>
      </c>
      <c r="O991" s="17"/>
      <c r="P991" s="17"/>
      <c r="Q991" s="17">
        <f t="shared" si="348"/>
        <v>869.67000000000223</v>
      </c>
      <c r="R991" s="2"/>
      <c r="S991" s="20" t="s">
        <v>226</v>
      </c>
      <c r="T991" t="s">
        <v>73</v>
      </c>
    </row>
    <row r="992" spans="1:20" x14ac:dyDescent="0.25">
      <c r="A992" s="26">
        <v>43811</v>
      </c>
      <c r="B992" s="17"/>
      <c r="C992" s="7" t="s">
        <v>379</v>
      </c>
      <c r="D992" s="36"/>
      <c r="E992" s="17"/>
      <c r="F992" s="17"/>
      <c r="G992" s="17"/>
      <c r="H992" s="17"/>
      <c r="I992" s="17"/>
      <c r="J992" s="17"/>
      <c r="K992" s="17"/>
      <c r="L992" s="17"/>
      <c r="M992" s="17"/>
      <c r="N992" s="17">
        <v>2.91</v>
      </c>
      <c r="O992" s="17"/>
      <c r="P992" s="17"/>
      <c r="Q992" s="17">
        <f t="shared" si="348"/>
        <v>872.5800000000022</v>
      </c>
      <c r="R992" s="2"/>
      <c r="S992" s="20">
        <v>26.47</v>
      </c>
      <c r="T992" s="20">
        <v>5.29</v>
      </c>
    </row>
    <row r="993" spans="1:20" x14ac:dyDescent="0.25">
      <c r="A993" s="26">
        <v>43811</v>
      </c>
      <c r="B993" s="17"/>
      <c r="C993" s="7" t="s">
        <v>221</v>
      </c>
      <c r="D993" s="36"/>
      <c r="E993" s="17"/>
      <c r="F993" s="17"/>
      <c r="G993" s="17"/>
      <c r="H993" s="17"/>
      <c r="I993" s="17"/>
      <c r="J993" s="17"/>
      <c r="K993" s="17"/>
      <c r="L993" s="17"/>
      <c r="M993" s="17"/>
      <c r="N993" s="17">
        <v>103.5</v>
      </c>
      <c r="O993" s="17"/>
      <c r="P993" s="17"/>
      <c r="Q993" s="17">
        <f t="shared" si="348"/>
        <v>976.0800000000022</v>
      </c>
      <c r="R993" s="2"/>
      <c r="S993" s="20">
        <v>26</v>
      </c>
      <c r="T993" s="20">
        <v>4.55</v>
      </c>
    </row>
    <row r="994" spans="1:20" x14ac:dyDescent="0.25">
      <c r="A994" s="26">
        <v>43811</v>
      </c>
      <c r="B994" s="17"/>
      <c r="D994" s="36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>
        <f t="shared" si="348"/>
        <v>976.0800000000022</v>
      </c>
      <c r="R994" s="2"/>
      <c r="S994" s="20">
        <v>17.02</v>
      </c>
      <c r="T994" s="20">
        <v>3.4</v>
      </c>
    </row>
    <row r="995" spans="1:20" x14ac:dyDescent="0.25">
      <c r="A995" s="26">
        <v>43812</v>
      </c>
      <c r="B995" s="17"/>
      <c r="C995" s="7" t="s">
        <v>267</v>
      </c>
      <c r="D995" s="36"/>
      <c r="E995" s="17"/>
      <c r="F995" s="17"/>
      <c r="G995" s="17"/>
      <c r="H995" s="17"/>
      <c r="I995" s="17"/>
      <c r="J995" s="17"/>
      <c r="K995" s="17"/>
      <c r="L995" s="17"/>
      <c r="M995" s="17"/>
      <c r="N995" s="17">
        <v>20.399999999999999</v>
      </c>
      <c r="O995" s="17"/>
      <c r="P995" s="17"/>
      <c r="Q995" s="17">
        <f t="shared" si="348"/>
        <v>996.48000000000218</v>
      </c>
      <c r="R995" s="2"/>
      <c r="S995" s="20">
        <v>24.59</v>
      </c>
      <c r="T995" s="20">
        <v>4.3</v>
      </c>
    </row>
    <row r="996" spans="1:20" x14ac:dyDescent="0.25">
      <c r="A996" s="26">
        <v>43812</v>
      </c>
      <c r="B996" s="17"/>
      <c r="C996" s="7" t="s">
        <v>377</v>
      </c>
      <c r="D996" s="36"/>
      <c r="E996" s="17"/>
      <c r="F996" s="17"/>
      <c r="G996" s="17"/>
      <c r="H996" s="17"/>
      <c r="I996" s="17"/>
      <c r="J996" s="17"/>
      <c r="K996" s="17"/>
      <c r="L996" s="17"/>
      <c r="M996" s="17"/>
      <c r="N996" s="17">
        <v>6.8</v>
      </c>
      <c r="O996" s="17"/>
      <c r="P996" s="17"/>
      <c r="Q996" s="17">
        <f t="shared" si="348"/>
        <v>1003.2800000000021</v>
      </c>
      <c r="R996" s="2"/>
      <c r="S996" s="20">
        <v>20.8</v>
      </c>
      <c r="T996" s="20">
        <v>3.64</v>
      </c>
    </row>
    <row r="997" spans="1:20" x14ac:dyDescent="0.25">
      <c r="A997" s="26">
        <v>43812</v>
      </c>
      <c r="B997" s="17"/>
      <c r="C997" s="7" t="s">
        <v>374</v>
      </c>
      <c r="D997" s="36"/>
      <c r="E997" s="17"/>
      <c r="F997" s="17"/>
      <c r="G997" s="17"/>
      <c r="H997" s="17"/>
      <c r="I997" s="17"/>
      <c r="J997" s="17"/>
      <c r="K997" s="17"/>
      <c r="L997" s="17"/>
      <c r="M997" s="17"/>
      <c r="N997" s="17">
        <v>50</v>
      </c>
      <c r="O997" s="17"/>
      <c r="P997" s="17"/>
      <c r="Q997" s="17">
        <f t="shared" si="348"/>
        <v>1053.280000000002</v>
      </c>
      <c r="R997" s="2"/>
      <c r="S997" s="20">
        <v>28.36</v>
      </c>
      <c r="T997" s="20">
        <v>4.96</v>
      </c>
    </row>
    <row r="998" spans="1:20" x14ac:dyDescent="0.25">
      <c r="A998" s="26">
        <v>43812</v>
      </c>
      <c r="B998" s="17"/>
      <c r="C998" s="7" t="s">
        <v>183</v>
      </c>
      <c r="D998" s="36"/>
      <c r="E998" s="17"/>
      <c r="F998" s="17"/>
      <c r="G998" s="17"/>
      <c r="H998" s="17"/>
      <c r="I998" s="17"/>
      <c r="J998" s="17"/>
      <c r="K998" s="17"/>
      <c r="L998" s="17"/>
      <c r="M998" s="17"/>
      <c r="N998" s="17">
        <v>21.15</v>
      </c>
      <c r="O998" s="17"/>
      <c r="P998" s="17"/>
      <c r="Q998" s="17">
        <f t="shared" si="348"/>
        <v>1074.4300000000021</v>
      </c>
      <c r="R998" s="2"/>
      <c r="S998" s="20">
        <v>26.95</v>
      </c>
      <c r="T998" s="20">
        <v>4.72</v>
      </c>
    </row>
    <row r="999" spans="1:20" x14ac:dyDescent="0.25">
      <c r="A999" s="26">
        <v>43812</v>
      </c>
      <c r="B999" s="17"/>
      <c r="C999" s="7" t="s">
        <v>181</v>
      </c>
      <c r="D999" s="36"/>
      <c r="E999" s="17"/>
      <c r="F999" s="17"/>
      <c r="G999" s="17"/>
      <c r="H999" s="17"/>
      <c r="I999" s="17"/>
      <c r="J999" s="17"/>
      <c r="K999" s="17"/>
      <c r="L999" s="17"/>
      <c r="M999" s="17"/>
      <c r="N999" s="17">
        <v>59.85</v>
      </c>
      <c r="O999" s="17"/>
      <c r="P999" s="17"/>
      <c r="Q999" s="17">
        <f t="shared" si="348"/>
        <v>1134.280000000002</v>
      </c>
      <c r="R999" s="2"/>
      <c r="S999" s="20">
        <v>23.64</v>
      </c>
      <c r="T999" s="20">
        <v>4.1399999999999997</v>
      </c>
    </row>
    <row r="1000" spans="1:20" x14ac:dyDescent="0.25">
      <c r="A1000" s="26">
        <v>43812</v>
      </c>
      <c r="B1000" s="17"/>
      <c r="C1000" s="7" t="s">
        <v>364</v>
      </c>
      <c r="D1000" s="36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>
        <v>30.32</v>
      </c>
      <c r="O1000" s="17"/>
      <c r="P1000" s="17"/>
      <c r="Q1000" s="17">
        <f t="shared" si="348"/>
        <v>1164.600000000002</v>
      </c>
      <c r="R1000" s="2"/>
      <c r="S1000" s="20">
        <v>23.16</v>
      </c>
      <c r="T1000" s="20">
        <v>4.05</v>
      </c>
    </row>
    <row r="1001" spans="1:20" x14ac:dyDescent="0.25">
      <c r="A1001" s="26">
        <v>43812</v>
      </c>
      <c r="B1001" s="17"/>
      <c r="C1001" s="7" t="s">
        <v>169</v>
      </c>
      <c r="D1001" s="36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>
        <v>91.35</v>
      </c>
      <c r="O1001" s="17"/>
      <c r="P1001" s="17"/>
      <c r="Q1001" s="17">
        <f t="shared" si="348"/>
        <v>1255.9500000000019</v>
      </c>
      <c r="R1001" s="2"/>
      <c r="S1001" s="20">
        <v>45.38</v>
      </c>
      <c r="T1001" s="20">
        <v>7.94</v>
      </c>
    </row>
    <row r="1002" spans="1:20" x14ac:dyDescent="0.25">
      <c r="A1002" s="26">
        <v>43812</v>
      </c>
      <c r="B1002" s="17"/>
      <c r="C1002" s="7" t="s">
        <v>217</v>
      </c>
      <c r="D1002" s="36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>
        <v>97.92</v>
      </c>
      <c r="O1002" s="17"/>
      <c r="P1002" s="17"/>
      <c r="Q1002" s="17">
        <f t="shared" si="348"/>
        <v>1353.8700000000019</v>
      </c>
      <c r="R1002" s="2"/>
      <c r="S1002" s="20">
        <v>22.69</v>
      </c>
      <c r="T1002" s="20">
        <v>3.97</v>
      </c>
    </row>
    <row r="1003" spans="1:20" x14ac:dyDescent="0.25">
      <c r="A1003" s="26">
        <v>43815</v>
      </c>
      <c r="B1003" s="17"/>
      <c r="C1003" s="7" t="s">
        <v>383</v>
      </c>
      <c r="D1003" s="36">
        <v>10</v>
      </c>
      <c r="E1003" s="17">
        <v>97.1</v>
      </c>
      <c r="F1003" s="17">
        <f t="shared" ref="F1003" si="359">D1003*E1003</f>
        <v>971</v>
      </c>
      <c r="G1003" s="17">
        <v>0.26</v>
      </c>
      <c r="H1003" s="17">
        <v>0.03</v>
      </c>
      <c r="I1003" s="17"/>
      <c r="J1003" s="17">
        <v>0</v>
      </c>
      <c r="K1003" s="17">
        <f t="shared" ref="K1003" si="360">SUM(F1003:J1003)</f>
        <v>971.29</v>
      </c>
      <c r="L1003" s="17"/>
      <c r="M1003" s="17"/>
      <c r="N1003" s="17"/>
      <c r="O1003" s="17"/>
      <c r="P1003" s="17"/>
      <c r="Q1003" s="17">
        <f t="shared" si="348"/>
        <v>382.58000000000197</v>
      </c>
      <c r="R1003" s="2"/>
      <c r="S1003" s="20">
        <v>7.09</v>
      </c>
      <c r="T1003" s="20">
        <v>1.24</v>
      </c>
    </row>
    <row r="1004" spans="1:20" x14ac:dyDescent="0.25">
      <c r="A1004" s="26">
        <v>43816</v>
      </c>
      <c r="B1004" s="17"/>
      <c r="C1004" s="7" t="s">
        <v>220</v>
      </c>
      <c r="D1004" s="36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>
        <v>22</v>
      </c>
      <c r="O1004" s="17"/>
      <c r="P1004" s="17"/>
      <c r="Q1004" s="17">
        <f t="shared" si="348"/>
        <v>404.58000000000197</v>
      </c>
      <c r="R1004" s="2"/>
      <c r="S1004" s="20">
        <v>26.47</v>
      </c>
      <c r="T1004" s="20">
        <v>4.63</v>
      </c>
    </row>
    <row r="1005" spans="1:20" x14ac:dyDescent="0.25">
      <c r="A1005" s="26">
        <v>43817</v>
      </c>
      <c r="B1005" s="17"/>
      <c r="C1005" s="7" t="s">
        <v>355</v>
      </c>
      <c r="D1005" s="36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>
        <v>57</v>
      </c>
      <c r="O1005" s="17"/>
      <c r="P1005" s="17"/>
      <c r="Q1005" s="17">
        <f t="shared" si="348"/>
        <v>461.58000000000197</v>
      </c>
      <c r="R1005" s="2"/>
      <c r="S1005" s="20">
        <v>25.05</v>
      </c>
      <c r="T1005" s="20">
        <v>4.38</v>
      </c>
    </row>
    <row r="1006" spans="1:20" x14ac:dyDescent="0.25">
      <c r="A1006" s="26">
        <v>43819</v>
      </c>
      <c r="B1006" s="17"/>
      <c r="C1006" s="7" t="s">
        <v>383</v>
      </c>
      <c r="D1006" s="36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>
        <v>11</v>
      </c>
      <c r="O1006" s="17"/>
      <c r="P1006" s="17"/>
      <c r="Q1006" s="17">
        <f t="shared" si="348"/>
        <v>472.58000000000197</v>
      </c>
      <c r="R1006" s="2"/>
      <c r="S1006" s="20">
        <v>26.47</v>
      </c>
      <c r="T1006" s="20">
        <v>5.29</v>
      </c>
    </row>
    <row r="1007" spans="1:20" x14ac:dyDescent="0.25">
      <c r="A1007" s="26">
        <v>43822</v>
      </c>
      <c r="B1007" s="17"/>
      <c r="C1007" s="7" t="s">
        <v>270</v>
      </c>
      <c r="D1007" s="36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>
        <v>40.04</v>
      </c>
      <c r="O1007" s="17"/>
      <c r="P1007" s="17"/>
      <c r="Q1007" s="17">
        <f t="shared" si="348"/>
        <v>512.62000000000194</v>
      </c>
      <c r="R1007" s="2"/>
      <c r="S1007" s="20"/>
      <c r="T1007" s="20"/>
    </row>
    <row r="1008" spans="1:20" x14ac:dyDescent="0.25">
      <c r="A1008" s="26">
        <v>43826</v>
      </c>
      <c r="B1008" s="17"/>
      <c r="C1008" s="7" t="s">
        <v>17</v>
      </c>
      <c r="D1008" s="36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>
        <v>676.19</v>
      </c>
      <c r="P1008" s="17"/>
      <c r="Q1008" s="17">
        <f t="shared" si="348"/>
        <v>1188.810000000002</v>
      </c>
      <c r="R1008" s="2"/>
      <c r="S1008" s="20"/>
      <c r="T1008" s="20"/>
    </row>
    <row r="1009" spans="1:20" x14ac:dyDescent="0.25">
      <c r="A1009" s="26">
        <v>43826</v>
      </c>
      <c r="B1009" s="17"/>
      <c r="C1009" s="7" t="s">
        <v>17</v>
      </c>
      <c r="D1009" s="36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>
        <v>153.01</v>
      </c>
      <c r="Q1009" s="17">
        <f t="shared" si="348"/>
        <v>1341.820000000002</v>
      </c>
      <c r="R1009" s="2"/>
      <c r="S1009" s="20">
        <f>SUM(S992:S1007)</f>
        <v>370.14</v>
      </c>
      <c r="T1009" s="20">
        <f>SUM(T992:T1006)</f>
        <v>66.5</v>
      </c>
    </row>
    <row r="1010" spans="1:20" x14ac:dyDescent="0.25">
      <c r="A1010" s="26">
        <v>43826</v>
      </c>
      <c r="B1010" s="17"/>
      <c r="C1010" s="7" t="s">
        <v>170</v>
      </c>
      <c r="D1010" s="36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>
        <v>95.85</v>
      </c>
      <c r="Q1010" s="17">
        <f t="shared" si="348"/>
        <v>1437.6700000000019</v>
      </c>
      <c r="R1010" s="2"/>
      <c r="S1010" s="20"/>
      <c r="T1010" s="20"/>
    </row>
    <row r="1011" spans="1:20" x14ac:dyDescent="0.25">
      <c r="A1011" s="26">
        <v>43829</v>
      </c>
      <c r="B1011" s="17"/>
      <c r="C1011" s="7" t="s">
        <v>180</v>
      </c>
      <c r="D1011" s="36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>
        <v>19.2</v>
      </c>
      <c r="O1011" s="17"/>
      <c r="P1011" s="17"/>
      <c r="Q1011" s="17">
        <f t="shared" si="348"/>
        <v>1456.8700000000019</v>
      </c>
      <c r="R1011" s="2"/>
      <c r="S1011" s="20" t="s">
        <v>260</v>
      </c>
      <c r="T1011" s="20">
        <f>S1009-T1009</f>
        <v>303.64</v>
      </c>
    </row>
    <row r="1012" spans="1:20" x14ac:dyDescent="0.25">
      <c r="A1012" s="26">
        <v>43829</v>
      </c>
      <c r="B1012" s="17"/>
      <c r="C1012" s="7" t="s">
        <v>5</v>
      </c>
      <c r="D1012" s="36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>
        <v>14.97</v>
      </c>
      <c r="Q1012" s="17">
        <f t="shared" si="348"/>
        <v>1471.840000000002</v>
      </c>
      <c r="R1012" s="2"/>
      <c r="S1012" s="20" t="s">
        <v>363</v>
      </c>
      <c r="T1012" s="20">
        <v>19.36</v>
      </c>
    </row>
    <row r="1013" spans="1:20" x14ac:dyDescent="0.25">
      <c r="A1013" s="26">
        <v>43829</v>
      </c>
      <c r="B1013" s="17"/>
      <c r="C1013" s="7" t="s">
        <v>364</v>
      </c>
      <c r="D1013" s="36">
        <v>10</v>
      </c>
      <c r="E1013" s="17">
        <v>108.23</v>
      </c>
      <c r="F1013" s="17">
        <f t="shared" ref="F1013" si="361">D1013*E1013</f>
        <v>1082.3</v>
      </c>
      <c r="G1013" s="17">
        <v>0.28999999999999998</v>
      </c>
      <c r="H1013" s="17">
        <v>0.04</v>
      </c>
      <c r="I1013" s="17"/>
      <c r="J1013" s="17">
        <v>0</v>
      </c>
      <c r="K1013" s="17">
        <f t="shared" ref="K1013" si="362">SUM(F1013:J1013)</f>
        <v>1082.6299999999999</v>
      </c>
      <c r="L1013" s="17"/>
      <c r="M1013" s="17"/>
      <c r="N1013" s="17"/>
      <c r="O1013" s="17"/>
      <c r="P1013" s="17"/>
      <c r="Q1013" s="17">
        <f t="shared" si="348"/>
        <v>389.21000000000208</v>
      </c>
      <c r="R1013" s="2"/>
    </row>
    <row r="1014" spans="1:20" x14ac:dyDescent="0.25">
      <c r="A1014" s="26">
        <v>43832</v>
      </c>
      <c r="B1014" s="17"/>
      <c r="C1014" s="7" t="s">
        <v>85</v>
      </c>
      <c r="D1014" s="36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>
        <v>48.48</v>
      </c>
      <c r="P1014" s="17"/>
      <c r="Q1014" s="17">
        <f t="shared" si="348"/>
        <v>437.6900000000021</v>
      </c>
      <c r="R1014" s="2"/>
    </row>
    <row r="1015" spans="1:20" x14ac:dyDescent="0.25">
      <c r="A1015" s="26">
        <v>43832</v>
      </c>
      <c r="B1015" s="17"/>
      <c r="C1015" s="7" t="s">
        <v>226</v>
      </c>
      <c r="D1015" s="36"/>
      <c r="E1015" s="17"/>
      <c r="F1015" s="17"/>
      <c r="G1015" s="17"/>
      <c r="H1015" s="17"/>
      <c r="I1015" s="17"/>
      <c r="J1015" s="17"/>
      <c r="K1015" s="17"/>
      <c r="L1015" s="17">
        <v>19.36</v>
      </c>
      <c r="M1015" s="17"/>
      <c r="N1015" s="17">
        <v>303.64</v>
      </c>
      <c r="O1015" s="17"/>
      <c r="P1015" s="17"/>
      <c r="Q1015" s="17">
        <f t="shared" si="348"/>
        <v>721.97000000000207</v>
      </c>
      <c r="R1015" s="2"/>
      <c r="S1015" s="20"/>
    </row>
    <row r="1016" spans="1:20" x14ac:dyDescent="0.25">
      <c r="A1016" s="26">
        <v>43836</v>
      </c>
      <c r="B1016" s="17">
        <v>1000</v>
      </c>
      <c r="D1016" s="36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>
        <f t="shared" si="348"/>
        <v>1721.9700000000021</v>
      </c>
      <c r="R1016" s="2"/>
      <c r="S1016" s="20"/>
      <c r="T1016" s="20"/>
    </row>
    <row r="1017" spans="1:20" x14ac:dyDescent="0.25">
      <c r="A1017" s="26">
        <v>43836</v>
      </c>
      <c r="B1017" s="17"/>
      <c r="C1017" s="7" t="s">
        <v>15</v>
      </c>
      <c r="D1017" s="36">
        <v>1000</v>
      </c>
      <c r="E1017" s="17">
        <v>0.91</v>
      </c>
      <c r="F1017" s="17">
        <f t="shared" ref="F1017" si="363">D1017*E1017</f>
        <v>910</v>
      </c>
      <c r="G1017" s="17">
        <v>0.25</v>
      </c>
      <c r="H1017" s="17">
        <f>0.03+0.16</f>
        <v>0.19</v>
      </c>
      <c r="I1017" s="17"/>
      <c r="J1017" s="17">
        <v>2.4900000000000002</v>
      </c>
      <c r="K1017" s="17">
        <f t="shared" ref="K1017" si="364">SUM(F1017:J1017)</f>
        <v>912.93000000000006</v>
      </c>
      <c r="L1017" s="17"/>
      <c r="M1017" s="17"/>
      <c r="N1017" s="17"/>
      <c r="O1017" s="17"/>
      <c r="P1017" s="17"/>
      <c r="Q1017" s="17">
        <f t="shared" si="348"/>
        <v>809.04000000000201</v>
      </c>
      <c r="R1017" s="2"/>
      <c r="S1017" s="20"/>
      <c r="T1017" s="20"/>
    </row>
    <row r="1018" spans="1:20" x14ac:dyDescent="0.25">
      <c r="A1018" s="26">
        <v>43837</v>
      </c>
      <c r="B1018" s="17">
        <v>1000</v>
      </c>
      <c r="D1018" s="36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>
        <f t="shared" si="348"/>
        <v>1809.040000000002</v>
      </c>
      <c r="R1018" s="2"/>
      <c r="S1018" s="20"/>
      <c r="T1018" s="20"/>
    </row>
    <row r="1019" spans="1:20" x14ac:dyDescent="0.25">
      <c r="A1019" s="26">
        <v>43838</v>
      </c>
      <c r="B1019" s="17"/>
      <c r="C1019" s="7" t="s">
        <v>276</v>
      </c>
      <c r="D1019" s="36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>
        <v>4.66</v>
      </c>
      <c r="O1019" s="17"/>
      <c r="P1019" s="17"/>
      <c r="Q1019" s="17">
        <f t="shared" si="348"/>
        <v>1813.7000000000021</v>
      </c>
      <c r="R1019" s="2"/>
      <c r="S1019" s="20"/>
      <c r="T1019" s="20"/>
    </row>
    <row r="1020" spans="1:20" x14ac:dyDescent="0.25">
      <c r="A1020" s="26">
        <v>43838</v>
      </c>
      <c r="B1020" s="17"/>
      <c r="C1020" s="7" t="s">
        <v>222</v>
      </c>
      <c r="D1020" s="36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>
        <v>232.5</v>
      </c>
      <c r="O1020" s="17"/>
      <c r="P1020" s="17"/>
      <c r="Q1020" s="17">
        <f t="shared" si="348"/>
        <v>2046.2000000000021</v>
      </c>
      <c r="R1020" s="2"/>
      <c r="S1020" s="20"/>
      <c r="T1020" s="20"/>
    </row>
    <row r="1021" spans="1:20" x14ac:dyDescent="0.25">
      <c r="A1021" s="26">
        <v>43839</v>
      </c>
      <c r="B1021" s="17"/>
      <c r="C1021" s="7" t="s">
        <v>234</v>
      </c>
      <c r="D1021" s="36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>
        <v>26.4</v>
      </c>
      <c r="O1021" s="17"/>
      <c r="P1021" s="17"/>
      <c r="Q1021" s="17">
        <f t="shared" si="348"/>
        <v>2072.6000000000022</v>
      </c>
      <c r="R1021" s="2"/>
      <c r="S1021" s="20"/>
      <c r="T1021" s="20"/>
    </row>
    <row r="1022" spans="1:20" x14ac:dyDescent="0.25">
      <c r="A1022" s="26">
        <v>43839</v>
      </c>
      <c r="B1022" s="17"/>
      <c r="C1022" s="7" t="s">
        <v>186</v>
      </c>
      <c r="D1022" s="36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>
        <f>73+55</f>
        <v>128</v>
      </c>
      <c r="O1022" s="17"/>
      <c r="P1022" s="17"/>
      <c r="Q1022" s="17">
        <f t="shared" si="348"/>
        <v>2200.6000000000022</v>
      </c>
      <c r="R1022" s="2"/>
      <c r="S1022" s="20"/>
      <c r="T1022" s="20"/>
    </row>
    <row r="1023" spans="1:20" x14ac:dyDescent="0.25">
      <c r="A1023" s="26">
        <v>43839</v>
      </c>
      <c r="B1023" s="17"/>
      <c r="C1023" s="7" t="s">
        <v>85</v>
      </c>
      <c r="D1023" s="36">
        <v>76</v>
      </c>
      <c r="E1023" s="17">
        <v>13.62</v>
      </c>
      <c r="F1023" s="17">
        <f t="shared" ref="F1023" si="365">D1023*E1023</f>
        <v>1035.1199999999999</v>
      </c>
      <c r="G1023" s="17">
        <v>0.28000000000000003</v>
      </c>
      <c r="H1023" s="17">
        <f>0.03+0.16</f>
        <v>0.19</v>
      </c>
      <c r="I1023" s="17"/>
      <c r="J1023" s="17">
        <v>2.4900000000000002</v>
      </c>
      <c r="K1023" s="17">
        <f t="shared" ref="K1023" si="366">SUM(F1023:J1023)</f>
        <v>1038.08</v>
      </c>
      <c r="L1023" s="17"/>
      <c r="M1023" s="17"/>
      <c r="N1023" s="17"/>
      <c r="O1023" s="17"/>
      <c r="P1023" s="17"/>
      <c r="Q1023" s="17">
        <f t="shared" si="348"/>
        <v>1162.5200000000023</v>
      </c>
      <c r="R1023" s="2"/>
      <c r="S1023" s="20"/>
      <c r="T1023" s="20"/>
    </row>
    <row r="1024" spans="1:20" x14ac:dyDescent="0.25">
      <c r="A1024" s="26">
        <v>43840</v>
      </c>
      <c r="B1024" s="17"/>
      <c r="C1024" s="7" t="s">
        <v>405</v>
      </c>
      <c r="D1024" s="36">
        <v>50</v>
      </c>
      <c r="E1024" s="17">
        <v>21.07</v>
      </c>
      <c r="F1024" s="17">
        <f t="shared" ref="F1024" si="367">D1024*E1024</f>
        <v>1053.5</v>
      </c>
      <c r="G1024" s="17">
        <v>0.28000000000000003</v>
      </c>
      <c r="H1024" s="17">
        <f>0.03+0.16</f>
        <v>0.19</v>
      </c>
      <c r="I1024" s="17"/>
      <c r="J1024" s="17">
        <v>2.4900000000000002</v>
      </c>
      <c r="K1024" s="17">
        <f t="shared" ref="K1024" si="368">SUM(F1024:J1024)</f>
        <v>1056.46</v>
      </c>
      <c r="L1024" s="17"/>
      <c r="M1024" s="17"/>
      <c r="N1024" s="17"/>
      <c r="O1024" s="17"/>
      <c r="P1024" s="17"/>
      <c r="Q1024" s="17">
        <f t="shared" si="348"/>
        <v>106.06000000000222</v>
      </c>
      <c r="R1024" s="121" t="s">
        <v>406</v>
      </c>
      <c r="S1024" s="20">
        <v>109.02</v>
      </c>
      <c r="T1024" s="20"/>
    </row>
    <row r="1025" spans="1:20" x14ac:dyDescent="0.25">
      <c r="A1025" s="26">
        <v>43844</v>
      </c>
      <c r="B1025" s="17"/>
      <c r="C1025" s="7" t="s">
        <v>171</v>
      </c>
      <c r="D1025" s="36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>
        <v>355.17</v>
      </c>
      <c r="Q1025" s="17">
        <f t="shared" si="348"/>
        <v>461.23000000000224</v>
      </c>
      <c r="R1025" s="2"/>
      <c r="S1025" s="20"/>
      <c r="T1025" s="20"/>
    </row>
    <row r="1026" spans="1:20" x14ac:dyDescent="0.25">
      <c r="A1026" s="26">
        <v>43844</v>
      </c>
      <c r="B1026" s="17"/>
      <c r="C1026" s="7" t="s">
        <v>221</v>
      </c>
      <c r="D1026" s="36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>
        <v>149.5</v>
      </c>
      <c r="O1026" s="17"/>
      <c r="P1026" s="17"/>
      <c r="Q1026" s="17">
        <f t="shared" si="348"/>
        <v>610.73000000000229</v>
      </c>
      <c r="R1026" s="2"/>
      <c r="S1026" s="20"/>
      <c r="T1026" s="20"/>
    </row>
    <row r="1027" spans="1:20" x14ac:dyDescent="0.25">
      <c r="A1027" s="26">
        <v>43844</v>
      </c>
      <c r="B1027" s="17"/>
      <c r="C1027" s="7" t="s">
        <v>407</v>
      </c>
      <c r="D1027" s="36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>
        <v>11.68</v>
      </c>
      <c r="O1027" s="17"/>
      <c r="P1027" s="17"/>
      <c r="Q1027" s="17">
        <f t="shared" si="348"/>
        <v>622.41000000000224</v>
      </c>
      <c r="R1027" s="2"/>
      <c r="S1027" s="20"/>
      <c r="T1027" s="20"/>
    </row>
    <row r="1028" spans="1:20" x14ac:dyDescent="0.25">
      <c r="A1028" s="26">
        <v>43845</v>
      </c>
      <c r="B1028" s="17"/>
      <c r="C1028" s="7" t="s">
        <v>377</v>
      </c>
      <c r="D1028" s="36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>
        <v>9</v>
      </c>
      <c r="O1028" s="17"/>
      <c r="P1028" s="17"/>
      <c r="Q1028" s="17">
        <f t="shared" si="348"/>
        <v>631.41000000000224</v>
      </c>
      <c r="R1028" s="2"/>
      <c r="S1028" s="20"/>
      <c r="T1028" s="20"/>
    </row>
    <row r="1029" spans="1:20" x14ac:dyDescent="0.25">
      <c r="A1029" s="26">
        <v>43845</v>
      </c>
      <c r="B1029" s="17"/>
      <c r="C1029" s="7" t="s">
        <v>267</v>
      </c>
      <c r="D1029" s="36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>
        <v>22.2</v>
      </c>
      <c r="O1029" s="17"/>
      <c r="P1029" s="17"/>
      <c r="Q1029" s="17">
        <f t="shared" si="348"/>
        <v>653.61000000000229</v>
      </c>
      <c r="R1029" s="2"/>
      <c r="S1029" s="20"/>
      <c r="T1029" s="20"/>
    </row>
    <row r="1030" spans="1:20" x14ac:dyDescent="0.25">
      <c r="A1030" s="26">
        <v>43845</v>
      </c>
      <c r="B1030" s="17"/>
      <c r="C1030" s="7" t="s">
        <v>183</v>
      </c>
      <c r="D1030" s="36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>
        <v>23.19</v>
      </c>
      <c r="O1030" s="17"/>
      <c r="P1030" s="17"/>
      <c r="Q1030" s="17">
        <f t="shared" si="348"/>
        <v>676.80000000000234</v>
      </c>
      <c r="R1030" s="2"/>
      <c r="S1030" s="20"/>
      <c r="T1030" s="20"/>
    </row>
    <row r="1031" spans="1:20" x14ac:dyDescent="0.25">
      <c r="A1031" s="26">
        <v>43845</v>
      </c>
      <c r="B1031" s="17"/>
      <c r="C1031" s="7" t="s">
        <v>181</v>
      </c>
      <c r="D1031" s="36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>
        <v>59.85</v>
      </c>
      <c r="O1031" s="17"/>
      <c r="P1031" s="17"/>
      <c r="Q1031" s="17">
        <f t="shared" si="348"/>
        <v>736.65000000000236</v>
      </c>
      <c r="R1031" s="2"/>
      <c r="S1031" s="20"/>
      <c r="T1031" s="20"/>
    </row>
    <row r="1032" spans="1:20" x14ac:dyDescent="0.25">
      <c r="A1032" s="26">
        <v>43845</v>
      </c>
      <c r="B1032" s="17"/>
      <c r="C1032" s="7" t="s">
        <v>184</v>
      </c>
      <c r="D1032" s="36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>
        <v>364.8</v>
      </c>
      <c r="O1032" s="17"/>
      <c r="P1032" s="17"/>
      <c r="Q1032" s="17">
        <f t="shared" si="348"/>
        <v>1101.4500000000023</v>
      </c>
      <c r="R1032" s="2"/>
      <c r="S1032" s="20"/>
      <c r="T1032" s="20"/>
    </row>
    <row r="1033" spans="1:20" x14ac:dyDescent="0.25">
      <c r="A1033" s="26">
        <v>43845</v>
      </c>
      <c r="B1033" s="17"/>
      <c r="C1033" s="7" t="s">
        <v>374</v>
      </c>
      <c r="D1033" s="36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>
        <v>141</v>
      </c>
      <c r="O1033" s="17"/>
      <c r="P1033" s="17"/>
      <c r="Q1033" s="17">
        <f t="shared" si="348"/>
        <v>1242.4500000000023</v>
      </c>
      <c r="R1033" s="2"/>
      <c r="S1033" s="20"/>
      <c r="T1033" s="20"/>
    </row>
    <row r="1034" spans="1:20" x14ac:dyDescent="0.25">
      <c r="A1034" s="26">
        <v>43845</v>
      </c>
      <c r="B1034" s="17"/>
      <c r="C1034" s="7" t="s">
        <v>169</v>
      </c>
      <c r="D1034" s="36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>
        <v>111.65</v>
      </c>
      <c r="O1034" s="17"/>
      <c r="P1034" s="17"/>
      <c r="Q1034" s="17">
        <f t="shared" si="348"/>
        <v>1354.1000000000024</v>
      </c>
      <c r="R1034" s="2"/>
      <c r="S1034" s="20"/>
      <c r="T1034" s="20"/>
    </row>
    <row r="1035" spans="1:20" x14ac:dyDescent="0.25">
      <c r="A1035" s="26">
        <v>43845</v>
      </c>
      <c r="B1035" s="17"/>
      <c r="C1035" s="7" t="s">
        <v>386</v>
      </c>
      <c r="D1035" s="36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>
        <v>5.93</v>
      </c>
      <c r="O1035" s="17"/>
      <c r="P1035" s="17"/>
      <c r="Q1035" s="17">
        <f t="shared" si="348"/>
        <v>1360.0300000000025</v>
      </c>
      <c r="R1035" s="2"/>
      <c r="S1035" s="20"/>
      <c r="T1035" s="20"/>
    </row>
    <row r="1036" spans="1:20" x14ac:dyDescent="0.25">
      <c r="A1036" s="26">
        <v>43845</v>
      </c>
      <c r="B1036" s="17"/>
      <c r="C1036" s="7" t="s">
        <v>217</v>
      </c>
      <c r="D1036" s="36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>
        <v>97.92</v>
      </c>
      <c r="O1036" s="17"/>
      <c r="P1036" s="17"/>
      <c r="Q1036" s="17">
        <f t="shared" si="348"/>
        <v>1457.9500000000025</v>
      </c>
      <c r="R1036" s="2"/>
      <c r="S1036" s="20"/>
      <c r="T1036" s="20"/>
    </row>
    <row r="1037" spans="1:20" x14ac:dyDescent="0.25">
      <c r="A1037" s="26">
        <v>43845</v>
      </c>
      <c r="B1037" s="17"/>
      <c r="C1037" s="7" t="s">
        <v>173</v>
      </c>
      <c r="D1037" s="36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>
        <v>336.3</v>
      </c>
      <c r="O1037" s="17"/>
      <c r="P1037" s="17"/>
      <c r="Q1037" s="17">
        <f t="shared" si="348"/>
        <v>1794.2500000000025</v>
      </c>
      <c r="R1037" s="2"/>
      <c r="S1037" s="20"/>
      <c r="T1037" s="20"/>
    </row>
    <row r="1038" spans="1:20" x14ac:dyDescent="0.25">
      <c r="A1038" s="26">
        <v>43845</v>
      </c>
      <c r="B1038" s="17"/>
      <c r="C1038" s="7" t="s">
        <v>364</v>
      </c>
      <c r="D1038" s="36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>
        <v>53.88</v>
      </c>
      <c r="O1038" s="17"/>
      <c r="P1038" s="17"/>
      <c r="Q1038" s="17">
        <f t="shared" si="348"/>
        <v>1848.1300000000026</v>
      </c>
      <c r="R1038" s="2"/>
      <c r="S1038" s="20"/>
      <c r="T1038" s="20"/>
    </row>
    <row r="1039" spans="1:20" x14ac:dyDescent="0.25">
      <c r="A1039" s="26">
        <v>43845</v>
      </c>
      <c r="B1039" s="17"/>
      <c r="C1039" s="7" t="s">
        <v>405</v>
      </c>
      <c r="D1039" s="36">
        <v>50</v>
      </c>
      <c r="E1039" s="17">
        <v>20.86</v>
      </c>
      <c r="F1039" s="17">
        <f t="shared" ref="F1039" si="369">D1039*E1039</f>
        <v>1043</v>
      </c>
      <c r="G1039" s="17">
        <v>0.28000000000000003</v>
      </c>
      <c r="H1039" s="17">
        <f>0.03+0.16</f>
        <v>0.19</v>
      </c>
      <c r="I1039" s="17"/>
      <c r="J1039" s="17">
        <v>2.4900000000000002</v>
      </c>
      <c r="K1039" s="17">
        <f t="shared" ref="K1039" si="370">SUM(F1039:J1039)</f>
        <v>1045.96</v>
      </c>
      <c r="L1039" s="17"/>
      <c r="M1039" s="17"/>
      <c r="N1039" s="17"/>
      <c r="O1039" s="17"/>
      <c r="P1039" s="17"/>
      <c r="Q1039" s="17">
        <f t="shared" si="348"/>
        <v>802.17000000000257</v>
      </c>
      <c r="R1039" s="2"/>
      <c r="S1039" s="20"/>
      <c r="T1039" s="20"/>
    </row>
    <row r="1040" spans="1:20" x14ac:dyDescent="0.25">
      <c r="A1040" s="26">
        <v>43846</v>
      </c>
      <c r="B1040" s="17"/>
      <c r="C1040" s="7" t="s">
        <v>408</v>
      </c>
      <c r="D1040" s="36">
        <v>11</v>
      </c>
      <c r="E1040" s="17">
        <v>67.599999999999994</v>
      </c>
      <c r="F1040" s="17">
        <f t="shared" ref="F1040" si="371">D1040*E1040</f>
        <v>743.59999999999991</v>
      </c>
      <c r="G1040" s="17">
        <v>0.2</v>
      </c>
      <c r="H1040" s="17">
        <v>0.02</v>
      </c>
      <c r="I1040" s="17"/>
      <c r="J1040" s="17">
        <v>0</v>
      </c>
      <c r="K1040" s="17">
        <f t="shared" ref="K1040" si="372">SUM(F1040:J1040)</f>
        <v>743.81999999999994</v>
      </c>
      <c r="L1040" s="17"/>
      <c r="M1040" s="17"/>
      <c r="N1040" s="17"/>
      <c r="O1040" s="17"/>
      <c r="P1040" s="17"/>
      <c r="Q1040" s="17">
        <f t="shared" ref="Q1040:Q1109" si="373">Q1039+B1040-K1040-L1040-M1040+N1040+O1040+P1040</f>
        <v>58.350000000002638</v>
      </c>
      <c r="R1040" s="2"/>
      <c r="S1040" s="20"/>
      <c r="T1040" s="20"/>
    </row>
    <row r="1041" spans="1:22" x14ac:dyDescent="0.25">
      <c r="A1041" s="26">
        <v>43847</v>
      </c>
      <c r="B1041" s="17"/>
      <c r="C1041" s="7" t="s">
        <v>220</v>
      </c>
      <c r="D1041" s="36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>
        <v>24</v>
      </c>
      <c r="O1041" s="17"/>
      <c r="P1041" s="17"/>
      <c r="Q1041" s="17">
        <f t="shared" si="373"/>
        <v>82.350000000002638</v>
      </c>
      <c r="R1041" s="2"/>
      <c r="S1041" s="20"/>
      <c r="T1041" s="20"/>
    </row>
    <row r="1042" spans="1:22" x14ac:dyDescent="0.25">
      <c r="A1042" s="26">
        <v>43850</v>
      </c>
      <c r="B1042" s="17"/>
      <c r="C1042" s="7" t="s">
        <v>355</v>
      </c>
      <c r="D1042" s="36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>
        <v>62.45</v>
      </c>
      <c r="O1042" s="17"/>
      <c r="P1042" s="17"/>
      <c r="Q1042" s="17">
        <f t="shared" si="373"/>
        <v>144.80000000000263</v>
      </c>
      <c r="R1042" s="2"/>
      <c r="S1042" s="20"/>
      <c r="T1042" s="20"/>
    </row>
    <row r="1043" spans="1:22" x14ac:dyDescent="0.25">
      <c r="A1043" s="26">
        <v>43850</v>
      </c>
      <c r="B1043" s="17">
        <v>1500</v>
      </c>
      <c r="D1043" s="36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>
        <f t="shared" si="373"/>
        <v>1644.8000000000027</v>
      </c>
      <c r="R1043" s="2"/>
      <c r="S1043" s="20"/>
      <c r="T1043" s="20"/>
    </row>
    <row r="1044" spans="1:22" x14ac:dyDescent="0.25">
      <c r="A1044" s="26">
        <v>43850</v>
      </c>
      <c r="B1044" s="17"/>
      <c r="C1044" s="7" t="s">
        <v>85</v>
      </c>
      <c r="D1044" s="36">
        <v>100</v>
      </c>
      <c r="E1044" s="17">
        <v>13.43</v>
      </c>
      <c r="F1044" s="17">
        <f t="shared" ref="F1044" si="374">D1044*E1044</f>
        <v>1343</v>
      </c>
      <c r="G1044" s="17">
        <v>0.36</v>
      </c>
      <c r="H1044" s="17">
        <f>0.04+0.16</f>
        <v>0.2</v>
      </c>
      <c r="I1044" s="17"/>
      <c r="J1044" s="17">
        <v>2.4900000000000002</v>
      </c>
      <c r="K1044" s="17">
        <f t="shared" ref="K1044" si="375">SUM(F1044:J1044)</f>
        <v>1346.05</v>
      </c>
      <c r="L1044" s="17"/>
      <c r="M1044" s="17"/>
      <c r="N1044" s="17"/>
      <c r="O1044" s="17"/>
      <c r="P1044" s="17"/>
      <c r="Q1044" s="17">
        <f t="shared" si="373"/>
        <v>298.75000000000273</v>
      </c>
      <c r="R1044" s="2"/>
      <c r="S1044" s="20"/>
      <c r="T1044" s="20"/>
    </row>
    <row r="1045" spans="1:22" x14ac:dyDescent="0.25">
      <c r="A1045" s="26">
        <v>43852</v>
      </c>
      <c r="B1045" s="17"/>
      <c r="C1045" s="7" t="s">
        <v>383</v>
      </c>
      <c r="D1045" s="36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>
        <v>20.100000000000001</v>
      </c>
      <c r="O1045" s="17"/>
      <c r="P1045" s="17"/>
      <c r="Q1045" s="17">
        <f t="shared" si="373"/>
        <v>318.85000000000275</v>
      </c>
      <c r="R1045" s="2"/>
      <c r="S1045" s="20"/>
      <c r="T1045" s="20"/>
    </row>
    <row r="1046" spans="1:22" x14ac:dyDescent="0.25">
      <c r="A1046" s="26">
        <v>43854</v>
      </c>
      <c r="B1046" s="17"/>
      <c r="C1046" s="7" t="s">
        <v>270</v>
      </c>
      <c r="D1046" s="36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>
        <v>46.97</v>
      </c>
      <c r="O1046" s="17"/>
      <c r="P1046" s="17"/>
      <c r="Q1046" s="17">
        <f t="shared" si="373"/>
        <v>365.82000000000278</v>
      </c>
      <c r="R1046" s="2"/>
      <c r="S1046" s="20"/>
      <c r="T1046" s="20"/>
    </row>
    <row r="1047" spans="1:22" x14ac:dyDescent="0.25">
      <c r="A1047" s="26">
        <v>43858</v>
      </c>
      <c r="B1047" s="17">
        <v>1000</v>
      </c>
      <c r="D1047" s="36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>
        <f t="shared" si="373"/>
        <v>1365.8200000000029</v>
      </c>
      <c r="R1047" s="2"/>
      <c r="S1047" s="20"/>
      <c r="T1047" s="20"/>
    </row>
    <row r="1048" spans="1:22" x14ac:dyDescent="0.25">
      <c r="A1048" s="26">
        <v>43858</v>
      </c>
      <c r="B1048" s="17"/>
      <c r="C1048" s="7" t="s">
        <v>408</v>
      </c>
      <c r="D1048" s="36">
        <v>10</v>
      </c>
      <c r="E1048" s="17">
        <v>66.83</v>
      </c>
      <c r="F1048" s="17">
        <f t="shared" ref="F1048" si="376">D1048*E1048</f>
        <v>668.3</v>
      </c>
      <c r="G1048" s="17">
        <v>0.18</v>
      </c>
      <c r="H1048" s="17">
        <v>0.02</v>
      </c>
      <c r="I1048" s="17"/>
      <c r="J1048" s="17">
        <v>0</v>
      </c>
      <c r="K1048" s="17">
        <f t="shared" ref="K1048" si="377">SUM(F1048:J1048)</f>
        <v>668.49999999999989</v>
      </c>
      <c r="L1048" s="17"/>
      <c r="M1048" s="17"/>
      <c r="N1048" s="17"/>
      <c r="O1048" s="17"/>
      <c r="P1048" s="17"/>
      <c r="Q1048" s="17">
        <f t="shared" si="373"/>
        <v>697.32000000000301</v>
      </c>
      <c r="R1048" s="2"/>
      <c r="S1048" s="20"/>
      <c r="T1048" s="20"/>
    </row>
    <row r="1049" spans="1:22" x14ac:dyDescent="0.25">
      <c r="A1049" s="26">
        <v>43861</v>
      </c>
      <c r="B1049" s="17"/>
      <c r="C1049" s="7" t="s">
        <v>180</v>
      </c>
      <c r="D1049" s="36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>
        <v>18.89</v>
      </c>
      <c r="O1049" s="17"/>
      <c r="P1049" s="17"/>
      <c r="Q1049" s="17">
        <f t="shared" si="373"/>
        <v>716.21000000000299</v>
      </c>
      <c r="S1049" s="20"/>
      <c r="T1049" s="20"/>
    </row>
    <row r="1050" spans="1:22" x14ac:dyDescent="0.25">
      <c r="A1050" s="26">
        <v>43861</v>
      </c>
      <c r="B1050" s="17"/>
      <c r="C1050" s="7" t="s">
        <v>372</v>
      </c>
      <c r="D1050" s="36">
        <v>-280</v>
      </c>
      <c r="E1050" s="17">
        <v>7.5</v>
      </c>
      <c r="F1050" s="17">
        <f t="shared" ref="F1050:F1051" si="378">D1050*E1050</f>
        <v>-2100</v>
      </c>
      <c r="G1050" s="17">
        <v>0.4</v>
      </c>
      <c r="H1050" s="17">
        <v>0.1</v>
      </c>
      <c r="I1050" s="17"/>
      <c r="J1050" s="17">
        <v>0</v>
      </c>
      <c r="K1050" s="17">
        <f t="shared" ref="K1050:K1051" si="379">SUM(F1050:J1050)</f>
        <v>-2099.5</v>
      </c>
      <c r="L1050" s="17"/>
      <c r="M1050" s="17"/>
      <c r="N1050" s="17"/>
      <c r="O1050" s="17"/>
      <c r="P1050" s="17"/>
      <c r="Q1050" s="17">
        <f t="shared" si="373"/>
        <v>2815.7100000000028</v>
      </c>
      <c r="R1050" s="121" t="s">
        <v>409</v>
      </c>
      <c r="S1050" s="20"/>
      <c r="T1050" s="20"/>
    </row>
    <row r="1051" spans="1:22" x14ac:dyDescent="0.25">
      <c r="A1051" s="26">
        <v>43861</v>
      </c>
      <c r="B1051" s="17"/>
      <c r="C1051" s="7" t="s">
        <v>408</v>
      </c>
      <c r="D1051" s="36">
        <v>10</v>
      </c>
      <c r="E1051" s="17">
        <v>65.849999999999994</v>
      </c>
      <c r="F1051" s="17">
        <f t="shared" si="378"/>
        <v>658.5</v>
      </c>
      <c r="G1051" s="17">
        <v>0.35</v>
      </c>
      <c r="H1051" s="17">
        <v>7.0000000000000007E-2</v>
      </c>
      <c r="I1051" s="17"/>
      <c r="J1051" s="17">
        <v>0</v>
      </c>
      <c r="K1051" s="17">
        <f t="shared" si="379"/>
        <v>658.92000000000007</v>
      </c>
      <c r="L1051" s="17"/>
      <c r="M1051" s="17"/>
      <c r="N1051" s="17"/>
      <c r="O1051" s="17"/>
      <c r="P1051" s="17"/>
      <c r="Q1051" s="17">
        <f t="shared" si="373"/>
        <v>2156.7900000000027</v>
      </c>
      <c r="R1051" s="2"/>
      <c r="S1051" s="20"/>
      <c r="T1051" s="20"/>
      <c r="V1051" s="20"/>
    </row>
    <row r="1052" spans="1:22" x14ac:dyDescent="0.25">
      <c r="A1052" s="26">
        <v>43866</v>
      </c>
      <c r="B1052" s="17"/>
      <c r="C1052" s="7" t="s">
        <v>372</v>
      </c>
      <c r="D1052" s="36">
        <v>-10</v>
      </c>
      <c r="E1052" s="17">
        <v>6.8</v>
      </c>
      <c r="F1052" s="17">
        <f t="shared" ref="F1052" si="380">D1052*E1052</f>
        <v>-68</v>
      </c>
      <c r="G1052" s="17">
        <v>0.01</v>
      </c>
      <c r="H1052" s="17">
        <v>0</v>
      </c>
      <c r="I1052" s="17"/>
      <c r="J1052" s="17">
        <v>0</v>
      </c>
      <c r="K1052" s="17">
        <f t="shared" ref="K1052" si="381">SUM(F1052:J1052)</f>
        <v>-67.989999999999995</v>
      </c>
      <c r="L1052" s="17"/>
      <c r="M1052" s="17"/>
      <c r="N1052" s="17"/>
      <c r="O1052" s="17"/>
      <c r="P1052" s="17"/>
      <c r="Q1052" s="17">
        <f t="shared" si="373"/>
        <v>2224.7800000000025</v>
      </c>
      <c r="R1052" s="2"/>
      <c r="S1052" s="20"/>
      <c r="T1052" s="20"/>
    </row>
    <row r="1053" spans="1:22" x14ac:dyDescent="0.25">
      <c r="A1053" s="26">
        <v>43867</v>
      </c>
      <c r="B1053" s="17">
        <v>1000</v>
      </c>
      <c r="D1053" s="36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>
        <f t="shared" si="373"/>
        <v>3224.7800000000025</v>
      </c>
      <c r="R1053" s="2"/>
      <c r="S1053" s="20"/>
      <c r="T1053" s="20"/>
    </row>
    <row r="1054" spans="1:22" x14ac:dyDescent="0.25">
      <c r="A1054" s="26">
        <v>43867</v>
      </c>
      <c r="B1054" s="17"/>
      <c r="C1054" s="7" t="s">
        <v>364</v>
      </c>
      <c r="D1054" s="36">
        <v>10</v>
      </c>
      <c r="E1054" s="17">
        <v>107.2</v>
      </c>
      <c r="F1054" s="17">
        <f t="shared" ref="F1054" si="382">D1054*E1054</f>
        <v>1072</v>
      </c>
      <c r="G1054" s="17">
        <v>0.28999999999999998</v>
      </c>
      <c r="H1054" s="17">
        <v>0.03</v>
      </c>
      <c r="I1054" s="17"/>
      <c r="J1054" s="17">
        <v>0</v>
      </c>
      <c r="K1054" s="17">
        <f t="shared" ref="K1054" si="383">SUM(F1054:J1054)</f>
        <v>1072.32</v>
      </c>
      <c r="L1054" s="17"/>
      <c r="M1054" s="17"/>
      <c r="N1054" s="17"/>
      <c r="O1054" s="17"/>
      <c r="P1054" s="17"/>
      <c r="Q1054" s="17">
        <f t="shared" si="373"/>
        <v>2152.4600000000028</v>
      </c>
      <c r="R1054" s="2"/>
      <c r="S1054" s="20"/>
      <c r="T1054" s="20"/>
    </row>
    <row r="1055" spans="1:22" x14ac:dyDescent="0.25">
      <c r="A1055" s="26">
        <v>43868</v>
      </c>
      <c r="B1055" s="17"/>
      <c r="C1055" s="7" t="s">
        <v>82</v>
      </c>
      <c r="D1055" s="36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>
        <f>34+71.4+0.14+0.3</f>
        <v>105.84</v>
      </c>
      <c r="Q1055" s="17">
        <f t="shared" si="373"/>
        <v>2258.3000000000029</v>
      </c>
      <c r="R1055" s="2"/>
      <c r="S1055" s="20"/>
      <c r="T1055" s="20"/>
    </row>
    <row r="1056" spans="1:22" x14ac:dyDescent="0.25">
      <c r="A1056" s="26">
        <v>43868</v>
      </c>
      <c r="B1056" s="17"/>
      <c r="C1056" s="7" t="s">
        <v>276</v>
      </c>
      <c r="D1056" s="36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>
        <v>5.82</v>
      </c>
      <c r="O1056" s="17"/>
      <c r="P1056" s="17"/>
      <c r="Q1056" s="17">
        <f t="shared" si="373"/>
        <v>2264.1200000000031</v>
      </c>
      <c r="R1056" s="2"/>
      <c r="S1056" s="20"/>
      <c r="T1056" s="20"/>
    </row>
    <row r="1057" spans="1:24" x14ac:dyDescent="0.25">
      <c r="A1057" s="26">
        <v>43868</v>
      </c>
      <c r="B1057" s="17"/>
      <c r="C1057" s="7" t="s">
        <v>222</v>
      </c>
      <c r="D1057" s="36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>
        <v>116.25</v>
      </c>
      <c r="O1057" s="17"/>
      <c r="P1057" s="17"/>
      <c r="Q1057" s="17">
        <f t="shared" si="373"/>
        <v>2380.3700000000031</v>
      </c>
      <c r="R1057" s="2"/>
      <c r="S1057" s="20"/>
      <c r="T1057" s="20"/>
    </row>
    <row r="1058" spans="1:24" x14ac:dyDescent="0.25">
      <c r="A1058" s="26">
        <v>43871</v>
      </c>
      <c r="B1058" s="17"/>
      <c r="C1058" s="7" t="s">
        <v>186</v>
      </c>
      <c r="D1058" s="36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>
        <f>74+56</f>
        <v>130</v>
      </c>
      <c r="O1058" s="17"/>
      <c r="P1058" s="17"/>
      <c r="Q1058" s="17">
        <f t="shared" si="373"/>
        <v>2510.3700000000031</v>
      </c>
      <c r="R1058" s="2"/>
      <c r="S1058" s="20"/>
      <c r="T1058" s="20"/>
    </row>
    <row r="1059" spans="1:24" x14ac:dyDescent="0.25">
      <c r="A1059" s="26">
        <v>43871</v>
      </c>
      <c r="B1059" s="17"/>
      <c r="C1059" s="7" t="s">
        <v>234</v>
      </c>
      <c r="D1059" s="36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>
        <v>41.6</v>
      </c>
      <c r="O1059" s="17"/>
      <c r="P1059" s="17"/>
      <c r="Q1059" s="17">
        <f t="shared" si="373"/>
        <v>2551.970000000003</v>
      </c>
      <c r="R1059" s="2"/>
      <c r="S1059" s="20"/>
      <c r="T1059" s="20"/>
    </row>
    <row r="1060" spans="1:24" x14ac:dyDescent="0.25">
      <c r="A1060" s="26">
        <v>43872</v>
      </c>
      <c r="B1060" s="17"/>
      <c r="C1060" s="7" t="s">
        <v>384</v>
      </c>
      <c r="D1060" s="36">
        <v>-790</v>
      </c>
      <c r="E1060" s="17">
        <v>0.17</v>
      </c>
      <c r="F1060" s="17">
        <f t="shared" ref="F1060" si="384">D1060*E1060</f>
        <v>-134.30000000000001</v>
      </c>
      <c r="G1060" s="17">
        <v>0.03</v>
      </c>
      <c r="H1060" s="17">
        <v>0</v>
      </c>
      <c r="I1060" s="17"/>
      <c r="J1060" s="17">
        <v>0</v>
      </c>
      <c r="K1060" s="17">
        <f t="shared" ref="K1060" si="385">SUM(F1060:J1060)</f>
        <v>-134.27000000000001</v>
      </c>
      <c r="L1060" s="17"/>
      <c r="M1060" s="17"/>
      <c r="N1060" s="17"/>
      <c r="O1060" s="17"/>
      <c r="P1060" s="17"/>
      <c r="Q1060" s="17">
        <f t="shared" si="373"/>
        <v>2686.240000000003</v>
      </c>
      <c r="R1060" s="2"/>
      <c r="S1060" s="20"/>
      <c r="T1060" s="20"/>
    </row>
    <row r="1061" spans="1:24" x14ac:dyDescent="0.25">
      <c r="A1061" s="26">
        <v>43874</v>
      </c>
      <c r="B1061" s="17"/>
      <c r="C1061" s="7" t="s">
        <v>410</v>
      </c>
      <c r="D1061" s="36">
        <v>15</v>
      </c>
      <c r="E1061" s="17">
        <v>91.39</v>
      </c>
      <c r="F1061" s="17">
        <f t="shared" ref="F1061" si="386">D1061*E1061</f>
        <v>1370.85</v>
      </c>
      <c r="G1061" s="17">
        <v>0</v>
      </c>
      <c r="H1061" s="17">
        <v>0</v>
      </c>
      <c r="I1061" s="17"/>
      <c r="J1061" s="17">
        <v>0</v>
      </c>
      <c r="K1061" s="17">
        <f t="shared" ref="K1061" si="387">SUM(F1061:J1061)</f>
        <v>1370.85</v>
      </c>
      <c r="L1061" s="17"/>
      <c r="M1061" s="17"/>
      <c r="N1061" s="17"/>
      <c r="O1061" s="17"/>
      <c r="P1061" s="17"/>
      <c r="Q1061" s="17">
        <f t="shared" si="373"/>
        <v>1315.3900000000031</v>
      </c>
      <c r="R1061" s="2" t="s">
        <v>411</v>
      </c>
      <c r="S1061" s="20"/>
      <c r="T1061" s="20"/>
    </row>
    <row r="1062" spans="1:24" x14ac:dyDescent="0.25">
      <c r="A1062" s="26">
        <v>43874</v>
      </c>
      <c r="B1062" s="17"/>
      <c r="C1062" s="7" t="s">
        <v>355</v>
      </c>
      <c r="D1062" s="36">
        <v>5</v>
      </c>
      <c r="E1062" s="17">
        <v>104.7</v>
      </c>
      <c r="F1062" s="17">
        <f t="shared" ref="F1062:F1063" si="388">D1062*E1062</f>
        <v>523.5</v>
      </c>
      <c r="G1062" s="17">
        <v>0.15</v>
      </c>
      <c r="H1062" s="17">
        <v>0.02</v>
      </c>
      <c r="I1062" s="17"/>
      <c r="J1062" s="17">
        <v>0</v>
      </c>
      <c r="K1062" s="17">
        <f t="shared" ref="K1062:K1063" si="389">SUM(F1062:J1062)</f>
        <v>523.66999999999996</v>
      </c>
      <c r="L1062" s="17"/>
      <c r="M1062" s="17"/>
      <c r="N1062" s="17"/>
      <c r="O1062" s="17"/>
      <c r="P1062" s="17"/>
      <c r="Q1062" s="17">
        <f t="shared" si="373"/>
        <v>791.7200000000031</v>
      </c>
      <c r="R1062" s="2"/>
      <c r="S1062" s="20"/>
      <c r="T1062" s="20"/>
    </row>
    <row r="1063" spans="1:24" x14ac:dyDescent="0.25">
      <c r="A1063" s="26">
        <v>43874</v>
      </c>
      <c r="B1063" s="17"/>
      <c r="C1063" s="7" t="s">
        <v>364</v>
      </c>
      <c r="D1063" s="36">
        <v>5</v>
      </c>
      <c r="E1063" s="17">
        <v>106.32</v>
      </c>
      <c r="F1063" s="17">
        <f t="shared" si="388"/>
        <v>531.59999999999991</v>
      </c>
      <c r="G1063" s="17">
        <v>0.14000000000000001</v>
      </c>
      <c r="H1063" s="17">
        <v>0.01</v>
      </c>
      <c r="I1063" s="17"/>
      <c r="J1063" s="17">
        <v>0</v>
      </c>
      <c r="K1063" s="17">
        <f t="shared" si="389"/>
        <v>531.74999999999989</v>
      </c>
      <c r="L1063" s="17"/>
      <c r="M1063" s="17"/>
      <c r="N1063" s="17"/>
      <c r="O1063" s="17"/>
      <c r="P1063" s="17"/>
      <c r="Q1063" s="17">
        <f t="shared" si="373"/>
        <v>259.97000000000321</v>
      </c>
      <c r="R1063" s="2"/>
      <c r="S1063" s="20"/>
      <c r="T1063" s="20"/>
      <c r="W1063" t="s">
        <v>412</v>
      </c>
      <c r="X1063" t="s">
        <v>413</v>
      </c>
    </row>
    <row r="1064" spans="1:24" x14ac:dyDescent="0.25">
      <c r="A1064" s="26">
        <v>43875</v>
      </c>
      <c r="B1064" s="17"/>
      <c r="C1064" s="7" t="s">
        <v>408</v>
      </c>
      <c r="D1064" s="36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>
        <v>11.47</v>
      </c>
      <c r="O1064" s="17"/>
      <c r="P1064" s="17"/>
      <c r="Q1064" s="17">
        <f t="shared" si="373"/>
        <v>271.44000000000324</v>
      </c>
      <c r="R1064" s="2"/>
      <c r="S1064" s="20"/>
      <c r="T1064" s="20"/>
    </row>
    <row r="1065" spans="1:24" x14ac:dyDescent="0.25">
      <c r="A1065" s="26">
        <v>43875</v>
      </c>
      <c r="B1065" s="17"/>
      <c r="C1065" s="7" t="s">
        <v>267</v>
      </c>
      <c r="D1065" s="36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>
        <v>20.399999999999999</v>
      </c>
      <c r="O1065" s="17"/>
      <c r="P1065" s="17"/>
      <c r="Q1065" s="17">
        <f t="shared" si="373"/>
        <v>291.84000000000322</v>
      </c>
      <c r="R1065" s="2"/>
      <c r="S1065" s="20"/>
      <c r="T1065" s="20"/>
    </row>
    <row r="1066" spans="1:24" x14ac:dyDescent="0.25">
      <c r="A1066" s="26">
        <v>43875</v>
      </c>
      <c r="B1066" s="17"/>
      <c r="C1066" s="7" t="s">
        <v>377</v>
      </c>
      <c r="D1066" s="36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>
        <v>20.25</v>
      </c>
      <c r="O1066" s="17"/>
      <c r="P1066" s="17"/>
      <c r="Q1066" s="17">
        <f t="shared" si="373"/>
        <v>312.09000000000322</v>
      </c>
      <c r="R1066" s="2"/>
      <c r="S1066" s="20"/>
      <c r="T1066" s="20"/>
    </row>
    <row r="1067" spans="1:24" x14ac:dyDescent="0.25">
      <c r="A1067" s="26">
        <v>43875</v>
      </c>
      <c r="B1067" s="17"/>
      <c r="C1067" s="7" t="s">
        <v>220</v>
      </c>
      <c r="D1067" s="36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>
        <v>23.83</v>
      </c>
      <c r="O1067" s="17"/>
      <c r="P1067" s="17"/>
      <c r="Q1067" s="17">
        <f t="shared" si="373"/>
        <v>335.9200000000032</v>
      </c>
      <c r="R1067" s="2"/>
      <c r="S1067" s="20"/>
      <c r="T1067" s="20"/>
    </row>
    <row r="1068" spans="1:24" x14ac:dyDescent="0.25">
      <c r="A1068" s="26">
        <v>43875</v>
      </c>
      <c r="B1068" s="17"/>
      <c r="C1068" s="7" t="s">
        <v>183</v>
      </c>
      <c r="D1068" s="36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>
        <v>27.47</v>
      </c>
      <c r="O1068" s="17"/>
      <c r="P1068" s="17"/>
      <c r="Q1068" s="17">
        <f t="shared" si="373"/>
        <v>363.39000000000317</v>
      </c>
      <c r="R1068" s="2"/>
      <c r="S1068" s="20"/>
      <c r="T1068" s="20"/>
    </row>
    <row r="1069" spans="1:24" x14ac:dyDescent="0.25">
      <c r="A1069" s="26">
        <v>43875</v>
      </c>
      <c r="B1069" s="17"/>
      <c r="C1069" s="7" t="s">
        <v>374</v>
      </c>
      <c r="D1069" s="36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>
        <v>39</v>
      </c>
      <c r="O1069" s="17"/>
      <c r="P1069" s="17"/>
      <c r="Q1069" s="17">
        <f t="shared" si="373"/>
        <v>402.39000000000317</v>
      </c>
      <c r="R1069" s="2"/>
      <c r="S1069" s="20"/>
      <c r="T1069" s="20"/>
    </row>
    <row r="1070" spans="1:24" x14ac:dyDescent="0.25">
      <c r="A1070" s="26">
        <v>43875</v>
      </c>
      <c r="B1070" s="17"/>
      <c r="C1070" s="7" t="s">
        <v>181</v>
      </c>
      <c r="D1070" s="36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>
        <v>54.6</v>
      </c>
      <c r="O1070" s="17"/>
      <c r="P1070" s="17"/>
      <c r="Q1070" s="17">
        <f t="shared" si="373"/>
        <v>456.99000000000319</v>
      </c>
      <c r="R1070" s="2"/>
      <c r="S1070" s="20"/>
      <c r="T1070" s="20"/>
    </row>
    <row r="1071" spans="1:24" x14ac:dyDescent="0.25">
      <c r="A1071" s="26">
        <v>43875</v>
      </c>
      <c r="B1071" s="17"/>
      <c r="C1071" s="7" t="s">
        <v>184</v>
      </c>
      <c r="D1071" s="36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>
        <v>74.099999999999994</v>
      </c>
      <c r="O1071" s="17"/>
      <c r="P1071" s="17"/>
      <c r="Q1071" s="17">
        <f t="shared" si="373"/>
        <v>531.09000000000322</v>
      </c>
      <c r="R1071" s="2"/>
      <c r="S1071" s="20"/>
      <c r="T1071" s="20"/>
    </row>
    <row r="1072" spans="1:24" x14ac:dyDescent="0.25">
      <c r="A1072" s="26">
        <v>43875</v>
      </c>
      <c r="B1072" s="17"/>
      <c r="C1072" s="7" t="s">
        <v>364</v>
      </c>
      <c r="D1072" s="36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>
        <v>95.04</v>
      </c>
      <c r="O1072" s="17"/>
      <c r="P1072" s="17"/>
      <c r="Q1072" s="17">
        <f t="shared" si="373"/>
        <v>626.13000000000318</v>
      </c>
      <c r="R1072" s="2"/>
      <c r="S1072" s="20"/>
      <c r="T1072" s="20"/>
    </row>
    <row r="1073" spans="1:20" x14ac:dyDescent="0.25">
      <c r="A1073" s="26">
        <v>43875</v>
      </c>
      <c r="B1073" s="17"/>
      <c r="C1073" s="7" t="s">
        <v>169</v>
      </c>
      <c r="D1073" s="36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>
        <v>91.35</v>
      </c>
      <c r="O1073" s="17"/>
      <c r="P1073" s="17"/>
      <c r="Q1073" s="17">
        <f t="shared" si="373"/>
        <v>717.4800000000032</v>
      </c>
      <c r="R1073" s="2"/>
      <c r="S1073" s="20"/>
      <c r="T1073" s="20"/>
    </row>
    <row r="1074" spans="1:20" x14ac:dyDescent="0.25">
      <c r="A1074" s="26">
        <v>43875</v>
      </c>
      <c r="B1074" s="17"/>
      <c r="C1074" s="7" t="s">
        <v>173</v>
      </c>
      <c r="D1074" s="36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>
        <v>336.3</v>
      </c>
      <c r="O1074" s="17"/>
      <c r="P1074" s="17"/>
      <c r="Q1074" s="17">
        <f t="shared" si="373"/>
        <v>1053.7800000000032</v>
      </c>
      <c r="R1074" s="2"/>
      <c r="S1074" s="20"/>
      <c r="T1074" s="20"/>
    </row>
    <row r="1075" spans="1:20" x14ac:dyDescent="0.25">
      <c r="A1075" s="26">
        <v>43875</v>
      </c>
      <c r="B1075" s="17"/>
      <c r="C1075" s="7" t="s">
        <v>221</v>
      </c>
      <c r="D1075" s="36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>
        <v>115.36</v>
      </c>
      <c r="O1075" s="17"/>
      <c r="P1075" s="17"/>
      <c r="Q1075" s="17">
        <f t="shared" si="373"/>
        <v>1169.1400000000031</v>
      </c>
      <c r="R1075" s="2"/>
      <c r="S1075" s="20"/>
      <c r="T1075" s="20"/>
    </row>
    <row r="1076" spans="1:20" x14ac:dyDescent="0.25">
      <c r="A1076" s="26">
        <v>43875</v>
      </c>
      <c r="B1076" s="17"/>
      <c r="C1076" s="7" t="s">
        <v>217</v>
      </c>
      <c r="D1076" s="36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>
        <v>97.92</v>
      </c>
      <c r="O1076" s="17"/>
      <c r="P1076" s="17"/>
      <c r="Q1076" s="17">
        <f t="shared" si="373"/>
        <v>1267.0600000000031</v>
      </c>
      <c r="R1076" s="2"/>
    </row>
    <row r="1077" spans="1:20" x14ac:dyDescent="0.25">
      <c r="A1077" s="26">
        <v>43875</v>
      </c>
      <c r="B1077" s="17"/>
      <c r="C1077" s="7" t="s">
        <v>408</v>
      </c>
      <c r="D1077" s="36">
        <v>10</v>
      </c>
      <c r="E1077" s="17">
        <v>69.099999999999994</v>
      </c>
      <c r="F1077" s="17">
        <f t="shared" ref="F1077" si="390">D1077*E1077</f>
        <v>691</v>
      </c>
      <c r="G1077" s="17">
        <v>0.19</v>
      </c>
      <c r="H1077" s="17">
        <v>0.02</v>
      </c>
      <c r="I1077" s="17"/>
      <c r="J1077" s="17">
        <v>0</v>
      </c>
      <c r="K1077" s="17">
        <f t="shared" ref="K1077" si="391">SUM(F1077:J1077)</f>
        <v>691.21</v>
      </c>
      <c r="L1077" s="17"/>
      <c r="M1077" s="17"/>
      <c r="N1077" s="17"/>
      <c r="O1077" s="17"/>
      <c r="P1077" s="17"/>
      <c r="Q1077" s="17">
        <f t="shared" si="373"/>
        <v>575.85000000000309</v>
      </c>
      <c r="R1077" s="2"/>
    </row>
    <row r="1078" spans="1:20" x14ac:dyDescent="0.25">
      <c r="A1078" s="26">
        <v>43878</v>
      </c>
      <c r="B1078" s="17"/>
      <c r="C1078" s="7" t="s">
        <v>223</v>
      </c>
      <c r="D1078" s="36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>
        <v>430.65</v>
      </c>
      <c r="O1078" s="17"/>
      <c r="P1078" s="17"/>
      <c r="Q1078" s="17">
        <f t="shared" si="373"/>
        <v>1006.5000000000031</v>
      </c>
      <c r="R1078" s="2"/>
      <c r="S1078" s="20" t="s">
        <v>223</v>
      </c>
      <c r="T1078" s="20"/>
    </row>
    <row r="1079" spans="1:20" x14ac:dyDescent="0.25">
      <c r="A1079" s="26"/>
      <c r="B1079" s="17"/>
      <c r="D1079" s="36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>
        <f t="shared" si="373"/>
        <v>1006.5000000000031</v>
      </c>
      <c r="R1079" s="2"/>
      <c r="S1079" t="s">
        <v>412</v>
      </c>
      <c r="T1079" s="20" t="s">
        <v>73</v>
      </c>
    </row>
    <row r="1080" spans="1:20" x14ac:dyDescent="0.25">
      <c r="A1080" s="26">
        <v>43880</v>
      </c>
      <c r="B1080" s="17"/>
      <c r="C1080" s="7" t="s">
        <v>355</v>
      </c>
      <c r="D1080" s="36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>
        <v>57</v>
      </c>
      <c r="O1080" s="17"/>
      <c r="P1080" s="17"/>
      <c r="Q1080" s="17">
        <f t="shared" si="373"/>
        <v>1063.5000000000032</v>
      </c>
      <c r="R1080" s="2"/>
      <c r="S1080" s="8">
        <v>33.700000000000003</v>
      </c>
      <c r="T1080" s="8">
        <v>2.19</v>
      </c>
    </row>
    <row r="1081" spans="1:20" x14ac:dyDescent="0.25">
      <c r="A1081" s="26">
        <v>43881</v>
      </c>
      <c r="B1081" s="17"/>
      <c r="C1081" s="7" t="s">
        <v>88</v>
      </c>
      <c r="D1081" s="36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>
        <v>17.89</v>
      </c>
      <c r="P1081" s="17">
        <v>132.26</v>
      </c>
      <c r="Q1081" s="17">
        <f t="shared" si="373"/>
        <v>1213.6500000000033</v>
      </c>
      <c r="R1081" s="2"/>
      <c r="S1081" s="8">
        <v>6.74</v>
      </c>
      <c r="T1081" s="8">
        <v>2.89</v>
      </c>
    </row>
    <row r="1082" spans="1:20" x14ac:dyDescent="0.25">
      <c r="A1082" s="26">
        <v>43881</v>
      </c>
      <c r="B1082" s="17"/>
      <c r="C1082" s="7" t="s">
        <v>408</v>
      </c>
      <c r="D1082" s="36">
        <v>10</v>
      </c>
      <c r="E1082" s="17">
        <v>66.25</v>
      </c>
      <c r="F1082" s="17">
        <f t="shared" ref="F1082:F1083" si="392">D1082*E1082</f>
        <v>662.5</v>
      </c>
      <c r="G1082" s="17">
        <v>0.2</v>
      </c>
      <c r="H1082" s="17">
        <v>0.02</v>
      </c>
      <c r="I1082" s="17"/>
      <c r="J1082" s="17">
        <v>0</v>
      </c>
      <c r="K1082" s="17">
        <f t="shared" ref="K1082:K1083" si="393">SUM(F1082:J1082)</f>
        <v>662.72</v>
      </c>
      <c r="L1082" s="17"/>
      <c r="M1082" s="17"/>
      <c r="N1082" s="17"/>
      <c r="O1082" s="17"/>
      <c r="P1082" s="17"/>
      <c r="Q1082" s="17">
        <f t="shared" si="373"/>
        <v>550.93000000000325</v>
      </c>
      <c r="R1082" s="2"/>
      <c r="S1082" s="8">
        <v>33.700000000000003</v>
      </c>
      <c r="T1082" s="8">
        <v>2.89</v>
      </c>
    </row>
    <row r="1083" spans="1:20" x14ac:dyDescent="0.25">
      <c r="A1083" s="26">
        <v>43881</v>
      </c>
      <c r="B1083" s="17"/>
      <c r="C1083" s="7" t="s">
        <v>364</v>
      </c>
      <c r="D1083" s="36">
        <v>5</v>
      </c>
      <c r="E1083" s="17">
        <v>105.29</v>
      </c>
      <c r="F1083" s="17">
        <f t="shared" si="392"/>
        <v>526.45000000000005</v>
      </c>
      <c r="G1083" s="17">
        <v>0.12</v>
      </c>
      <c r="H1083" s="17">
        <v>0.02</v>
      </c>
      <c r="I1083" s="17"/>
      <c r="J1083" s="17">
        <v>0</v>
      </c>
      <c r="K1083" s="17">
        <f t="shared" si="393"/>
        <v>526.59</v>
      </c>
      <c r="L1083" s="17"/>
      <c r="M1083" s="17"/>
      <c r="N1083" s="17"/>
      <c r="O1083" s="17"/>
      <c r="P1083" s="17"/>
      <c r="Q1083" s="17">
        <f t="shared" si="373"/>
        <v>24.340000000003215</v>
      </c>
      <c r="R1083" s="118"/>
      <c r="S1083" s="8">
        <v>14.45</v>
      </c>
      <c r="T1083" s="8">
        <v>2.89</v>
      </c>
    </row>
    <row r="1084" spans="1:20" x14ac:dyDescent="0.25">
      <c r="A1084" s="26">
        <v>43882</v>
      </c>
      <c r="B1084" s="17"/>
      <c r="C1084" s="7" t="s">
        <v>383</v>
      </c>
      <c r="D1084" s="36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>
        <v>21</v>
      </c>
      <c r="O1084" s="17"/>
      <c r="P1084" s="17"/>
      <c r="Q1084" s="17">
        <f t="shared" si="373"/>
        <v>45.340000000003215</v>
      </c>
      <c r="R1084" s="2"/>
      <c r="S1084" s="8">
        <v>14.45</v>
      </c>
      <c r="T1084" s="8">
        <v>1.01</v>
      </c>
    </row>
    <row r="1085" spans="1:20" x14ac:dyDescent="0.25">
      <c r="A1085" s="26">
        <v>43882</v>
      </c>
      <c r="B1085" s="17"/>
      <c r="C1085" s="7" t="s">
        <v>270</v>
      </c>
      <c r="D1085" s="36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>
        <v>38.5</v>
      </c>
      <c r="O1085" s="17"/>
      <c r="P1085" s="17"/>
      <c r="Q1085" s="17">
        <f t="shared" si="373"/>
        <v>83.840000000003215</v>
      </c>
      <c r="R1085" s="2"/>
      <c r="S1085" s="8">
        <v>24.08</v>
      </c>
      <c r="T1085" s="8">
        <v>1.44</v>
      </c>
    </row>
    <row r="1086" spans="1:20" x14ac:dyDescent="0.25">
      <c r="A1086" s="26">
        <v>43882</v>
      </c>
      <c r="B1086" s="17"/>
      <c r="C1086" s="7" t="s">
        <v>414</v>
      </c>
      <c r="D1086" s="36">
        <v>100</v>
      </c>
      <c r="E1086" s="17">
        <v>11</v>
      </c>
      <c r="F1086" s="17">
        <f t="shared" ref="F1086" si="394">D1086*E1086</f>
        <v>1100</v>
      </c>
      <c r="G1086" s="17">
        <v>0</v>
      </c>
      <c r="H1086" s="17">
        <v>0</v>
      </c>
      <c r="I1086" s="17"/>
      <c r="J1086" s="17">
        <v>0</v>
      </c>
      <c r="K1086" s="17">
        <f t="shared" ref="K1086" si="395">SUM(F1086:J1086)</f>
        <v>1100</v>
      </c>
      <c r="L1086" s="17"/>
      <c r="M1086" s="17"/>
      <c r="N1086" s="17"/>
      <c r="O1086" s="17"/>
      <c r="P1086" s="17"/>
      <c r="Q1086" s="17">
        <f t="shared" si="373"/>
        <v>-1016.1599999999968</v>
      </c>
      <c r="R1086" s="2"/>
      <c r="S1086" s="8">
        <v>12.52</v>
      </c>
      <c r="T1086" s="8">
        <v>2.89</v>
      </c>
    </row>
    <row r="1087" spans="1:20" x14ac:dyDescent="0.25">
      <c r="A1087" s="26">
        <v>43882</v>
      </c>
      <c r="B1087" s="17">
        <v>2000</v>
      </c>
      <c r="D1087" s="36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>
        <f t="shared" si="373"/>
        <v>983.84000000000322</v>
      </c>
      <c r="R1087" s="2"/>
      <c r="S1087" s="8">
        <v>19.260000000000002</v>
      </c>
      <c r="T1087" s="8">
        <v>2.89</v>
      </c>
    </row>
    <row r="1088" spans="1:20" x14ac:dyDescent="0.25">
      <c r="A1088" s="26">
        <v>43882</v>
      </c>
      <c r="B1088" s="17"/>
      <c r="C1088" s="7" t="s">
        <v>408</v>
      </c>
      <c r="D1088" s="36">
        <v>10</v>
      </c>
      <c r="E1088" s="17">
        <v>66.900000000000006</v>
      </c>
      <c r="F1088" s="17">
        <f t="shared" ref="F1088" si="396">D1088*E1088</f>
        <v>669</v>
      </c>
      <c r="G1088" s="17">
        <v>0.18</v>
      </c>
      <c r="H1088" s="17">
        <v>0.02</v>
      </c>
      <c r="I1088" s="17"/>
      <c r="J1088" s="17">
        <v>0</v>
      </c>
      <c r="K1088" s="17">
        <f t="shared" ref="K1088" si="397">SUM(F1088:J1088)</f>
        <v>669.19999999999993</v>
      </c>
      <c r="L1088" s="17"/>
      <c r="M1088" s="17"/>
      <c r="N1088" s="17"/>
      <c r="O1088" s="17"/>
      <c r="P1088" s="17"/>
      <c r="Q1088" s="17">
        <f t="shared" si="373"/>
        <v>314.64000000000328</v>
      </c>
      <c r="R1088" s="2"/>
      <c r="S1088" s="8">
        <v>14.45</v>
      </c>
      <c r="T1088" s="8">
        <v>5.34</v>
      </c>
    </row>
    <row r="1089" spans="1:20" x14ac:dyDescent="0.25">
      <c r="A1089" s="26">
        <v>43887</v>
      </c>
      <c r="B1089" s="17">
        <v>1000</v>
      </c>
      <c r="D1089" s="36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>
        <f t="shared" si="373"/>
        <v>1314.6400000000033</v>
      </c>
      <c r="R1089" s="2"/>
      <c r="S1089" s="8">
        <v>14.45</v>
      </c>
      <c r="T1089" s="8">
        <v>2.89</v>
      </c>
    </row>
    <row r="1090" spans="1:20" x14ac:dyDescent="0.25">
      <c r="A1090" s="26">
        <v>43887</v>
      </c>
      <c r="B1090" s="17"/>
      <c r="C1090" s="7" t="s">
        <v>374</v>
      </c>
      <c r="D1090" s="36">
        <v>10</v>
      </c>
      <c r="E1090" s="17">
        <v>86.98</v>
      </c>
      <c r="F1090" s="17">
        <f t="shared" ref="F1090" si="398">D1090*E1090</f>
        <v>869.80000000000007</v>
      </c>
      <c r="G1090" s="17">
        <v>0.23</v>
      </c>
      <c r="H1090" s="17">
        <v>0.03</v>
      </c>
      <c r="I1090" s="17"/>
      <c r="J1090" s="17">
        <v>0</v>
      </c>
      <c r="K1090" s="17">
        <f t="shared" ref="K1090" si="399">SUM(F1090:J1090)</f>
        <v>870.06000000000006</v>
      </c>
      <c r="L1090" s="17"/>
      <c r="M1090" s="17"/>
      <c r="N1090" s="17"/>
      <c r="O1090" s="17"/>
      <c r="P1090" s="17"/>
      <c r="Q1090" s="17">
        <f t="shared" si="373"/>
        <v>444.58000000000322</v>
      </c>
      <c r="R1090" s="2"/>
      <c r="S1090" s="8">
        <v>14.45</v>
      </c>
      <c r="T1090" s="8">
        <v>2.89</v>
      </c>
    </row>
    <row r="1091" spans="1:20" x14ac:dyDescent="0.25">
      <c r="A1091" s="26">
        <v>43888</v>
      </c>
      <c r="B1091" s="17">
        <v>1000</v>
      </c>
      <c r="D1091" s="36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>
        <f t="shared" si="373"/>
        <v>1444.5800000000031</v>
      </c>
      <c r="R1091" s="2"/>
      <c r="S1091" s="8">
        <v>19.260000000000002</v>
      </c>
      <c r="T1091" s="8">
        <v>3.37</v>
      </c>
    </row>
    <row r="1092" spans="1:20" x14ac:dyDescent="0.25">
      <c r="A1092" s="26">
        <v>43888</v>
      </c>
      <c r="B1092" s="17"/>
      <c r="C1092" s="7" t="s">
        <v>374</v>
      </c>
      <c r="D1092" s="36">
        <v>6</v>
      </c>
      <c r="E1092" s="17">
        <v>86.05</v>
      </c>
      <c r="F1092" s="17">
        <f t="shared" ref="F1092:F1093" si="400">D1092*E1092</f>
        <v>516.29999999999995</v>
      </c>
      <c r="G1092" s="17">
        <v>0.18</v>
      </c>
      <c r="H1092" s="17">
        <v>0.02</v>
      </c>
      <c r="I1092" s="17"/>
      <c r="J1092" s="17">
        <v>0</v>
      </c>
      <c r="K1092" s="17">
        <f t="shared" ref="K1092:K1093" si="401">SUM(F1092:J1092)</f>
        <v>516.49999999999989</v>
      </c>
      <c r="L1092" s="17"/>
      <c r="M1092" s="17"/>
      <c r="N1092" s="17"/>
      <c r="O1092" s="17"/>
      <c r="P1092" s="17"/>
      <c r="Q1092" s="17">
        <f t="shared" si="373"/>
        <v>928.08000000000322</v>
      </c>
      <c r="R1092" s="2"/>
      <c r="S1092" s="8">
        <v>19.260000000000002</v>
      </c>
      <c r="T1092" s="8">
        <v>2.31</v>
      </c>
    </row>
    <row r="1093" spans="1:20" x14ac:dyDescent="0.25">
      <c r="A1093" s="26">
        <v>43888</v>
      </c>
      <c r="B1093" s="17"/>
      <c r="C1093" s="7" t="s">
        <v>405</v>
      </c>
      <c r="D1093" s="36">
        <v>50</v>
      </c>
      <c r="E1093" s="17">
        <v>17.97</v>
      </c>
      <c r="F1093" s="17">
        <f t="shared" si="400"/>
        <v>898.5</v>
      </c>
      <c r="G1093" s="17">
        <v>0.2</v>
      </c>
      <c r="H1093" s="17">
        <v>0.26</v>
      </c>
      <c r="I1093" s="17"/>
      <c r="J1093" s="17">
        <v>2.4900000000000002</v>
      </c>
      <c r="K1093" s="17">
        <f t="shared" si="401"/>
        <v>901.45</v>
      </c>
      <c r="L1093" s="17"/>
      <c r="M1093" s="17"/>
      <c r="N1093" s="17"/>
      <c r="O1093" s="17"/>
      <c r="P1093" s="17"/>
      <c r="Q1093" s="17">
        <f t="shared" si="373"/>
        <v>26.630000000003179</v>
      </c>
      <c r="R1093" s="2"/>
      <c r="S1093" s="8">
        <v>19.260000000000002</v>
      </c>
      <c r="T1093" s="8">
        <v>1.52</v>
      </c>
    </row>
    <row r="1094" spans="1:20" x14ac:dyDescent="0.25">
      <c r="A1094" s="26">
        <v>43889</v>
      </c>
      <c r="B1094" s="17">
        <v>2000</v>
      </c>
      <c r="D1094" s="36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>
        <f t="shared" si="373"/>
        <v>2026.6300000000033</v>
      </c>
      <c r="R1094" s="2"/>
      <c r="S1094" s="8"/>
      <c r="T1094" s="8"/>
    </row>
    <row r="1095" spans="1:20" x14ac:dyDescent="0.25">
      <c r="A1095" s="26">
        <v>43889</v>
      </c>
      <c r="B1095" s="17"/>
      <c r="C1095" s="7" t="s">
        <v>180</v>
      </c>
      <c r="D1095" s="36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>
        <v>17.940000000000001</v>
      </c>
      <c r="P1095" s="17"/>
      <c r="Q1095" s="17">
        <f t="shared" si="373"/>
        <v>2044.5700000000033</v>
      </c>
      <c r="R1095" s="118"/>
      <c r="S1095" s="8">
        <f>SUM(S1080:S1093)</f>
        <v>260.02999999999997</v>
      </c>
      <c r="T1095" s="8">
        <f>SUM(T1080:T1093)</f>
        <v>37.410000000000004</v>
      </c>
    </row>
    <row r="1096" spans="1:20" x14ac:dyDescent="0.25">
      <c r="A1096" s="26">
        <v>43889</v>
      </c>
      <c r="B1096" s="17"/>
      <c r="C1096" s="7" t="s">
        <v>184</v>
      </c>
      <c r="D1096" s="36">
        <v>10</v>
      </c>
      <c r="E1096" s="17">
        <v>78.510000000000005</v>
      </c>
      <c r="F1096" s="17">
        <f t="shared" ref="F1096:F1097" si="402">D1096*E1096</f>
        <v>785.1</v>
      </c>
      <c r="G1096" s="17">
        <v>0.2</v>
      </c>
      <c r="H1096" s="17">
        <v>0.03</v>
      </c>
      <c r="I1096" s="17"/>
      <c r="J1096" s="17">
        <v>0</v>
      </c>
      <c r="K1096" s="17">
        <f t="shared" ref="K1096:K1099" si="403">SUM(F1096:J1096)</f>
        <v>785.33</v>
      </c>
      <c r="L1096" s="17"/>
      <c r="M1096" s="17"/>
      <c r="N1096" s="17"/>
      <c r="O1096" s="17"/>
      <c r="P1096" s="17"/>
      <c r="Q1096" s="17">
        <f t="shared" si="373"/>
        <v>1259.2400000000034</v>
      </c>
      <c r="R1096" s="2"/>
      <c r="S1096" s="8"/>
      <c r="T1096" s="8"/>
    </row>
    <row r="1097" spans="1:20" x14ac:dyDescent="0.25">
      <c r="A1097" s="26">
        <v>43889</v>
      </c>
      <c r="B1097" s="17"/>
      <c r="C1097" s="7" t="s">
        <v>405</v>
      </c>
      <c r="D1097" s="36">
        <v>50</v>
      </c>
      <c r="E1097" s="17">
        <v>17.45</v>
      </c>
      <c r="F1097" s="17">
        <f t="shared" si="402"/>
        <v>872.5</v>
      </c>
      <c r="G1097" s="17">
        <v>0.25</v>
      </c>
      <c r="H1097" s="17">
        <v>0.26</v>
      </c>
      <c r="I1097" s="17"/>
      <c r="J1097" s="17">
        <v>2.4900000000000002</v>
      </c>
      <c r="K1097" s="17">
        <f t="shared" si="403"/>
        <v>875.5</v>
      </c>
      <c r="L1097" s="17"/>
      <c r="M1097" s="17"/>
      <c r="N1097" s="17"/>
      <c r="O1097" s="17"/>
      <c r="P1097" s="17"/>
      <c r="Q1097" s="17">
        <f t="shared" si="373"/>
        <v>383.74000000000342</v>
      </c>
      <c r="R1097" s="118"/>
      <c r="S1097" s="8"/>
      <c r="T1097" s="8"/>
    </row>
    <row r="1098" spans="1:20" x14ac:dyDescent="0.25">
      <c r="A1098" s="26">
        <v>43894</v>
      </c>
      <c r="B1098" s="17">
        <v>2000</v>
      </c>
      <c r="D1098" s="36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>
        <f t="shared" si="373"/>
        <v>2383.7400000000034</v>
      </c>
      <c r="R1098" s="118"/>
      <c r="S1098" s="8"/>
      <c r="T1098" s="8"/>
    </row>
    <row r="1099" spans="1:20" x14ac:dyDescent="0.25">
      <c r="A1099" s="26">
        <v>43894</v>
      </c>
      <c r="B1099" s="17"/>
      <c r="C1099" s="7" t="s">
        <v>405</v>
      </c>
      <c r="D1099" s="36">
        <v>50</v>
      </c>
      <c r="E1099" s="17">
        <v>17.86</v>
      </c>
      <c r="F1099" s="17">
        <f t="shared" ref="F1099" si="404">D1099*E1099</f>
        <v>893</v>
      </c>
      <c r="G1099" s="17">
        <v>0.24</v>
      </c>
      <c r="H1099" s="17">
        <v>0.26</v>
      </c>
      <c r="I1099" s="17"/>
      <c r="J1099" s="17">
        <v>2.4900000000000002</v>
      </c>
      <c r="K1099" s="17">
        <f t="shared" si="403"/>
        <v>895.99</v>
      </c>
      <c r="L1099" s="17"/>
      <c r="M1099" s="17"/>
      <c r="N1099" s="17"/>
      <c r="O1099" s="17"/>
      <c r="P1099" s="17"/>
      <c r="Q1099" s="17">
        <f t="shared" si="373"/>
        <v>1487.7500000000034</v>
      </c>
      <c r="R1099" s="118"/>
      <c r="S1099" s="8"/>
      <c r="T1099" s="8"/>
    </row>
    <row r="1100" spans="1:20" x14ac:dyDescent="0.25">
      <c r="A1100" s="26">
        <v>43895</v>
      </c>
      <c r="B1100" s="17"/>
      <c r="C1100" s="7" t="s">
        <v>5</v>
      </c>
      <c r="D1100" s="36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>
        <f>37.03+0.25</f>
        <v>37.28</v>
      </c>
      <c r="Q1100" s="17">
        <f t="shared" si="373"/>
        <v>1525.0300000000034</v>
      </c>
      <c r="R1100" s="118"/>
      <c r="S1100" s="8"/>
      <c r="T1100" s="8"/>
    </row>
    <row r="1101" spans="1:20" x14ac:dyDescent="0.25">
      <c r="A1101" s="26">
        <v>43895</v>
      </c>
      <c r="B1101" s="17"/>
      <c r="C1101" s="7" t="s">
        <v>415</v>
      </c>
      <c r="D1101" s="36"/>
      <c r="E1101" s="17"/>
      <c r="F1101" s="17"/>
      <c r="G1101" s="17"/>
      <c r="H1101" s="17"/>
      <c r="I1101" s="17"/>
      <c r="J1101" s="17"/>
      <c r="K1101" s="17">
        <v>502.71</v>
      </c>
      <c r="L1101" s="17"/>
      <c r="M1101" s="17"/>
      <c r="N1101" s="17"/>
      <c r="O1101" s="17"/>
      <c r="P1101" s="17"/>
      <c r="Q1101" s="17">
        <f t="shared" si="373"/>
        <v>1022.3200000000033</v>
      </c>
      <c r="R1101" s="118"/>
      <c r="S1101" s="8"/>
      <c r="T1101" s="8"/>
    </row>
    <row r="1102" spans="1:20" x14ac:dyDescent="0.25">
      <c r="A1102" s="26">
        <v>43896</v>
      </c>
      <c r="B1102" s="17"/>
      <c r="C1102" s="7" t="s">
        <v>85</v>
      </c>
      <c r="D1102" s="36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>
        <v>587.6</v>
      </c>
      <c r="P1102" s="17">
        <f>480.46+12.26</f>
        <v>492.71999999999997</v>
      </c>
      <c r="Q1102" s="17">
        <f t="shared" si="373"/>
        <v>2102.6400000000031</v>
      </c>
      <c r="R1102" s="118"/>
      <c r="S1102" s="8"/>
      <c r="T1102" s="8"/>
    </row>
    <row r="1103" spans="1:20" x14ac:dyDescent="0.25">
      <c r="A1103" s="26">
        <v>43896</v>
      </c>
      <c r="B1103" s="17"/>
      <c r="C1103" s="7" t="s">
        <v>276</v>
      </c>
      <c r="D1103" s="36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>
        <v>7.12</v>
      </c>
      <c r="O1103" s="17"/>
      <c r="P1103" s="17"/>
      <c r="Q1103" s="17">
        <f t="shared" si="373"/>
        <v>2109.7600000000029</v>
      </c>
      <c r="R1103" s="118"/>
      <c r="S1103" s="8"/>
      <c r="T1103" s="8"/>
    </row>
    <row r="1104" spans="1:20" x14ac:dyDescent="0.25">
      <c r="A1104" s="26">
        <v>43896</v>
      </c>
      <c r="B1104" s="17"/>
      <c r="C1104" s="7" t="s">
        <v>221</v>
      </c>
      <c r="D1104" s="36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>
        <v>129.78</v>
      </c>
      <c r="O1104" s="17"/>
      <c r="P1104" s="17"/>
      <c r="Q1104" s="17">
        <f t="shared" si="373"/>
        <v>2239.5400000000031</v>
      </c>
      <c r="R1104" s="118"/>
      <c r="S1104" s="8"/>
      <c r="T1104" s="8"/>
    </row>
    <row r="1105" spans="1:20" x14ac:dyDescent="0.25">
      <c r="A1105" s="26">
        <v>43896</v>
      </c>
      <c r="B1105" s="17"/>
      <c r="C1105" s="7" t="s">
        <v>407</v>
      </c>
      <c r="D1105" s="36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>
        <v>1</v>
      </c>
      <c r="O1105" s="17"/>
      <c r="P1105" s="17"/>
      <c r="Q1105" s="17">
        <f t="shared" si="373"/>
        <v>2240.5400000000031</v>
      </c>
      <c r="R1105" s="118"/>
      <c r="S1105" s="8"/>
      <c r="T1105" s="8"/>
    </row>
    <row r="1106" spans="1:20" x14ac:dyDescent="0.25">
      <c r="A1106" s="26">
        <v>43896</v>
      </c>
      <c r="B1106" s="17"/>
      <c r="C1106" s="7" t="s">
        <v>222</v>
      </c>
      <c r="D1106" s="36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>
        <v>116.25</v>
      </c>
      <c r="O1106" s="17"/>
      <c r="P1106" s="17"/>
      <c r="Q1106" s="17">
        <f t="shared" si="373"/>
        <v>2356.7900000000031</v>
      </c>
      <c r="R1106" s="118"/>
      <c r="S1106" s="8"/>
      <c r="T1106" s="8"/>
    </row>
    <row r="1107" spans="1:20" x14ac:dyDescent="0.25">
      <c r="A1107" s="26">
        <v>43896</v>
      </c>
      <c r="B1107" s="17"/>
      <c r="C1107" s="7" t="s">
        <v>415</v>
      </c>
      <c r="D1107" s="36"/>
      <c r="E1107" s="17"/>
      <c r="F1107" s="17"/>
      <c r="G1107" s="17"/>
      <c r="H1107" s="17"/>
      <c r="I1107" s="17"/>
      <c r="J1107" s="17"/>
      <c r="K1107" s="17">
        <v>699.42</v>
      </c>
      <c r="L1107" s="17"/>
      <c r="M1107" s="17"/>
      <c r="N1107" s="17"/>
      <c r="O1107" s="17"/>
      <c r="P1107" s="17"/>
      <c r="Q1107" s="17">
        <f t="shared" si="373"/>
        <v>1657.3700000000031</v>
      </c>
      <c r="R1107" s="118"/>
      <c r="S1107" s="8">
        <v>19.260000000000002</v>
      </c>
      <c r="T1107" s="8">
        <v>1.85</v>
      </c>
    </row>
    <row r="1108" spans="1:20" x14ac:dyDescent="0.25">
      <c r="A1108" s="26">
        <v>43896</v>
      </c>
      <c r="B1108" s="17"/>
      <c r="C1108" s="7" t="s">
        <v>85</v>
      </c>
      <c r="D1108" s="36">
        <v>70</v>
      </c>
      <c r="E1108" s="17">
        <v>11.52</v>
      </c>
      <c r="F1108" s="17">
        <f t="shared" ref="F1108:F1109" si="405">D1108*E1108</f>
        <v>806.4</v>
      </c>
      <c r="G1108" s="17">
        <v>0.22</v>
      </c>
      <c r="H1108" s="17">
        <v>0.4</v>
      </c>
      <c r="I1108" s="17"/>
      <c r="J1108" s="17">
        <v>2.4900000000000002</v>
      </c>
      <c r="K1108" s="17">
        <f t="shared" ref="K1108:K1109" si="406">SUM(F1108:J1108)</f>
        <v>809.51</v>
      </c>
      <c r="L1108" s="17"/>
      <c r="M1108" s="17"/>
      <c r="N1108" s="17"/>
      <c r="O1108" s="17"/>
      <c r="P1108" s="17"/>
      <c r="Q1108" s="17">
        <f t="shared" si="373"/>
        <v>847.86000000000308</v>
      </c>
      <c r="R1108" s="118"/>
      <c r="S1108" s="8">
        <v>8.67</v>
      </c>
      <c r="T1108" s="8">
        <v>3.61</v>
      </c>
    </row>
    <row r="1109" spans="1:20" x14ac:dyDescent="0.25">
      <c r="A1109" s="26">
        <v>43896</v>
      </c>
      <c r="B1109" s="17"/>
      <c r="C1109" s="7" t="s">
        <v>405</v>
      </c>
      <c r="D1109" s="36">
        <v>50</v>
      </c>
      <c r="E1109" s="17">
        <v>16.38</v>
      </c>
      <c r="F1109" s="17">
        <f t="shared" si="405"/>
        <v>819</v>
      </c>
      <c r="G1109" s="17">
        <v>0.22</v>
      </c>
      <c r="H1109" s="17">
        <v>0.13</v>
      </c>
      <c r="I1109" s="17"/>
      <c r="J1109" s="17">
        <v>2.4900000000000002</v>
      </c>
      <c r="K1109" s="17">
        <f t="shared" si="406"/>
        <v>821.84</v>
      </c>
      <c r="L1109" s="17"/>
      <c r="M1109" s="17"/>
      <c r="N1109" s="17"/>
      <c r="O1109" s="17"/>
      <c r="P1109" s="17"/>
      <c r="Q1109" s="17">
        <f t="shared" si="373"/>
        <v>26.020000000003051</v>
      </c>
      <c r="R1109" s="2"/>
      <c r="S1109" s="8">
        <v>9.6300000000000008</v>
      </c>
      <c r="T1109" s="8">
        <v>5.0599999999999996</v>
      </c>
    </row>
    <row r="1110" spans="1:20" x14ac:dyDescent="0.25">
      <c r="A1110" s="26">
        <v>43899</v>
      </c>
      <c r="B1110" s="17"/>
      <c r="C1110" s="7" t="s">
        <v>186</v>
      </c>
      <c r="D1110" s="36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>
        <f>75+56</f>
        <v>131</v>
      </c>
      <c r="O1110" s="17"/>
      <c r="P1110" s="17"/>
      <c r="Q1110" s="17">
        <f t="shared" ref="Q1110:Q1174" si="407">Q1109+B1110-K1110-L1110-M1110+N1110+O1110+P1110</f>
        <v>157.02000000000305</v>
      </c>
      <c r="R1110" s="2"/>
      <c r="S1110" s="8"/>
      <c r="T1110" s="8"/>
    </row>
    <row r="1111" spans="1:20" x14ac:dyDescent="0.25">
      <c r="A1111" s="26">
        <v>43899</v>
      </c>
      <c r="B1111" s="17"/>
      <c r="C1111" s="7" t="s">
        <v>234</v>
      </c>
      <c r="D1111" s="36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>
        <v>29.2</v>
      </c>
      <c r="O1111" s="17"/>
      <c r="P1111" s="17"/>
      <c r="Q1111" s="17">
        <f t="shared" si="407"/>
        <v>186.22000000000304</v>
      </c>
      <c r="R1111" s="2"/>
      <c r="S1111" s="8"/>
      <c r="T1111" s="8"/>
    </row>
    <row r="1112" spans="1:20" x14ac:dyDescent="0.25">
      <c r="A1112" s="26">
        <v>43899</v>
      </c>
      <c r="B1112" s="17">
        <v>1000</v>
      </c>
      <c r="D1112" s="36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>
        <f t="shared" si="407"/>
        <v>1186.220000000003</v>
      </c>
      <c r="R1112" s="2"/>
      <c r="S1112" s="8"/>
      <c r="T1112" s="8"/>
    </row>
    <row r="1113" spans="1:20" x14ac:dyDescent="0.25">
      <c r="A1113" s="26">
        <v>43899</v>
      </c>
      <c r="B1113" s="17"/>
      <c r="C1113" s="7" t="s">
        <v>85</v>
      </c>
      <c r="D1113" s="36">
        <v>60</v>
      </c>
      <c r="E1113" s="17">
        <v>10.89</v>
      </c>
      <c r="F1113" s="17">
        <f t="shared" ref="F1113:F1114" si="408">D1113*E1113</f>
        <v>653.40000000000009</v>
      </c>
      <c r="G1113" s="17">
        <v>0.2</v>
      </c>
      <c r="H1113" s="17">
        <v>0.15</v>
      </c>
      <c r="I1113" s="17"/>
      <c r="J1113" s="17">
        <v>2.4900000000000002</v>
      </c>
      <c r="K1113" s="17">
        <f t="shared" ref="K1113:K1114" si="409">SUM(F1113:J1113)</f>
        <v>656.24000000000012</v>
      </c>
      <c r="L1113" s="17"/>
      <c r="M1113" s="17"/>
      <c r="N1113" s="17"/>
      <c r="O1113" s="17"/>
      <c r="P1113" s="17"/>
      <c r="Q1113" s="17">
        <f t="shared" si="407"/>
        <v>529.98000000000286</v>
      </c>
      <c r="R1113" s="2"/>
      <c r="S1113" s="8"/>
      <c r="T1113" s="8"/>
    </row>
    <row r="1114" spans="1:20" x14ac:dyDescent="0.25">
      <c r="A1114" s="26">
        <v>43899</v>
      </c>
      <c r="B1114" s="17"/>
      <c r="C1114" s="7" t="s">
        <v>355</v>
      </c>
      <c r="D1114" s="36">
        <v>5</v>
      </c>
      <c r="E1114" s="17">
        <v>97.65</v>
      </c>
      <c r="F1114" s="17">
        <f t="shared" si="408"/>
        <v>488.25</v>
      </c>
      <c r="G1114" s="17">
        <v>0.11</v>
      </c>
      <c r="H1114" s="17">
        <v>0.12</v>
      </c>
      <c r="I1114" s="17"/>
      <c r="J1114" s="17">
        <v>0</v>
      </c>
      <c r="K1114" s="17">
        <f t="shared" si="409"/>
        <v>488.48</v>
      </c>
      <c r="L1114" s="17"/>
      <c r="M1114" s="17"/>
      <c r="N1114" s="17"/>
      <c r="O1114" s="17"/>
      <c r="P1114" s="17"/>
      <c r="Q1114" s="17">
        <f t="shared" si="407"/>
        <v>41.500000000002842</v>
      </c>
      <c r="R1114" s="2"/>
      <c r="S1114" s="8"/>
      <c r="T1114" s="8"/>
    </row>
    <row r="1115" spans="1:20" x14ac:dyDescent="0.25">
      <c r="A1115" s="26">
        <v>43900</v>
      </c>
      <c r="B1115" s="17"/>
      <c r="C1115" s="7" t="s">
        <v>219</v>
      </c>
      <c r="D1115" s="36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>
        <v>233.31</v>
      </c>
      <c r="Q1115" s="17">
        <f t="shared" si="407"/>
        <v>274.81000000000284</v>
      </c>
      <c r="R1115" s="2"/>
      <c r="S1115" s="8"/>
      <c r="T1115" s="8"/>
    </row>
    <row r="1116" spans="1:20" x14ac:dyDescent="0.25">
      <c r="A1116" s="26">
        <v>43901</v>
      </c>
      <c r="B1116" s="17">
        <v>1000</v>
      </c>
      <c r="D1116" s="36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>
        <f t="shared" si="407"/>
        <v>1274.8100000000029</v>
      </c>
      <c r="R1116" s="2"/>
      <c r="S1116" s="8"/>
      <c r="T1116" s="8"/>
    </row>
    <row r="1117" spans="1:20" x14ac:dyDescent="0.25">
      <c r="A1117" s="26">
        <v>43901</v>
      </c>
      <c r="B1117" s="17"/>
      <c r="C1117" s="7" t="s">
        <v>221</v>
      </c>
      <c r="D1117" s="36">
        <v>12</v>
      </c>
      <c r="E1117" s="17">
        <v>10.94</v>
      </c>
      <c r="F1117" s="17">
        <f t="shared" ref="F1117:F1118" si="410">D1117*E1117</f>
        <v>131.28</v>
      </c>
      <c r="G1117" s="17">
        <v>0.15</v>
      </c>
      <c r="H1117" s="17">
        <v>0.01</v>
      </c>
      <c r="I1117" s="17"/>
      <c r="J1117" s="17">
        <v>0</v>
      </c>
      <c r="K1117" s="17">
        <f t="shared" ref="K1117:K1118" si="411">SUM(F1117:J1117)</f>
        <v>131.44</v>
      </c>
      <c r="L1117" s="17"/>
      <c r="M1117" s="17"/>
      <c r="N1117" s="17"/>
      <c r="O1117" s="17"/>
      <c r="P1117" s="17"/>
      <c r="Q1117" s="17">
        <f t="shared" si="407"/>
        <v>1143.3700000000028</v>
      </c>
      <c r="R1117" s="2"/>
      <c r="S1117" s="8"/>
      <c r="T1117" s="8"/>
    </row>
    <row r="1118" spans="1:20" x14ac:dyDescent="0.25">
      <c r="A1118" s="26">
        <v>43901</v>
      </c>
      <c r="B1118" s="17"/>
      <c r="C1118" s="7" t="s">
        <v>221</v>
      </c>
      <c r="D1118" s="36">
        <v>88</v>
      </c>
      <c r="E1118" s="17">
        <v>10.95</v>
      </c>
      <c r="F1118" s="17">
        <f t="shared" si="410"/>
        <v>963.59999999999991</v>
      </c>
      <c r="G1118" s="17">
        <v>0.15</v>
      </c>
      <c r="H1118" s="17">
        <v>0.02</v>
      </c>
      <c r="I1118" s="17"/>
      <c r="J1118" s="17">
        <v>0</v>
      </c>
      <c r="K1118" s="17">
        <f t="shared" si="411"/>
        <v>963.76999999999987</v>
      </c>
      <c r="L1118" s="17"/>
      <c r="M1118" s="17"/>
      <c r="N1118" s="17"/>
      <c r="O1118" s="17"/>
      <c r="P1118" s="17"/>
      <c r="Q1118" s="17">
        <f t="shared" si="407"/>
        <v>179.60000000000298</v>
      </c>
      <c r="R1118" s="2"/>
      <c r="S1118" s="8"/>
      <c r="T1118" s="8"/>
    </row>
    <row r="1119" spans="1:20" x14ac:dyDescent="0.25">
      <c r="A1119" s="26">
        <v>43902</v>
      </c>
      <c r="B1119" s="17">
        <v>1000</v>
      </c>
      <c r="D1119" s="36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>
        <f t="shared" si="407"/>
        <v>1179.6000000000031</v>
      </c>
      <c r="R1119" s="2"/>
      <c r="S1119" s="8"/>
      <c r="T1119" s="8"/>
    </row>
    <row r="1120" spans="1:20" x14ac:dyDescent="0.25">
      <c r="A1120" s="26">
        <v>43902</v>
      </c>
      <c r="B1120" s="17"/>
      <c r="C1120" s="7" t="s">
        <v>85</v>
      </c>
      <c r="D1120" s="36">
        <v>100</v>
      </c>
      <c r="E1120" s="17">
        <v>9.5500000000000007</v>
      </c>
      <c r="F1120" s="17">
        <f t="shared" ref="F1120" si="412">D1120*E1120</f>
        <v>955.00000000000011</v>
      </c>
      <c r="G1120" s="17">
        <v>0.26</v>
      </c>
      <c r="H1120" s="17">
        <f>0.03+0.24</f>
        <v>0.27</v>
      </c>
      <c r="I1120" s="17"/>
      <c r="J1120" s="17">
        <v>2.4900000000000002</v>
      </c>
      <c r="K1120" s="17">
        <f t="shared" ref="K1120" si="413">SUM(F1120:J1120)</f>
        <v>958.0200000000001</v>
      </c>
      <c r="L1120" s="17"/>
      <c r="M1120" s="17"/>
      <c r="N1120" s="17"/>
      <c r="O1120" s="17"/>
      <c r="P1120" s="17"/>
      <c r="Q1120" s="17">
        <f t="shared" si="407"/>
        <v>221.580000000003</v>
      </c>
      <c r="R1120" s="2"/>
      <c r="S1120" s="8"/>
      <c r="T1120" s="8"/>
    </row>
    <row r="1121" spans="1:20" x14ac:dyDescent="0.25">
      <c r="A1121" s="26">
        <v>43903</v>
      </c>
      <c r="B1121" s="17"/>
      <c r="C1121" s="7" t="s">
        <v>364</v>
      </c>
      <c r="D1121" s="36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>
        <v>98</v>
      </c>
      <c r="O1121" s="17"/>
      <c r="P1121" s="17"/>
      <c r="Q1121" s="17">
        <f t="shared" si="407"/>
        <v>319.580000000003</v>
      </c>
      <c r="R1121" s="2"/>
      <c r="S1121" s="8"/>
      <c r="T1121" s="8"/>
    </row>
    <row r="1122" spans="1:20" x14ac:dyDescent="0.25">
      <c r="A1122" s="26">
        <v>43903</v>
      </c>
      <c r="B1122" s="17"/>
      <c r="C1122" s="7" t="s">
        <v>169</v>
      </c>
      <c r="D1122" s="36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>
        <v>91.35</v>
      </c>
      <c r="O1122" s="17"/>
      <c r="P1122" s="17"/>
      <c r="Q1122" s="17">
        <f t="shared" si="407"/>
        <v>410.93000000000302</v>
      </c>
      <c r="R1122" s="2"/>
      <c r="S1122" s="8"/>
      <c r="T1122" s="8"/>
    </row>
    <row r="1123" spans="1:20" x14ac:dyDescent="0.25">
      <c r="A1123" s="26">
        <v>43903</v>
      </c>
      <c r="B1123" s="17"/>
      <c r="C1123" s="7" t="s">
        <v>173</v>
      </c>
      <c r="D1123" s="36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>
        <v>312.7</v>
      </c>
      <c r="O1123" s="17"/>
      <c r="P1123" s="17"/>
      <c r="Q1123" s="17">
        <f t="shared" si="407"/>
        <v>723.63000000000306</v>
      </c>
      <c r="R1123" s="2"/>
      <c r="S1123" s="8"/>
      <c r="T1123" s="8"/>
    </row>
    <row r="1124" spans="1:20" x14ac:dyDescent="0.25">
      <c r="A1124" s="26">
        <v>43903</v>
      </c>
      <c r="B1124" s="17"/>
      <c r="C1124" s="7" t="s">
        <v>183</v>
      </c>
      <c r="D1124" s="36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>
        <v>39.72</v>
      </c>
      <c r="O1124" s="17"/>
      <c r="P1124" s="17"/>
      <c r="Q1124" s="17">
        <f t="shared" si="407"/>
        <v>763.35000000000309</v>
      </c>
      <c r="R1124" s="2"/>
      <c r="S1124" s="8"/>
      <c r="T1124" s="8"/>
    </row>
    <row r="1125" spans="1:20" x14ac:dyDescent="0.25">
      <c r="A1125" s="26">
        <v>43903</v>
      </c>
      <c r="B1125" s="17"/>
      <c r="C1125" s="7" t="s">
        <v>181</v>
      </c>
      <c r="D1125" s="36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>
        <v>54.6</v>
      </c>
      <c r="O1125" s="17"/>
      <c r="P1125" s="17"/>
      <c r="Q1125" s="17">
        <f t="shared" si="407"/>
        <v>817.95000000000312</v>
      </c>
      <c r="R1125" s="2"/>
      <c r="S1125" s="8"/>
      <c r="T1125" s="8"/>
    </row>
    <row r="1126" spans="1:20" x14ac:dyDescent="0.25">
      <c r="A1126" s="26">
        <v>43903</v>
      </c>
      <c r="B1126" s="17"/>
      <c r="C1126" s="7" t="s">
        <v>379</v>
      </c>
      <c r="D1126" s="36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>
        <v>1.44</v>
      </c>
      <c r="O1126" s="17"/>
      <c r="P1126" s="17"/>
      <c r="Q1126" s="17">
        <f t="shared" si="407"/>
        <v>819.39000000000317</v>
      </c>
      <c r="R1126" s="2"/>
      <c r="S1126" s="8"/>
      <c r="T1126" s="8"/>
    </row>
    <row r="1127" spans="1:20" x14ac:dyDescent="0.25">
      <c r="A1127" s="26">
        <v>43903</v>
      </c>
      <c r="B1127" s="17"/>
      <c r="C1127" s="7" t="s">
        <v>184</v>
      </c>
      <c r="D1127" s="36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>
        <v>78</v>
      </c>
      <c r="O1127" s="17"/>
      <c r="P1127" s="17"/>
      <c r="Q1127" s="17">
        <f t="shared" si="407"/>
        <v>897.39000000000317</v>
      </c>
      <c r="R1127" s="2"/>
      <c r="S1127" s="8"/>
      <c r="T1127" s="8"/>
    </row>
    <row r="1128" spans="1:20" x14ac:dyDescent="0.25">
      <c r="A1128" s="26">
        <v>43903</v>
      </c>
      <c r="B1128" s="17"/>
      <c r="C1128" s="7" t="s">
        <v>377</v>
      </c>
      <c r="D1128" s="36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>
        <v>12.5</v>
      </c>
      <c r="O1128" s="17"/>
      <c r="P1128" s="17"/>
      <c r="Q1128" s="17">
        <f t="shared" si="407"/>
        <v>909.89000000000317</v>
      </c>
      <c r="R1128" s="2"/>
      <c r="S1128" s="8"/>
      <c r="T1128" s="8"/>
    </row>
    <row r="1129" spans="1:20" x14ac:dyDescent="0.25">
      <c r="A1129" s="26">
        <v>43903</v>
      </c>
      <c r="B1129" s="17"/>
      <c r="C1129" s="7" t="s">
        <v>217</v>
      </c>
      <c r="D1129" s="36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>
        <v>97.92</v>
      </c>
      <c r="O1129" s="17"/>
      <c r="P1129" s="17"/>
      <c r="Q1129" s="17">
        <f t="shared" si="407"/>
        <v>1007.8100000000031</v>
      </c>
      <c r="R1129" s="2"/>
      <c r="S1129" s="8"/>
      <c r="T1129" s="8"/>
    </row>
    <row r="1130" spans="1:20" x14ac:dyDescent="0.25">
      <c r="A1130" s="26">
        <v>43903</v>
      </c>
      <c r="B1130" s="17"/>
      <c r="C1130" s="7" t="s">
        <v>408</v>
      </c>
      <c r="D1130" s="36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>
        <v>22.57</v>
      </c>
      <c r="O1130" s="17"/>
      <c r="P1130" s="17"/>
      <c r="Q1130" s="17">
        <f t="shared" si="407"/>
        <v>1030.3800000000031</v>
      </c>
      <c r="R1130" s="2"/>
      <c r="S1130" s="8"/>
      <c r="T1130" s="8"/>
    </row>
    <row r="1131" spans="1:20" x14ac:dyDescent="0.25">
      <c r="A1131" s="26">
        <v>43903</v>
      </c>
      <c r="B1131" s="17"/>
      <c r="C1131" s="7" t="s">
        <v>267</v>
      </c>
      <c r="D1131" s="36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>
        <v>20.399999999999999</v>
      </c>
      <c r="O1131" s="17"/>
      <c r="P1131" s="17"/>
      <c r="Q1131" s="17">
        <f t="shared" si="407"/>
        <v>1050.7800000000032</v>
      </c>
      <c r="R1131" s="2"/>
      <c r="S1131" s="8"/>
      <c r="T1131" s="8"/>
    </row>
    <row r="1132" spans="1:20" x14ac:dyDescent="0.25">
      <c r="A1132" s="26">
        <v>43903</v>
      </c>
      <c r="B1132" s="17"/>
      <c r="C1132" s="7" t="s">
        <v>364</v>
      </c>
      <c r="D1132" s="36">
        <v>10</v>
      </c>
      <c r="E1132" s="17">
        <v>96.6</v>
      </c>
      <c r="F1132" s="17">
        <f t="shared" ref="F1132" si="414">D1132*E1132</f>
        <v>966</v>
      </c>
      <c r="G1132" s="17">
        <v>0.26</v>
      </c>
      <c r="H1132" s="17">
        <v>0.03</v>
      </c>
      <c r="I1132" s="17"/>
      <c r="J1132" s="17">
        <v>0</v>
      </c>
      <c r="K1132" s="17">
        <f t="shared" ref="K1132" si="415">SUM(F1132:J1132)</f>
        <v>966.29</v>
      </c>
      <c r="L1132" s="17"/>
      <c r="M1132" s="17"/>
      <c r="N1132" s="17"/>
      <c r="O1132" s="17"/>
      <c r="P1132" s="17"/>
      <c r="Q1132" s="17">
        <f t="shared" si="407"/>
        <v>84.490000000003192</v>
      </c>
      <c r="R1132" s="2"/>
      <c r="S1132" s="8"/>
      <c r="T1132" s="8"/>
    </row>
    <row r="1133" spans="1:20" x14ac:dyDescent="0.25">
      <c r="A1133" s="26">
        <v>43903</v>
      </c>
      <c r="B1133" s="17"/>
      <c r="C1133" s="7" t="s">
        <v>374</v>
      </c>
      <c r="D1133" s="36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>
        <v>42.9</v>
      </c>
      <c r="O1133" s="17"/>
      <c r="P1133" s="17"/>
      <c r="Q1133" s="17">
        <f t="shared" si="407"/>
        <v>127.3900000000032</v>
      </c>
      <c r="R1133" s="2"/>
      <c r="S1133" s="8"/>
      <c r="T1133" s="8"/>
    </row>
    <row r="1134" spans="1:20" x14ac:dyDescent="0.25">
      <c r="A1134" s="26">
        <v>43906</v>
      </c>
      <c r="B1134" s="17"/>
      <c r="C1134" s="7" t="s">
        <v>221</v>
      </c>
      <c r="D1134" s="36">
        <v>100</v>
      </c>
      <c r="E1134" s="17">
        <v>9.9600000000000009</v>
      </c>
      <c r="F1134" s="17">
        <f t="shared" ref="F1134" si="416">D1134*E1134</f>
        <v>996.00000000000011</v>
      </c>
      <c r="G1134" s="17">
        <v>0.27</v>
      </c>
      <c r="H1134" s="17">
        <v>0.03</v>
      </c>
      <c r="I1134" s="17"/>
      <c r="J1134" s="17">
        <v>0</v>
      </c>
      <c r="K1134" s="17">
        <f t="shared" ref="K1134" si="417">SUM(F1134:J1134)</f>
        <v>996.30000000000007</v>
      </c>
      <c r="L1134" s="17"/>
      <c r="M1134" s="17"/>
      <c r="N1134" s="17"/>
      <c r="O1134" s="17"/>
      <c r="P1134" s="17"/>
      <c r="Q1134" s="17">
        <f t="shared" si="407"/>
        <v>-868.9099999999969</v>
      </c>
      <c r="R1134" s="2"/>
      <c r="S1134" s="8"/>
      <c r="T1134" s="8"/>
    </row>
    <row r="1135" spans="1:20" x14ac:dyDescent="0.25">
      <c r="A1135" s="26">
        <v>43906</v>
      </c>
      <c r="B1135" s="17">
        <v>1000</v>
      </c>
      <c r="D1135" s="36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>
        <f t="shared" si="407"/>
        <v>131.0900000000031</v>
      </c>
      <c r="R1135" s="2"/>
      <c r="S1135" s="8"/>
      <c r="T1135" s="8"/>
    </row>
    <row r="1136" spans="1:20" x14ac:dyDescent="0.25">
      <c r="A1136" s="26">
        <v>43907</v>
      </c>
      <c r="B1136" s="17"/>
      <c r="C1136" s="7" t="s">
        <v>374</v>
      </c>
      <c r="D1136" s="36">
        <v>10</v>
      </c>
      <c r="E1136" s="17">
        <v>75.77</v>
      </c>
      <c r="F1136" s="17">
        <f t="shared" ref="F1136" si="418">D1136*E1136</f>
        <v>757.69999999999993</v>
      </c>
      <c r="G1136" s="17">
        <v>0.2</v>
      </c>
      <c r="H1136" s="17">
        <v>0.02</v>
      </c>
      <c r="I1136" s="17"/>
      <c r="J1136" s="17">
        <v>0</v>
      </c>
      <c r="K1136" s="17">
        <f t="shared" ref="K1136" si="419">SUM(F1136:J1136)</f>
        <v>757.92</v>
      </c>
      <c r="L1136" s="17"/>
      <c r="M1136" s="17"/>
      <c r="N1136" s="17"/>
      <c r="O1136" s="17"/>
      <c r="P1136" s="17"/>
      <c r="Q1136" s="17">
        <f t="shared" si="407"/>
        <v>-626.82999999999686</v>
      </c>
      <c r="R1136" s="2"/>
      <c r="S1136" s="8"/>
      <c r="T1136" s="8"/>
    </row>
    <row r="1137" spans="1:20" x14ac:dyDescent="0.25">
      <c r="A1137" s="26">
        <v>43907</v>
      </c>
      <c r="B1137" s="17"/>
      <c r="C1137" s="7" t="s">
        <v>220</v>
      </c>
      <c r="D1137" s="36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>
        <v>24</v>
      </c>
      <c r="O1137" s="17"/>
      <c r="P1137" s="17"/>
      <c r="Q1137" s="17">
        <f t="shared" si="407"/>
        <v>-602.82999999999686</v>
      </c>
      <c r="R1137" s="2"/>
      <c r="S1137" s="8"/>
      <c r="T1137" s="8"/>
    </row>
    <row r="1138" spans="1:20" x14ac:dyDescent="0.25">
      <c r="A1138" s="26">
        <v>43907</v>
      </c>
      <c r="B1138" s="17">
        <v>1000</v>
      </c>
      <c r="D1138" s="36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>
        <f t="shared" si="407"/>
        <v>397.17000000000314</v>
      </c>
      <c r="R1138" s="2"/>
      <c r="S1138" s="8"/>
      <c r="T1138" s="8"/>
    </row>
    <row r="1139" spans="1:20" x14ac:dyDescent="0.25">
      <c r="A1139" s="26">
        <v>43908</v>
      </c>
      <c r="B1139" s="17"/>
      <c r="C1139" s="7" t="s">
        <v>355</v>
      </c>
      <c r="D1139" s="36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>
        <v>57.75</v>
      </c>
      <c r="O1139" s="17"/>
      <c r="P1139" s="17"/>
      <c r="Q1139" s="17">
        <f t="shared" si="407"/>
        <v>454.92000000000314</v>
      </c>
      <c r="R1139" s="2"/>
      <c r="S1139" s="8"/>
      <c r="T1139" s="8"/>
    </row>
    <row r="1140" spans="1:20" x14ac:dyDescent="0.25">
      <c r="A1140" s="26">
        <v>43908</v>
      </c>
      <c r="B1140" s="17"/>
      <c r="C1140" s="7" t="s">
        <v>221</v>
      </c>
      <c r="D1140" s="36">
        <v>45</v>
      </c>
      <c r="E1140" s="17">
        <v>9.69</v>
      </c>
      <c r="F1140" s="17">
        <f t="shared" ref="F1140" si="420">D1140*E1140</f>
        <v>436.04999999999995</v>
      </c>
      <c r="G1140" s="17">
        <v>0.11</v>
      </c>
      <c r="H1140" s="17">
        <v>0.01</v>
      </c>
      <c r="I1140" s="17"/>
      <c r="J1140" s="17">
        <v>0</v>
      </c>
      <c r="K1140" s="17">
        <f t="shared" ref="K1140" si="421">SUM(F1140:J1140)</f>
        <v>436.16999999999996</v>
      </c>
      <c r="L1140" s="17"/>
      <c r="M1140" s="17"/>
      <c r="N1140" s="17"/>
      <c r="O1140" s="17"/>
      <c r="P1140" s="17"/>
      <c r="Q1140" s="17">
        <f t="shared" si="407"/>
        <v>18.750000000003183</v>
      </c>
      <c r="R1140" s="2"/>
      <c r="S1140" s="8"/>
      <c r="T1140" s="8"/>
    </row>
    <row r="1141" spans="1:20" x14ac:dyDescent="0.25">
      <c r="A1141" s="26">
        <v>43910</v>
      </c>
      <c r="B1141" s="17"/>
      <c r="C1141" s="7" t="s">
        <v>383</v>
      </c>
      <c r="D1141" s="36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>
        <v>21.57</v>
      </c>
      <c r="O1141" s="17"/>
      <c r="P1141" s="17"/>
      <c r="Q1141" s="17">
        <f t="shared" si="407"/>
        <v>40.320000000003184</v>
      </c>
      <c r="R1141" s="2"/>
      <c r="S1141" s="8"/>
      <c r="T1141" s="8"/>
    </row>
    <row r="1142" spans="1:20" x14ac:dyDescent="0.25">
      <c r="A1142" s="26">
        <v>43910</v>
      </c>
      <c r="B1142" s="17">
        <v>2000</v>
      </c>
      <c r="D1142" s="36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>
        <f t="shared" si="407"/>
        <v>2040.3200000000031</v>
      </c>
      <c r="R1142" s="2"/>
      <c r="S1142" s="8"/>
      <c r="T1142" s="8"/>
    </row>
    <row r="1143" spans="1:20" x14ac:dyDescent="0.25">
      <c r="A1143" s="26">
        <v>43910</v>
      </c>
      <c r="B1143" s="17"/>
      <c r="C1143" s="7" t="s">
        <v>415</v>
      </c>
      <c r="D1143" s="36"/>
      <c r="E1143" s="17"/>
      <c r="F1143" s="17"/>
      <c r="G1143" s="17"/>
      <c r="H1143" s="17"/>
      <c r="I1143" s="17"/>
      <c r="J1143" s="17"/>
      <c r="K1143" s="17">
        <v>992.92</v>
      </c>
      <c r="L1143" s="17"/>
      <c r="M1143" s="17"/>
      <c r="N1143" s="17"/>
      <c r="O1143" s="17"/>
      <c r="P1143" s="17"/>
      <c r="Q1143" s="17">
        <f t="shared" si="407"/>
        <v>1047.4000000000033</v>
      </c>
      <c r="R1143" s="2"/>
      <c r="S1143" s="8"/>
      <c r="T1143" s="8"/>
    </row>
    <row r="1144" spans="1:20" x14ac:dyDescent="0.25">
      <c r="A1144" s="26">
        <v>43910</v>
      </c>
      <c r="B1144" s="17"/>
      <c r="C1144" s="7" t="s">
        <v>415</v>
      </c>
      <c r="D1144" s="36"/>
      <c r="E1144" s="17"/>
      <c r="F1144" s="17"/>
      <c r="G1144" s="17"/>
      <c r="H1144" s="17"/>
      <c r="I1144" s="17"/>
      <c r="J1144" s="17"/>
      <c r="K1144" s="17">
        <v>401.8</v>
      </c>
      <c r="L1144" s="17"/>
      <c r="M1144" s="17"/>
      <c r="N1144" s="17"/>
      <c r="O1144" s="17"/>
      <c r="P1144" s="17"/>
      <c r="Q1144" s="17">
        <f t="shared" si="407"/>
        <v>645.60000000000332</v>
      </c>
      <c r="R1144" s="2"/>
      <c r="S1144" s="8"/>
      <c r="T1144" s="8"/>
    </row>
    <row r="1145" spans="1:20" x14ac:dyDescent="0.25">
      <c r="A1145" s="26">
        <v>43910</v>
      </c>
      <c r="B1145" s="17"/>
      <c r="C1145" s="7" t="s">
        <v>374</v>
      </c>
      <c r="D1145" s="36">
        <v>10</v>
      </c>
      <c r="E1145" s="17">
        <v>61.99</v>
      </c>
      <c r="F1145" s="17">
        <f t="shared" ref="F1145" si="422">D1145*E1145</f>
        <v>619.9</v>
      </c>
      <c r="G1145" s="17">
        <v>0.17</v>
      </c>
      <c r="H1145" s="17">
        <v>0.02</v>
      </c>
      <c r="I1145" s="17"/>
      <c r="J1145" s="17">
        <v>0</v>
      </c>
      <c r="K1145" s="17">
        <f t="shared" ref="K1145" si="423">SUM(F1145:J1145)</f>
        <v>620.08999999999992</v>
      </c>
      <c r="L1145" s="17"/>
      <c r="M1145" s="17"/>
      <c r="N1145" s="17"/>
      <c r="O1145" s="17"/>
      <c r="P1145" s="17"/>
      <c r="Q1145" s="17">
        <f t="shared" si="407"/>
        <v>25.510000000003402</v>
      </c>
      <c r="R1145" s="2"/>
      <c r="S1145" s="8"/>
      <c r="T1145" s="8"/>
    </row>
    <row r="1146" spans="1:20" x14ac:dyDescent="0.25">
      <c r="A1146" s="26">
        <v>43914</v>
      </c>
      <c r="B1146" s="17">
        <v>1000</v>
      </c>
      <c r="D1146" s="36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>
        <f t="shared" si="407"/>
        <v>1025.5100000000034</v>
      </c>
      <c r="R1146" s="2"/>
      <c r="S1146" s="8"/>
      <c r="T1146" s="8"/>
    </row>
    <row r="1147" spans="1:20" x14ac:dyDescent="0.25">
      <c r="A1147" s="26">
        <v>43914</v>
      </c>
      <c r="B1147" s="17"/>
      <c r="C1147" s="7" t="s">
        <v>221</v>
      </c>
      <c r="D1147" s="36">
        <v>35</v>
      </c>
      <c r="E1147" s="17">
        <v>8.99</v>
      </c>
      <c r="F1147" s="17">
        <f t="shared" ref="F1147:F1148" si="424">D1147*E1147</f>
        <v>314.65000000000003</v>
      </c>
      <c r="G1147" s="17">
        <v>0.12</v>
      </c>
      <c r="H1147" s="17">
        <v>0.01</v>
      </c>
      <c r="I1147" s="17"/>
      <c r="J1147" s="17">
        <v>0</v>
      </c>
      <c r="K1147" s="17">
        <f t="shared" ref="K1147:K1148" si="425">SUM(F1147:J1147)</f>
        <v>314.78000000000003</v>
      </c>
      <c r="L1147" s="17"/>
      <c r="M1147" s="17"/>
      <c r="N1147" s="17"/>
      <c r="O1147" s="17"/>
      <c r="P1147" s="17"/>
      <c r="Q1147" s="17">
        <f t="shared" si="407"/>
        <v>710.73000000000343</v>
      </c>
      <c r="R1147" s="2"/>
      <c r="S1147" s="8"/>
      <c r="T1147" s="8"/>
    </row>
    <row r="1148" spans="1:20" x14ac:dyDescent="0.25">
      <c r="A1148" s="26">
        <v>43914</v>
      </c>
      <c r="B1148" s="17"/>
      <c r="C1148" s="7" t="s">
        <v>355</v>
      </c>
      <c r="D1148" s="36">
        <v>10</v>
      </c>
      <c r="E1148" s="17">
        <v>69.52</v>
      </c>
      <c r="F1148" s="17">
        <f t="shared" si="424"/>
        <v>695.19999999999993</v>
      </c>
      <c r="G1148" s="17">
        <v>0.15</v>
      </c>
      <c r="H1148" s="17">
        <v>0.02</v>
      </c>
      <c r="I1148" s="17"/>
      <c r="J1148" s="17">
        <v>0</v>
      </c>
      <c r="K1148" s="17">
        <f t="shared" si="425"/>
        <v>695.36999999999989</v>
      </c>
      <c r="L1148" s="17"/>
      <c r="M1148" s="17"/>
      <c r="N1148" s="17"/>
      <c r="O1148" s="17"/>
      <c r="P1148" s="17"/>
      <c r="Q1148" s="17">
        <f t="shared" si="407"/>
        <v>15.360000000003538</v>
      </c>
      <c r="R1148" s="2"/>
      <c r="S1148" s="8"/>
      <c r="T1148" s="8"/>
    </row>
    <row r="1149" spans="1:20" x14ac:dyDescent="0.25">
      <c r="A1149" s="26">
        <v>43916</v>
      </c>
      <c r="B1149" s="17">
        <v>1000</v>
      </c>
      <c r="D1149" s="36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>
        <f t="shared" si="407"/>
        <v>1015.3600000000035</v>
      </c>
      <c r="R1149" s="2"/>
      <c r="S1149" s="8"/>
      <c r="T1149" s="8"/>
    </row>
    <row r="1150" spans="1:20" x14ac:dyDescent="0.25">
      <c r="A1150" s="26">
        <v>43916</v>
      </c>
      <c r="B1150" s="17"/>
      <c r="C1150" s="7" t="s">
        <v>408</v>
      </c>
      <c r="D1150" s="36">
        <v>10</v>
      </c>
      <c r="E1150" s="17">
        <v>52</v>
      </c>
      <c r="F1150" s="17">
        <f t="shared" ref="F1150" si="426">D1150*E1150</f>
        <v>520</v>
      </c>
      <c r="G1150" s="17">
        <v>0.14000000000000001</v>
      </c>
      <c r="H1150" s="17">
        <v>0.01</v>
      </c>
      <c r="I1150" s="17"/>
      <c r="J1150" s="17">
        <v>0</v>
      </c>
      <c r="K1150" s="17">
        <f t="shared" ref="K1150" si="427">SUM(F1150:J1150)</f>
        <v>520.15</v>
      </c>
      <c r="L1150" s="17"/>
      <c r="M1150" s="17"/>
      <c r="N1150" s="17"/>
      <c r="O1150" s="17"/>
      <c r="P1150" s="17"/>
      <c r="Q1150" s="17">
        <f t="shared" si="407"/>
        <v>495.21000000000356</v>
      </c>
      <c r="R1150" s="2"/>
      <c r="S1150" s="8"/>
      <c r="T1150" s="8"/>
    </row>
    <row r="1151" spans="1:20" x14ac:dyDescent="0.25">
      <c r="A1151" s="26">
        <v>43917</v>
      </c>
      <c r="B1151" s="17">
        <v>1000</v>
      </c>
      <c r="D1151" s="36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>
        <f t="shared" si="407"/>
        <v>1495.2100000000037</v>
      </c>
      <c r="R1151" s="2"/>
      <c r="S1151" s="8"/>
      <c r="T1151" s="8"/>
    </row>
    <row r="1152" spans="1:20" x14ac:dyDescent="0.25">
      <c r="A1152" s="26">
        <v>43917</v>
      </c>
      <c r="B1152" s="17"/>
      <c r="C1152" s="7" t="s">
        <v>374</v>
      </c>
      <c r="D1152" s="36">
        <v>10</v>
      </c>
      <c r="E1152" s="17">
        <v>68.900000000000006</v>
      </c>
      <c r="F1152" s="17">
        <f t="shared" ref="F1152" si="428">D1152*E1152</f>
        <v>689</v>
      </c>
      <c r="G1152" s="17">
        <v>0.18</v>
      </c>
      <c r="H1152" s="17">
        <v>0.02</v>
      </c>
      <c r="I1152" s="17"/>
      <c r="J1152" s="17">
        <v>0</v>
      </c>
      <c r="K1152" s="17">
        <f t="shared" ref="K1152" si="429">SUM(F1152:J1152)</f>
        <v>689.19999999999993</v>
      </c>
      <c r="L1152" s="17"/>
      <c r="M1152" s="17"/>
      <c r="N1152" s="17"/>
      <c r="O1152" s="17"/>
      <c r="P1152" s="17"/>
      <c r="Q1152" s="17">
        <f t="shared" si="407"/>
        <v>806.01000000000374</v>
      </c>
      <c r="R1152" s="2"/>
      <c r="S1152" s="8"/>
      <c r="T1152" s="8"/>
    </row>
    <row r="1153" spans="1:20" x14ac:dyDescent="0.25">
      <c r="A1153" s="26">
        <v>43920</v>
      </c>
      <c r="B1153" s="17"/>
      <c r="C1153" s="7" t="s">
        <v>405</v>
      </c>
      <c r="D1153" s="36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>
        <v>62.96</v>
      </c>
      <c r="Q1153" s="17">
        <f t="shared" si="407"/>
        <v>868.97000000000378</v>
      </c>
      <c r="R1153" s="2"/>
      <c r="S1153" s="8"/>
      <c r="T1153" s="8"/>
    </row>
    <row r="1154" spans="1:20" x14ac:dyDescent="0.25">
      <c r="A1154" s="26">
        <v>43921</v>
      </c>
      <c r="B1154" s="17"/>
      <c r="C1154" s="7" t="s">
        <v>5</v>
      </c>
      <c r="D1154" s="36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>
        <v>15.42</v>
      </c>
      <c r="Q1154" s="17">
        <f t="shared" si="407"/>
        <v>884.39000000000374</v>
      </c>
      <c r="R1154" s="2"/>
      <c r="S1154" s="8"/>
      <c r="T1154" s="8"/>
    </row>
    <row r="1155" spans="1:20" x14ac:dyDescent="0.25">
      <c r="A1155" s="26">
        <v>43921</v>
      </c>
      <c r="B1155" s="17"/>
      <c r="C1155" s="7" t="s">
        <v>180</v>
      </c>
      <c r="D1155" s="36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>
        <v>15.42</v>
      </c>
      <c r="O1155" s="17"/>
      <c r="P1155" s="17"/>
      <c r="Q1155" s="17">
        <f t="shared" si="407"/>
        <v>899.8100000000037</v>
      </c>
      <c r="R1155" s="2"/>
      <c r="S1155" s="8"/>
      <c r="T1155" s="8"/>
    </row>
    <row r="1156" spans="1:20" x14ac:dyDescent="0.25">
      <c r="A1156" s="26">
        <v>43921</v>
      </c>
      <c r="B1156" s="17">
        <v>1000</v>
      </c>
      <c r="D1156" s="36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>
        <f t="shared" si="407"/>
        <v>1899.8100000000036</v>
      </c>
      <c r="R1156" s="2"/>
      <c r="S1156" s="8"/>
      <c r="T1156" s="8"/>
    </row>
    <row r="1157" spans="1:20" x14ac:dyDescent="0.25">
      <c r="A1157" s="26">
        <v>43921</v>
      </c>
      <c r="B1157" s="17"/>
      <c r="C1157" s="7" t="s">
        <v>405</v>
      </c>
      <c r="D1157" s="36">
        <v>100</v>
      </c>
      <c r="E1157" s="17">
        <v>11.93</v>
      </c>
      <c r="F1157" s="17">
        <f t="shared" ref="F1157" si="430">D1157*E1157</f>
        <v>1193</v>
      </c>
      <c r="G1157" s="17">
        <f>0.32+0.24</f>
        <v>0.56000000000000005</v>
      </c>
      <c r="H1157" s="17">
        <v>0.03</v>
      </c>
      <c r="I1157" s="17"/>
      <c r="J1157" s="17">
        <v>2.4900000000000002</v>
      </c>
      <c r="K1157" s="17">
        <f t="shared" ref="K1157" si="431">SUM(F1157:J1157)</f>
        <v>1196.08</v>
      </c>
      <c r="L1157" s="17"/>
      <c r="M1157" s="17"/>
      <c r="N1157" s="17"/>
      <c r="O1157" s="17"/>
      <c r="P1157" s="17"/>
      <c r="Q1157" s="17">
        <f t="shared" si="407"/>
        <v>703.73000000000366</v>
      </c>
      <c r="R1157" s="2"/>
      <c r="S1157" s="8"/>
      <c r="T1157" s="8"/>
    </row>
    <row r="1158" spans="1:20" x14ac:dyDescent="0.25">
      <c r="A1158" s="26">
        <v>43922</v>
      </c>
      <c r="B1158" s="17"/>
      <c r="C1158" s="7" t="s">
        <v>85</v>
      </c>
      <c r="D1158" s="36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>
        <v>52</v>
      </c>
      <c r="P1158" s="17"/>
      <c r="Q1158" s="17">
        <f t="shared" si="407"/>
        <v>755.73000000000366</v>
      </c>
      <c r="R1158" s="2"/>
      <c r="S1158" s="8"/>
      <c r="T1158" s="8"/>
    </row>
    <row r="1159" spans="1:20" x14ac:dyDescent="0.25">
      <c r="A1159" s="26">
        <v>43923</v>
      </c>
      <c r="B1159" s="17"/>
      <c r="C1159" s="7" t="s">
        <v>169</v>
      </c>
      <c r="D1159" s="36">
        <v>8</v>
      </c>
      <c r="E1159" s="17">
        <v>90.3</v>
      </c>
      <c r="F1159" s="17">
        <f t="shared" ref="F1159" si="432">D1159*E1159</f>
        <v>722.4</v>
      </c>
      <c r="G1159" s="17">
        <v>0.19</v>
      </c>
      <c r="H1159" s="17">
        <v>0.02</v>
      </c>
      <c r="I1159" s="17"/>
      <c r="J1159" s="17">
        <v>0</v>
      </c>
      <c r="K1159" s="17">
        <f t="shared" ref="K1159" si="433">SUM(F1159:J1159)</f>
        <v>722.61</v>
      </c>
      <c r="L1159" s="17"/>
      <c r="M1159" s="17"/>
      <c r="N1159" s="17"/>
      <c r="O1159" s="17"/>
      <c r="P1159" s="17"/>
      <c r="Q1159" s="17">
        <f t="shared" si="407"/>
        <v>33.120000000003643</v>
      </c>
      <c r="R1159" s="2"/>
      <c r="S1159" s="8"/>
      <c r="T1159" s="8"/>
    </row>
    <row r="1160" spans="1:20" x14ac:dyDescent="0.25">
      <c r="A1160" s="26">
        <v>43924</v>
      </c>
      <c r="B1160" s="17">
        <v>1000</v>
      </c>
      <c r="D1160" s="36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>
        <f t="shared" si="407"/>
        <v>1033.1200000000035</v>
      </c>
      <c r="R1160" s="2"/>
      <c r="S1160" s="8"/>
      <c r="T1160" s="8"/>
    </row>
    <row r="1161" spans="1:20" x14ac:dyDescent="0.25">
      <c r="A1161" s="26">
        <v>43924</v>
      </c>
      <c r="B1161" s="17"/>
      <c r="C1161" s="7" t="s">
        <v>415</v>
      </c>
      <c r="D1161" s="36"/>
      <c r="E1161" s="17"/>
      <c r="F1161" s="17"/>
      <c r="G1161" s="17"/>
      <c r="H1161" s="17"/>
      <c r="I1161" s="17"/>
      <c r="J1161" s="17"/>
      <c r="K1161" s="17">
        <v>990.9</v>
      </c>
      <c r="L1161" s="17"/>
      <c r="M1161" s="17"/>
      <c r="N1161" s="17"/>
      <c r="O1161" s="17"/>
      <c r="P1161" s="17"/>
      <c r="Q1161" s="17">
        <f t="shared" si="407"/>
        <v>42.220000000003552</v>
      </c>
      <c r="R1161" s="2"/>
      <c r="S1161" s="8"/>
      <c r="T1161" s="8"/>
    </row>
    <row r="1162" spans="1:20" x14ac:dyDescent="0.25">
      <c r="A1162" s="26">
        <v>43928</v>
      </c>
      <c r="B1162" s="17"/>
      <c r="C1162" s="7" t="s">
        <v>222</v>
      </c>
      <c r="D1162" s="36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>
        <v>77.5</v>
      </c>
      <c r="O1162" s="17"/>
      <c r="P1162" s="17"/>
      <c r="Q1162" s="17">
        <f t="shared" si="407"/>
        <v>119.72000000000355</v>
      </c>
      <c r="R1162" s="2"/>
      <c r="S1162" s="8"/>
      <c r="T1162" s="8"/>
    </row>
    <row r="1163" spans="1:20" x14ac:dyDescent="0.25">
      <c r="A1163" s="26">
        <v>43929</v>
      </c>
      <c r="B1163" s="17">
        <v>1000</v>
      </c>
      <c r="D1163" s="36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>
        <f t="shared" si="407"/>
        <v>1119.7200000000034</v>
      </c>
      <c r="R1163" s="2"/>
      <c r="S1163" s="8"/>
      <c r="T1163" s="8"/>
    </row>
    <row r="1164" spans="1:20" x14ac:dyDescent="0.25">
      <c r="A1164" s="26">
        <v>43929</v>
      </c>
      <c r="B1164" s="17"/>
      <c r="C1164" s="7" t="s">
        <v>173</v>
      </c>
      <c r="D1164" s="36">
        <v>10</v>
      </c>
      <c r="E1164" s="17">
        <v>79.150000000000006</v>
      </c>
      <c r="F1164" s="17">
        <f t="shared" ref="F1164" si="434">D1164*E1164</f>
        <v>791.5</v>
      </c>
      <c r="G1164" s="17">
        <v>0.21</v>
      </c>
      <c r="H1164" s="17">
        <v>0.02</v>
      </c>
      <c r="I1164" s="17"/>
      <c r="J1164" s="17">
        <v>0</v>
      </c>
      <c r="K1164" s="17">
        <f t="shared" ref="K1164" si="435">SUM(F1164:J1164)</f>
        <v>791.73</v>
      </c>
      <c r="L1164" s="17"/>
      <c r="M1164" s="17"/>
      <c r="N1164" s="17"/>
      <c r="O1164" s="17"/>
      <c r="P1164" s="17"/>
      <c r="Q1164" s="17">
        <f t="shared" si="407"/>
        <v>327.99000000000342</v>
      </c>
      <c r="R1164" s="2"/>
      <c r="S1164" s="8"/>
      <c r="T1164" s="8"/>
    </row>
    <row r="1165" spans="1:20" x14ac:dyDescent="0.25">
      <c r="A1165" s="26">
        <v>43929</v>
      </c>
      <c r="B1165" s="17"/>
      <c r="C1165" s="7" t="s">
        <v>234</v>
      </c>
      <c r="D1165" s="36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>
        <v>30.4</v>
      </c>
      <c r="O1165" s="17"/>
      <c r="P1165" s="17"/>
      <c r="Q1165" s="17">
        <f t="shared" si="407"/>
        <v>358.3900000000034</v>
      </c>
      <c r="R1165" s="2"/>
      <c r="S1165" s="8"/>
      <c r="T1165" s="8"/>
    </row>
    <row r="1166" spans="1:20" x14ac:dyDescent="0.25">
      <c r="A1166" s="26">
        <v>43929</v>
      </c>
      <c r="B1166" s="17"/>
      <c r="C1166" s="7" t="s">
        <v>186</v>
      </c>
      <c r="D1166" s="36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>
        <f>75+56</f>
        <v>131</v>
      </c>
      <c r="O1166" s="17"/>
      <c r="P1166" s="17"/>
      <c r="Q1166" s="17">
        <f t="shared" si="407"/>
        <v>489.3900000000034</v>
      </c>
      <c r="R1166" s="2"/>
      <c r="S1166" s="8"/>
      <c r="T1166" s="8"/>
    </row>
    <row r="1167" spans="1:20" x14ac:dyDescent="0.25">
      <c r="A1167" s="26">
        <v>43935</v>
      </c>
      <c r="B1167" s="17"/>
      <c r="C1167" s="7" t="s">
        <v>407</v>
      </c>
      <c r="D1167" s="36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>
        <v>3</v>
      </c>
      <c r="O1167" s="17"/>
      <c r="P1167" s="17"/>
      <c r="Q1167" s="17">
        <f t="shared" si="407"/>
        <v>492.3900000000034</v>
      </c>
      <c r="R1167" s="2"/>
      <c r="S1167" s="8"/>
      <c r="T1167" s="8"/>
    </row>
    <row r="1168" spans="1:20" x14ac:dyDescent="0.25">
      <c r="A1168" s="26">
        <v>43935</v>
      </c>
      <c r="B1168" s="17"/>
      <c r="C1168" s="7" t="s">
        <v>408</v>
      </c>
      <c r="D1168" s="36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>
        <v>26.27</v>
      </c>
      <c r="O1168" s="17"/>
      <c r="P1168" s="17"/>
      <c r="Q1168" s="17">
        <f t="shared" si="407"/>
        <v>518.66000000000338</v>
      </c>
      <c r="R1168" s="2"/>
      <c r="S1168" s="8"/>
      <c r="T1168" s="8"/>
    </row>
    <row r="1169" spans="1:20" x14ac:dyDescent="0.25">
      <c r="A1169" s="26">
        <v>43935</v>
      </c>
      <c r="B1169" s="17"/>
      <c r="C1169" s="7" t="s">
        <v>221</v>
      </c>
      <c r="D1169" s="36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>
        <v>137.76</v>
      </c>
      <c r="O1169" s="17"/>
      <c r="P1169" s="17"/>
      <c r="Q1169" s="17">
        <f t="shared" si="407"/>
        <v>656.42000000000337</v>
      </c>
      <c r="R1169" s="2"/>
      <c r="S1169" s="8"/>
      <c r="T1169" s="8"/>
    </row>
    <row r="1170" spans="1:20" x14ac:dyDescent="0.25">
      <c r="A1170" s="26">
        <v>43935</v>
      </c>
      <c r="B1170" s="17"/>
      <c r="C1170" s="7" t="s">
        <v>169</v>
      </c>
      <c r="D1170" s="36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>
        <v>43.5</v>
      </c>
      <c r="O1170" s="17"/>
      <c r="P1170" s="17"/>
      <c r="Q1170" s="17">
        <f t="shared" si="407"/>
        <v>699.92000000000337</v>
      </c>
      <c r="R1170" s="2"/>
      <c r="S1170" s="8"/>
      <c r="T1170" s="8"/>
    </row>
    <row r="1171" spans="1:20" x14ac:dyDescent="0.25">
      <c r="A1171" s="26">
        <v>43935</v>
      </c>
      <c r="B1171" s="17"/>
      <c r="C1171" s="7" t="s">
        <v>217</v>
      </c>
      <c r="D1171" s="36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>
        <v>88.74</v>
      </c>
      <c r="O1171" s="17"/>
      <c r="P1171" s="17"/>
      <c r="Q1171" s="17">
        <f t="shared" si="407"/>
        <v>788.66000000000338</v>
      </c>
      <c r="R1171" s="2"/>
      <c r="S1171" s="8"/>
      <c r="T1171" s="8"/>
    </row>
    <row r="1172" spans="1:20" x14ac:dyDescent="0.25">
      <c r="A1172" s="26">
        <v>43936</v>
      </c>
      <c r="B1172" s="17"/>
      <c r="C1172" s="7" t="s">
        <v>364</v>
      </c>
      <c r="D1172" s="36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>
        <v>75.599999999999994</v>
      </c>
      <c r="O1172" s="17"/>
      <c r="P1172" s="17"/>
      <c r="Q1172" s="17">
        <f t="shared" si="407"/>
        <v>864.2600000000034</v>
      </c>
      <c r="R1172" s="2"/>
      <c r="S1172" s="8"/>
      <c r="T1172" s="8"/>
    </row>
    <row r="1173" spans="1:20" x14ac:dyDescent="0.25">
      <c r="A1173" s="26">
        <v>43936</v>
      </c>
      <c r="B1173" s="17"/>
      <c r="C1173" s="7" t="s">
        <v>181</v>
      </c>
      <c r="D1173" s="36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>
        <v>48.3</v>
      </c>
      <c r="O1173" s="17"/>
      <c r="P1173" s="17"/>
      <c r="Q1173" s="17">
        <f t="shared" si="407"/>
        <v>912.56000000000336</v>
      </c>
      <c r="R1173" s="2"/>
      <c r="S1173" s="8"/>
      <c r="T1173" s="8"/>
    </row>
    <row r="1174" spans="1:20" x14ac:dyDescent="0.25">
      <c r="A1174" s="26">
        <v>43936</v>
      </c>
      <c r="B1174" s="17"/>
      <c r="C1174" s="7" t="s">
        <v>374</v>
      </c>
      <c r="D1174" s="36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>
        <v>28.8</v>
      </c>
      <c r="O1174" s="17"/>
      <c r="P1174" s="17"/>
      <c r="Q1174" s="17">
        <f t="shared" si="407"/>
        <v>941.36000000000331</v>
      </c>
      <c r="R1174" s="2"/>
      <c r="S1174" s="8"/>
      <c r="T1174" s="8"/>
    </row>
    <row r="1175" spans="1:20" x14ac:dyDescent="0.25">
      <c r="A1175" s="26">
        <v>43936</v>
      </c>
      <c r="B1175" s="17"/>
      <c r="C1175" s="7" t="s">
        <v>377</v>
      </c>
      <c r="D1175" s="36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>
        <v>10</v>
      </c>
      <c r="O1175" s="17"/>
      <c r="P1175" s="17"/>
      <c r="Q1175" s="17">
        <f t="shared" ref="Q1175:Q1259" si="436">Q1174+B1175-K1175-L1175-M1175+N1175+O1175+P1175</f>
        <v>951.36000000000331</v>
      </c>
      <c r="R1175" s="2"/>
      <c r="S1175" s="8"/>
      <c r="T1175" s="8"/>
    </row>
    <row r="1176" spans="1:20" x14ac:dyDescent="0.25">
      <c r="A1176" s="26">
        <v>43936</v>
      </c>
      <c r="B1176" s="17"/>
      <c r="C1176" s="7" t="s">
        <v>267</v>
      </c>
      <c r="D1176" s="36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>
        <v>20.399999999999999</v>
      </c>
      <c r="O1176" s="17"/>
      <c r="P1176" s="17"/>
      <c r="Q1176" s="17">
        <f t="shared" si="436"/>
        <v>971.76000000000329</v>
      </c>
      <c r="R1176" s="2"/>
      <c r="S1176" s="8"/>
      <c r="T1176" s="8"/>
    </row>
    <row r="1177" spans="1:20" x14ac:dyDescent="0.25">
      <c r="A1177" s="26">
        <v>43936</v>
      </c>
      <c r="B1177" s="17"/>
      <c r="C1177" s="7" t="s">
        <v>184</v>
      </c>
      <c r="D1177" s="36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>
        <v>20</v>
      </c>
      <c r="O1177" s="17"/>
      <c r="P1177" s="17"/>
      <c r="Q1177" s="17">
        <f t="shared" si="436"/>
        <v>991.76000000000329</v>
      </c>
      <c r="R1177" s="2"/>
      <c r="S1177" s="8"/>
      <c r="T1177" s="8"/>
    </row>
    <row r="1178" spans="1:20" x14ac:dyDescent="0.25">
      <c r="A1178" s="26">
        <v>43936</v>
      </c>
      <c r="B1178" s="17"/>
      <c r="C1178" s="7" t="s">
        <v>173</v>
      </c>
      <c r="D1178" s="36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>
        <v>242</v>
      </c>
      <c r="O1178" s="17"/>
      <c r="P1178" s="17"/>
      <c r="Q1178" s="17">
        <f t="shared" si="436"/>
        <v>1233.7600000000034</v>
      </c>
      <c r="R1178" s="2"/>
      <c r="S1178" s="8"/>
      <c r="T1178" s="8"/>
    </row>
    <row r="1179" spans="1:20" x14ac:dyDescent="0.25">
      <c r="A1179" s="26">
        <v>43936</v>
      </c>
      <c r="B1179" s="17"/>
      <c r="C1179" s="7" t="s">
        <v>220</v>
      </c>
      <c r="D1179" s="36">
        <v>10</v>
      </c>
      <c r="E1179" s="17">
        <v>92.68</v>
      </c>
      <c r="F1179" s="17">
        <f t="shared" ref="F1179" si="437">D1179*E1179</f>
        <v>926.80000000000007</v>
      </c>
      <c r="G1179" s="17">
        <v>0.25</v>
      </c>
      <c r="H1179" s="17">
        <v>0.02</v>
      </c>
      <c r="I1179" s="17"/>
      <c r="J1179" s="17">
        <v>0</v>
      </c>
      <c r="K1179" s="17">
        <f t="shared" ref="K1179" si="438">SUM(F1179:J1179)</f>
        <v>927.07</v>
      </c>
      <c r="L1179" s="17"/>
      <c r="M1179" s="17"/>
      <c r="N1179" s="17"/>
      <c r="O1179" s="17"/>
      <c r="P1179" s="17"/>
      <c r="Q1179" s="17">
        <f t="shared" si="436"/>
        <v>306.69000000000335</v>
      </c>
      <c r="R1179" s="2"/>
      <c r="S1179" s="8"/>
      <c r="T1179" s="8"/>
    </row>
    <row r="1180" spans="1:20" x14ac:dyDescent="0.25">
      <c r="A1180" s="26">
        <v>43938</v>
      </c>
      <c r="B1180" s="17"/>
      <c r="C1180" s="7" t="s">
        <v>220</v>
      </c>
      <c r="D1180" s="36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>
        <v>22</v>
      </c>
      <c r="O1180" s="17"/>
      <c r="P1180" s="17"/>
      <c r="Q1180" s="17">
        <f t="shared" si="436"/>
        <v>328.69000000000335</v>
      </c>
      <c r="R1180" s="2"/>
      <c r="S1180" s="8"/>
      <c r="T1180" s="8"/>
    </row>
    <row r="1181" spans="1:20" x14ac:dyDescent="0.25">
      <c r="A1181" s="26">
        <v>43941</v>
      </c>
      <c r="B1181" s="17"/>
      <c r="C1181" s="7" t="s">
        <v>355</v>
      </c>
      <c r="D1181" s="36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>
        <v>60.45</v>
      </c>
      <c r="O1181" s="17"/>
      <c r="P1181" s="17"/>
      <c r="Q1181" s="17">
        <f t="shared" si="436"/>
        <v>389.14000000000334</v>
      </c>
      <c r="R1181" s="2"/>
      <c r="S1181" s="8"/>
      <c r="T1181" s="8"/>
    </row>
    <row r="1182" spans="1:20" x14ac:dyDescent="0.25">
      <c r="A1182" s="26">
        <v>43943</v>
      </c>
      <c r="B1182" s="17">
        <v>1000</v>
      </c>
      <c r="D1182" s="36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>
        <f t="shared" si="436"/>
        <v>1389.1400000000033</v>
      </c>
      <c r="R1182" s="2"/>
      <c r="S1182" s="8"/>
      <c r="T1182" s="8"/>
    </row>
    <row r="1183" spans="1:20" x14ac:dyDescent="0.25">
      <c r="A1183" s="26">
        <v>43943</v>
      </c>
      <c r="B1183" s="17"/>
      <c r="C1183" s="7" t="s">
        <v>408</v>
      </c>
      <c r="D1183" s="36">
        <v>10</v>
      </c>
      <c r="E1183" s="17">
        <v>52.44</v>
      </c>
      <c r="F1183" s="17">
        <f t="shared" ref="F1183" si="439">D1183*E1183</f>
        <v>524.4</v>
      </c>
      <c r="G1183" s="17">
        <v>0.14000000000000001</v>
      </c>
      <c r="H1183" s="17">
        <v>0.01</v>
      </c>
      <c r="I1183" s="17"/>
      <c r="J1183" s="17">
        <v>0</v>
      </c>
      <c r="K1183" s="17">
        <f t="shared" ref="K1183" si="440">SUM(F1183:J1183)</f>
        <v>524.54999999999995</v>
      </c>
      <c r="L1183" s="17"/>
      <c r="M1183" s="17"/>
      <c r="N1183" s="17"/>
      <c r="O1183" s="17"/>
      <c r="P1183" s="17"/>
      <c r="Q1183" s="17">
        <f t="shared" si="436"/>
        <v>864.59000000000333</v>
      </c>
      <c r="R1183" s="2"/>
      <c r="S1183" s="8"/>
      <c r="T1183" s="8"/>
    </row>
    <row r="1184" spans="1:20" x14ac:dyDescent="0.25">
      <c r="A1184" s="26">
        <v>43944</v>
      </c>
      <c r="B1184" s="17"/>
      <c r="C1184" s="7" t="s">
        <v>383</v>
      </c>
      <c r="D1184" s="36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>
        <v>21</v>
      </c>
      <c r="O1184" s="17"/>
      <c r="P1184" s="17"/>
      <c r="Q1184" s="17">
        <f t="shared" si="436"/>
        <v>885.59000000000333</v>
      </c>
      <c r="R1184" s="2"/>
      <c r="S1184" s="8"/>
      <c r="T1184" s="8"/>
    </row>
    <row r="1185" spans="1:20" x14ac:dyDescent="0.25">
      <c r="A1185" s="26">
        <v>43945</v>
      </c>
      <c r="B1185" s="17"/>
      <c r="C1185" s="7" t="s">
        <v>5</v>
      </c>
      <c r="D1185" s="36">
        <v>34</v>
      </c>
      <c r="E1185" s="17">
        <v>24.81</v>
      </c>
      <c r="F1185" s="17">
        <f t="shared" ref="F1185" si="441">D1185*E1185</f>
        <v>843.54</v>
      </c>
      <c r="G1185" s="17">
        <v>0.23</v>
      </c>
      <c r="H1185" s="17">
        <f>0.02+0.24</f>
        <v>0.26</v>
      </c>
      <c r="I1185" s="17"/>
      <c r="J1185" s="17">
        <v>2.4900000000000002</v>
      </c>
      <c r="K1185" s="17">
        <f t="shared" ref="K1185" si="442">SUM(F1185:J1185)</f>
        <v>846.52</v>
      </c>
      <c r="L1185" s="17"/>
      <c r="M1185" s="17"/>
      <c r="N1185" s="17"/>
      <c r="O1185" s="17"/>
      <c r="P1185" s="17"/>
      <c r="Q1185" s="17">
        <f t="shared" si="436"/>
        <v>39.070000000003347</v>
      </c>
      <c r="R1185" s="2"/>
      <c r="S1185" s="8"/>
      <c r="T1185" s="8"/>
    </row>
    <row r="1186" spans="1:20" x14ac:dyDescent="0.25">
      <c r="A1186" s="26">
        <v>43951</v>
      </c>
      <c r="B1186" s="17">
        <v>1000</v>
      </c>
      <c r="D1186" s="36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>
        <f t="shared" si="436"/>
        <v>1039.0700000000033</v>
      </c>
      <c r="R1186" s="2"/>
      <c r="S1186" s="8"/>
      <c r="T1186" s="8"/>
    </row>
    <row r="1187" spans="1:20" x14ac:dyDescent="0.25">
      <c r="A1187" s="26">
        <v>43951</v>
      </c>
      <c r="B1187" s="17"/>
      <c r="C1187" s="7" t="s">
        <v>180</v>
      </c>
      <c r="D1187" s="36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>
        <v>11.05</v>
      </c>
      <c r="O1187" s="17"/>
      <c r="P1187" s="17"/>
      <c r="Q1187" s="17">
        <f t="shared" si="436"/>
        <v>1050.1200000000033</v>
      </c>
      <c r="R1187" s="2"/>
      <c r="S1187" s="8"/>
      <c r="T1187" s="8"/>
    </row>
    <row r="1188" spans="1:20" x14ac:dyDescent="0.25">
      <c r="A1188" s="26">
        <v>43951</v>
      </c>
      <c r="B1188" s="17"/>
      <c r="C1188" s="7" t="s">
        <v>221</v>
      </c>
      <c r="D1188" s="36">
        <v>100</v>
      </c>
      <c r="E1188" s="17">
        <v>10.02</v>
      </c>
      <c r="F1188" s="17">
        <f t="shared" ref="F1188" si="443">D1188*E1188</f>
        <v>1002</v>
      </c>
      <c r="G1188" s="17">
        <v>0.27</v>
      </c>
      <c r="H1188" s="17">
        <v>0.03</v>
      </c>
      <c r="I1188" s="17"/>
      <c r="J1188" s="17">
        <v>0</v>
      </c>
      <c r="K1188" s="17">
        <f t="shared" ref="K1188" si="444">SUM(F1188:J1188)</f>
        <v>1002.3</v>
      </c>
      <c r="L1188" s="17"/>
      <c r="M1188" s="17"/>
      <c r="N1188" s="17"/>
      <c r="O1188" s="17"/>
      <c r="P1188" s="17"/>
      <c r="Q1188" s="17">
        <f t="shared" si="436"/>
        <v>47.820000000003347</v>
      </c>
      <c r="R1188" s="2"/>
      <c r="S1188" s="8"/>
      <c r="T1188" s="8"/>
    </row>
    <row r="1189" spans="1:20" x14ac:dyDescent="0.25">
      <c r="A1189" s="26">
        <v>43957</v>
      </c>
      <c r="B1189" s="17">
        <v>1000</v>
      </c>
      <c r="D1189" s="36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>
        <f t="shared" si="436"/>
        <v>1047.8200000000033</v>
      </c>
      <c r="R1189" s="2"/>
      <c r="S1189" s="8"/>
      <c r="T1189" s="8"/>
    </row>
    <row r="1190" spans="1:20" x14ac:dyDescent="0.25">
      <c r="A1190" s="26">
        <v>43957</v>
      </c>
      <c r="B1190" s="17"/>
      <c r="C1190" s="7" t="s">
        <v>221</v>
      </c>
      <c r="D1190" s="36">
        <v>100</v>
      </c>
      <c r="E1190" s="17">
        <v>9.99</v>
      </c>
      <c r="F1190" s="17">
        <f t="shared" ref="F1190" si="445">D1190*E1190</f>
        <v>999</v>
      </c>
      <c r="G1190" s="17">
        <v>0.27</v>
      </c>
      <c r="H1190" s="17">
        <v>0.03</v>
      </c>
      <c r="I1190" s="17"/>
      <c r="J1190" s="17">
        <v>0</v>
      </c>
      <c r="K1190" s="17">
        <f t="shared" ref="K1190" si="446">SUM(F1190:J1190)</f>
        <v>999.3</v>
      </c>
      <c r="L1190" s="17"/>
      <c r="M1190" s="17"/>
      <c r="N1190" s="17"/>
      <c r="O1190" s="17"/>
      <c r="P1190" s="17"/>
      <c r="Q1190" s="17">
        <f t="shared" si="436"/>
        <v>48.520000000003392</v>
      </c>
      <c r="R1190" s="2"/>
      <c r="S1190" s="8"/>
      <c r="T1190" s="8"/>
    </row>
    <row r="1191" spans="1:20" x14ac:dyDescent="0.25">
      <c r="A1191" s="26">
        <v>43959</v>
      </c>
      <c r="B1191" s="17"/>
      <c r="C1191" s="7" t="s">
        <v>222</v>
      </c>
      <c r="D1191" s="36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>
        <v>100.75</v>
      </c>
      <c r="O1191" s="17"/>
      <c r="P1191" s="17"/>
      <c r="Q1191" s="17">
        <f t="shared" si="436"/>
        <v>149.27000000000339</v>
      </c>
      <c r="R1191" s="2"/>
      <c r="S1191" s="8"/>
      <c r="T1191" s="8"/>
    </row>
    <row r="1192" spans="1:20" x14ac:dyDescent="0.25">
      <c r="A1192" s="26">
        <v>43962</v>
      </c>
      <c r="B1192" s="17"/>
      <c r="C1192" s="7" t="s">
        <v>186</v>
      </c>
      <c r="D1192" s="36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>
        <f>44+56</f>
        <v>100</v>
      </c>
      <c r="O1192" s="17"/>
      <c r="P1192" s="17"/>
      <c r="Q1192" s="17">
        <f t="shared" si="436"/>
        <v>249.27000000000339</v>
      </c>
      <c r="R1192" s="2"/>
      <c r="S1192" s="8"/>
      <c r="T1192" s="8"/>
    </row>
    <row r="1193" spans="1:20" x14ac:dyDescent="0.25">
      <c r="A1193" s="26">
        <v>43962</v>
      </c>
      <c r="B1193" s="17"/>
      <c r="C1193" s="7" t="s">
        <v>234</v>
      </c>
      <c r="D1193" s="36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>
        <v>23.6</v>
      </c>
      <c r="O1193" s="17"/>
      <c r="P1193" s="17"/>
      <c r="Q1193" s="17">
        <f t="shared" si="436"/>
        <v>272.87000000000342</v>
      </c>
      <c r="R1193" s="2"/>
      <c r="S1193" s="8"/>
      <c r="T1193" s="8"/>
    </row>
    <row r="1194" spans="1:20" x14ac:dyDescent="0.25">
      <c r="A1194" s="26">
        <v>43963</v>
      </c>
      <c r="B1194" s="17">
        <v>1000</v>
      </c>
      <c r="D1194" s="139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>
        <f t="shared" si="436"/>
        <v>1272.8700000000035</v>
      </c>
      <c r="R1194" s="2"/>
      <c r="S1194" s="8"/>
      <c r="T1194" s="8"/>
    </row>
    <row r="1195" spans="1:20" x14ac:dyDescent="0.25">
      <c r="A1195" s="26">
        <v>43963</v>
      </c>
      <c r="B1195" s="17"/>
      <c r="C1195" s="7" t="s">
        <v>415</v>
      </c>
      <c r="D1195" s="139">
        <v>0.5</v>
      </c>
      <c r="E1195" s="17"/>
      <c r="F1195" s="17"/>
      <c r="G1195" s="17"/>
      <c r="H1195" s="17"/>
      <c r="I1195" s="17"/>
      <c r="J1195" s="17"/>
      <c r="K1195" s="17">
        <v>587.85</v>
      </c>
      <c r="L1195" s="17"/>
      <c r="M1195" s="17"/>
      <c r="N1195" s="17"/>
      <c r="O1195" s="17"/>
      <c r="P1195" s="17"/>
      <c r="Q1195" s="17">
        <f t="shared" si="436"/>
        <v>685.02000000000351</v>
      </c>
      <c r="R1195" s="2"/>
      <c r="S1195" s="8"/>
      <c r="T1195" s="8"/>
    </row>
    <row r="1196" spans="1:20" x14ac:dyDescent="0.25">
      <c r="A1196" s="26">
        <v>43965</v>
      </c>
      <c r="B1196" s="17"/>
      <c r="C1196" s="7" t="s">
        <v>415</v>
      </c>
      <c r="D1196" s="139">
        <v>0.5</v>
      </c>
      <c r="E1196" s="17"/>
      <c r="F1196" s="17"/>
      <c r="G1196" s="17"/>
      <c r="H1196" s="17"/>
      <c r="I1196" s="17"/>
      <c r="J1196" s="17"/>
      <c r="K1196" s="17">
        <v>567.42999999999995</v>
      </c>
      <c r="L1196" s="17"/>
      <c r="M1196" s="17"/>
      <c r="N1196" s="17"/>
      <c r="O1196" s="17"/>
      <c r="P1196" s="17"/>
      <c r="Q1196" s="17">
        <f t="shared" si="436"/>
        <v>117.59000000000356</v>
      </c>
      <c r="R1196" s="2"/>
      <c r="S1196" s="8"/>
      <c r="T1196" s="8"/>
    </row>
    <row r="1197" spans="1:20" x14ac:dyDescent="0.25">
      <c r="A1197" s="26">
        <v>43966</v>
      </c>
      <c r="B1197" s="17"/>
      <c r="C1197" s="7" t="s">
        <v>217</v>
      </c>
      <c r="D1197" s="139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>
        <v>82.62</v>
      </c>
      <c r="O1197" s="17"/>
      <c r="P1197" s="17"/>
      <c r="Q1197" s="17">
        <f t="shared" si="436"/>
        <v>200.21000000000356</v>
      </c>
      <c r="R1197" s="2"/>
      <c r="S1197" s="8"/>
      <c r="T1197" s="8"/>
    </row>
    <row r="1198" spans="1:20" x14ac:dyDescent="0.25">
      <c r="A1198" s="26">
        <v>43966</v>
      </c>
      <c r="B1198" s="17"/>
      <c r="C1198" s="7" t="s">
        <v>169</v>
      </c>
      <c r="D1198" s="139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>
        <v>41.31</v>
      </c>
      <c r="O1198" s="17"/>
      <c r="P1198" s="17"/>
      <c r="Q1198" s="17">
        <f t="shared" si="436"/>
        <v>241.52000000000356</v>
      </c>
      <c r="R1198" s="2"/>
      <c r="S1198" s="8"/>
      <c r="T1198" s="8"/>
    </row>
    <row r="1199" spans="1:20" x14ac:dyDescent="0.25">
      <c r="A1199" s="26">
        <v>43966</v>
      </c>
      <c r="B1199" s="17"/>
      <c r="C1199" s="7" t="s">
        <v>408</v>
      </c>
      <c r="D1199" s="139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>
        <v>28.35</v>
      </c>
      <c r="O1199" s="17"/>
      <c r="P1199" s="17"/>
      <c r="Q1199" s="17">
        <f t="shared" si="436"/>
        <v>269.87000000000359</v>
      </c>
      <c r="R1199" s="2"/>
      <c r="S1199" s="8"/>
      <c r="T1199" s="8"/>
    </row>
    <row r="1200" spans="1:20" x14ac:dyDescent="0.25">
      <c r="A1200" s="26">
        <v>43966</v>
      </c>
      <c r="B1200" s="17"/>
      <c r="C1200" s="7" t="s">
        <v>364</v>
      </c>
      <c r="D1200" s="139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>
        <v>75.599999999999994</v>
      </c>
      <c r="O1200" s="17"/>
      <c r="P1200" s="17"/>
      <c r="Q1200" s="17">
        <f t="shared" si="436"/>
        <v>345.47000000000355</v>
      </c>
      <c r="R1200" s="2"/>
      <c r="S1200" s="8"/>
      <c r="T1200" s="8"/>
    </row>
    <row r="1201" spans="1:20" x14ac:dyDescent="0.25">
      <c r="A1201" s="26">
        <v>43966</v>
      </c>
      <c r="B1201" s="17"/>
      <c r="C1201" s="7" t="s">
        <v>170</v>
      </c>
      <c r="D1201" s="139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>
        <v>112.05</v>
      </c>
      <c r="P1201" s="17"/>
      <c r="Q1201" s="17">
        <f t="shared" si="436"/>
        <v>457.52000000000356</v>
      </c>
      <c r="R1201" s="2"/>
      <c r="S1201" s="8"/>
      <c r="T1201" s="8"/>
    </row>
    <row r="1202" spans="1:20" x14ac:dyDescent="0.25">
      <c r="A1202" s="26">
        <v>43966</v>
      </c>
      <c r="B1202" s="17"/>
      <c r="C1202" s="7" t="s">
        <v>181</v>
      </c>
      <c r="D1202" s="139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>
        <v>48.3</v>
      </c>
      <c r="O1202" s="17"/>
      <c r="P1202" s="17"/>
      <c r="Q1202" s="17">
        <f t="shared" si="436"/>
        <v>505.82000000000357</v>
      </c>
      <c r="R1202" s="2"/>
      <c r="S1202" s="8"/>
      <c r="T1202" s="8"/>
    </row>
    <row r="1203" spans="1:20" x14ac:dyDescent="0.25">
      <c r="A1203" s="26">
        <v>43966</v>
      </c>
      <c r="B1203" s="17"/>
      <c r="C1203" s="7" t="s">
        <v>374</v>
      </c>
      <c r="D1203" s="139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>
        <v>28.8</v>
      </c>
      <c r="O1203" s="17"/>
      <c r="P1203" s="17"/>
      <c r="Q1203" s="17">
        <f t="shared" si="436"/>
        <v>534.62000000000353</v>
      </c>
      <c r="R1203" s="2"/>
      <c r="S1203" s="8"/>
      <c r="T1203" s="8"/>
    </row>
    <row r="1204" spans="1:20" x14ac:dyDescent="0.25">
      <c r="A1204" s="26">
        <v>43966</v>
      </c>
      <c r="B1204" s="17"/>
      <c r="C1204" s="7" t="s">
        <v>221</v>
      </c>
      <c r="D1204" s="139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>
        <v>134.54</v>
      </c>
      <c r="O1204" s="17"/>
      <c r="P1204" s="17"/>
      <c r="Q1204" s="17">
        <f t="shared" si="436"/>
        <v>669.16000000000349</v>
      </c>
      <c r="R1204" s="2"/>
      <c r="S1204" s="8"/>
      <c r="T1204" s="8"/>
    </row>
    <row r="1205" spans="1:20" x14ac:dyDescent="0.25">
      <c r="A1205" s="26">
        <v>43966</v>
      </c>
      <c r="B1205" s="17"/>
      <c r="C1205" s="7" t="s">
        <v>377</v>
      </c>
      <c r="D1205" s="139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>
        <v>3</v>
      </c>
      <c r="O1205" s="17"/>
      <c r="P1205" s="17"/>
      <c r="Q1205" s="17">
        <f t="shared" si="436"/>
        <v>672.16000000000349</v>
      </c>
      <c r="R1205" s="2"/>
      <c r="S1205" s="8"/>
      <c r="T1205" s="8"/>
    </row>
    <row r="1206" spans="1:20" x14ac:dyDescent="0.25">
      <c r="A1206" s="26">
        <v>43966</v>
      </c>
      <c r="B1206" s="17"/>
      <c r="C1206" s="7" t="s">
        <v>267</v>
      </c>
      <c r="D1206" s="139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>
        <v>20.399999999999999</v>
      </c>
      <c r="O1206" s="17"/>
      <c r="P1206" s="17"/>
      <c r="Q1206" s="17">
        <f t="shared" si="436"/>
        <v>692.56000000000347</v>
      </c>
      <c r="R1206" s="2"/>
      <c r="S1206" s="8"/>
      <c r="T1206" s="8"/>
    </row>
    <row r="1207" spans="1:20" x14ac:dyDescent="0.25">
      <c r="A1207" s="26">
        <v>43966</v>
      </c>
      <c r="B1207" s="17"/>
      <c r="C1207" s="7" t="s">
        <v>184</v>
      </c>
      <c r="D1207" s="139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>
        <v>10</v>
      </c>
      <c r="O1207" s="17"/>
      <c r="P1207" s="17"/>
      <c r="Q1207" s="17">
        <f t="shared" si="436"/>
        <v>702.56000000000347</v>
      </c>
      <c r="R1207" s="2"/>
      <c r="S1207" s="8"/>
      <c r="T1207" s="8"/>
    </row>
    <row r="1208" spans="1:20" x14ac:dyDescent="0.25">
      <c r="A1208" s="26">
        <v>43966</v>
      </c>
      <c r="B1208" s="17"/>
      <c r="C1208" s="7" t="s">
        <v>173</v>
      </c>
      <c r="D1208" s="139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>
        <v>246</v>
      </c>
      <c r="O1208" s="17"/>
      <c r="P1208" s="17"/>
      <c r="Q1208" s="17">
        <f t="shared" si="436"/>
        <v>948.56000000000347</v>
      </c>
      <c r="R1208" s="2"/>
      <c r="S1208" s="8"/>
      <c r="T1208" s="8"/>
    </row>
    <row r="1209" spans="1:20" x14ac:dyDescent="0.25">
      <c r="A1209" s="26">
        <v>43966</v>
      </c>
      <c r="B1209" s="17"/>
      <c r="C1209" s="7" t="s">
        <v>222</v>
      </c>
      <c r="D1209" s="36">
        <v>10</v>
      </c>
      <c r="E1209" s="17">
        <v>90.88</v>
      </c>
      <c r="F1209" s="17">
        <f t="shared" ref="F1209" si="447">D1209*E1209</f>
        <v>908.8</v>
      </c>
      <c r="G1209" s="17">
        <v>0.24</v>
      </c>
      <c r="H1209" s="17">
        <v>0.03</v>
      </c>
      <c r="I1209" s="17"/>
      <c r="J1209" s="17">
        <v>0</v>
      </c>
      <c r="K1209" s="17">
        <f t="shared" ref="K1209" si="448">SUM(F1209:J1209)</f>
        <v>909.06999999999994</v>
      </c>
      <c r="L1209" s="17"/>
      <c r="M1209" s="17"/>
      <c r="N1209" s="17"/>
      <c r="O1209" s="17"/>
      <c r="P1209" s="17"/>
      <c r="Q1209" s="17">
        <f t="shared" si="436"/>
        <v>39.490000000003533</v>
      </c>
      <c r="R1209" s="2"/>
      <c r="S1209" s="8"/>
      <c r="T1209" s="8"/>
    </row>
    <row r="1210" spans="1:20" x14ac:dyDescent="0.25">
      <c r="A1210" s="26">
        <v>43970</v>
      </c>
      <c r="B1210" s="17"/>
      <c r="C1210" s="7" t="s">
        <v>220</v>
      </c>
      <c r="D1210" s="139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>
        <v>27.5</v>
      </c>
      <c r="O1210" s="17"/>
      <c r="P1210" s="17"/>
      <c r="Q1210" s="17">
        <f t="shared" si="436"/>
        <v>66.990000000003533</v>
      </c>
      <c r="R1210" s="2"/>
      <c r="S1210" s="8"/>
      <c r="T1210" s="8"/>
    </row>
    <row r="1211" spans="1:20" x14ac:dyDescent="0.25">
      <c r="A1211" s="26">
        <v>43971</v>
      </c>
      <c r="B1211" s="17"/>
      <c r="C1211" s="7" t="s">
        <v>355</v>
      </c>
      <c r="D1211" s="139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>
        <v>57.5</v>
      </c>
      <c r="O1211" s="17"/>
      <c r="P1211" s="17"/>
      <c r="Q1211" s="17">
        <f t="shared" si="436"/>
        <v>124.49000000000353</v>
      </c>
      <c r="R1211" s="2"/>
      <c r="S1211" s="8"/>
      <c r="T1211" s="8"/>
    </row>
    <row r="1212" spans="1:20" x14ac:dyDescent="0.25">
      <c r="A1212" s="26">
        <v>43971</v>
      </c>
      <c r="B1212" s="17"/>
      <c r="C1212" s="7" t="s">
        <v>218</v>
      </c>
      <c r="D1212" s="139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>
        <v>111.76</v>
      </c>
      <c r="P1212" s="17"/>
      <c r="Q1212" s="17">
        <f t="shared" si="436"/>
        <v>236.25000000000352</v>
      </c>
      <c r="R1212" s="2"/>
      <c r="S1212" s="8"/>
      <c r="T1212" s="8"/>
    </row>
    <row r="1213" spans="1:20" x14ac:dyDescent="0.25">
      <c r="A1213" s="26">
        <v>43972</v>
      </c>
      <c r="B1213" s="17">
        <v>1000</v>
      </c>
      <c r="D1213" s="139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>
        <f t="shared" si="436"/>
        <v>1236.2500000000036</v>
      </c>
      <c r="R1213" s="2"/>
      <c r="S1213" s="8"/>
      <c r="T1213" s="8"/>
    </row>
    <row r="1214" spans="1:20" x14ac:dyDescent="0.25">
      <c r="A1214" s="26">
        <v>43972</v>
      </c>
      <c r="B1214" s="17"/>
      <c r="C1214" s="7" t="s">
        <v>222</v>
      </c>
      <c r="D1214" s="36">
        <v>10</v>
      </c>
      <c r="E1214" s="17">
        <v>89.96</v>
      </c>
      <c r="F1214" s="17">
        <f t="shared" ref="F1214" si="449">D1214*E1214</f>
        <v>899.59999999999991</v>
      </c>
      <c r="G1214" s="17">
        <v>0.24</v>
      </c>
      <c r="H1214" s="17">
        <v>0.03</v>
      </c>
      <c r="I1214" s="17"/>
      <c r="J1214" s="17">
        <v>0</v>
      </c>
      <c r="K1214" s="17">
        <f t="shared" ref="K1214" si="450">SUM(F1214:J1214)</f>
        <v>899.86999999999989</v>
      </c>
      <c r="L1214" s="17"/>
      <c r="M1214" s="17"/>
      <c r="N1214" s="17"/>
      <c r="O1214" s="17"/>
      <c r="P1214" s="17"/>
      <c r="Q1214" s="17">
        <f t="shared" si="436"/>
        <v>336.38000000000375</v>
      </c>
      <c r="R1214" s="2"/>
      <c r="S1214" s="8"/>
      <c r="T1214" s="8"/>
    </row>
    <row r="1215" spans="1:20" x14ac:dyDescent="0.25">
      <c r="A1215" s="26">
        <v>43973</v>
      </c>
      <c r="B1215" s="17"/>
      <c r="C1215" s="7" t="s">
        <v>383</v>
      </c>
      <c r="D1215" s="139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>
        <v>22.5</v>
      </c>
      <c r="O1215" s="17"/>
      <c r="P1215" s="17"/>
      <c r="Q1215" s="17">
        <f t="shared" si="436"/>
        <v>358.88000000000375</v>
      </c>
      <c r="R1215" s="2"/>
      <c r="S1215" s="8"/>
      <c r="T1215" s="8"/>
    </row>
    <row r="1216" spans="1:20" x14ac:dyDescent="0.25">
      <c r="A1216" s="26">
        <v>43976</v>
      </c>
      <c r="B1216" s="17"/>
      <c r="C1216" s="7" t="s">
        <v>252</v>
      </c>
      <c r="D1216" s="139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>
        <v>66.88</v>
      </c>
      <c r="P1216" s="17"/>
      <c r="Q1216" s="17">
        <f t="shared" si="436"/>
        <v>425.76000000000374</v>
      </c>
      <c r="R1216" s="2"/>
      <c r="S1216" s="8"/>
      <c r="T1216" s="8"/>
    </row>
    <row r="1217" spans="1:20" x14ac:dyDescent="0.25">
      <c r="A1217" s="26">
        <v>43979</v>
      </c>
      <c r="B1217" s="17"/>
      <c r="C1217" s="7" t="s">
        <v>170</v>
      </c>
      <c r="D1217" s="139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>
        <v>327.36</v>
      </c>
      <c r="P1217" s="17">
        <v>94.49</v>
      </c>
      <c r="Q1217" s="17">
        <f t="shared" si="436"/>
        <v>847.61000000000377</v>
      </c>
      <c r="R1217" s="2"/>
      <c r="S1217" s="8"/>
      <c r="T1217" s="8"/>
    </row>
    <row r="1218" spans="1:20" x14ac:dyDescent="0.25">
      <c r="A1218" s="26">
        <v>43979</v>
      </c>
      <c r="B1218" s="17">
        <v>1000</v>
      </c>
      <c r="D1218" s="139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>
        <f t="shared" si="436"/>
        <v>1847.6100000000038</v>
      </c>
      <c r="R1218" s="2"/>
      <c r="S1218" s="8"/>
      <c r="T1218" s="8"/>
    </row>
    <row r="1219" spans="1:20" x14ac:dyDescent="0.25">
      <c r="A1219" s="26">
        <v>43979</v>
      </c>
      <c r="B1219" s="17"/>
      <c r="C1219" s="7" t="s">
        <v>383</v>
      </c>
      <c r="D1219" s="36">
        <v>10</v>
      </c>
      <c r="E1219" s="17">
        <v>95.1</v>
      </c>
      <c r="F1219" s="17">
        <f t="shared" ref="F1219" si="451">D1219*E1219</f>
        <v>951</v>
      </c>
      <c r="G1219" s="17">
        <v>0.26</v>
      </c>
      <c r="H1219" s="17">
        <v>0.03</v>
      </c>
      <c r="I1219" s="17"/>
      <c r="J1219" s="17">
        <v>0</v>
      </c>
      <c r="K1219" s="17">
        <f t="shared" ref="K1219" si="452">SUM(F1219:J1219)</f>
        <v>951.29</v>
      </c>
      <c r="L1219" s="17"/>
      <c r="M1219" s="17"/>
      <c r="N1219" s="17"/>
      <c r="O1219" s="17"/>
      <c r="P1219" s="17"/>
      <c r="Q1219" s="17">
        <f t="shared" si="436"/>
        <v>896.3200000000038</v>
      </c>
      <c r="R1219" s="2"/>
      <c r="S1219" s="8"/>
      <c r="T1219" s="8"/>
    </row>
    <row r="1220" spans="1:20" x14ac:dyDescent="0.25">
      <c r="A1220" s="26">
        <v>43980</v>
      </c>
      <c r="B1220" s="17"/>
      <c r="C1220" s="7" t="s">
        <v>180</v>
      </c>
      <c r="D1220" s="139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>
        <v>10.8</v>
      </c>
      <c r="O1220" s="17"/>
      <c r="P1220" s="17"/>
      <c r="Q1220" s="17">
        <f t="shared" si="436"/>
        <v>907.12000000000376</v>
      </c>
      <c r="R1220" s="2"/>
      <c r="S1220" s="8"/>
      <c r="T1220" s="8"/>
    </row>
    <row r="1221" spans="1:20" x14ac:dyDescent="0.25">
      <c r="A1221" s="26">
        <v>43980</v>
      </c>
      <c r="B1221" s="17"/>
      <c r="C1221" s="7" t="s">
        <v>85</v>
      </c>
      <c r="D1221" s="139">
        <v>100</v>
      </c>
      <c r="E1221" s="17">
        <v>8.86</v>
      </c>
      <c r="F1221" s="17">
        <f t="shared" ref="F1221" si="453">D1221*E1221</f>
        <v>886</v>
      </c>
      <c r="G1221" s="17">
        <v>0.24</v>
      </c>
      <c r="H1221" s="17">
        <v>0.26</v>
      </c>
      <c r="I1221" s="17"/>
      <c r="J1221" s="17">
        <v>2.4900000000000002</v>
      </c>
      <c r="K1221" s="17">
        <f t="shared" ref="K1221" si="454">SUM(F1221:J1221)</f>
        <v>888.99</v>
      </c>
      <c r="L1221" s="17"/>
      <c r="M1221" s="17"/>
      <c r="N1221" s="17"/>
      <c r="O1221" s="17"/>
      <c r="P1221" s="17"/>
      <c r="Q1221" s="17">
        <f t="shared" si="436"/>
        <v>18.130000000003747</v>
      </c>
      <c r="R1221" s="2"/>
      <c r="S1221" s="8"/>
      <c r="T1221" s="8"/>
    </row>
    <row r="1222" spans="1:20" x14ac:dyDescent="0.25">
      <c r="A1222" s="26">
        <v>43985</v>
      </c>
      <c r="B1222" s="17">
        <v>1000</v>
      </c>
      <c r="D1222" s="139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>
        <f t="shared" si="436"/>
        <v>1018.1300000000037</v>
      </c>
      <c r="R1222" s="2"/>
      <c r="S1222" s="8"/>
      <c r="T1222" s="8"/>
    </row>
    <row r="1223" spans="1:20" x14ac:dyDescent="0.25">
      <c r="A1223" s="26">
        <v>43986</v>
      </c>
      <c r="B1223" s="17"/>
      <c r="C1223" s="7" t="s">
        <v>408</v>
      </c>
      <c r="D1223" s="36">
        <v>9</v>
      </c>
      <c r="E1223" s="17">
        <v>54.7</v>
      </c>
      <c r="F1223" s="17">
        <f t="shared" ref="F1223" si="455">D1223*E1223</f>
        <v>492.3</v>
      </c>
      <c r="G1223" s="17">
        <v>0</v>
      </c>
      <c r="H1223" s="17">
        <v>0</v>
      </c>
      <c r="I1223" s="17"/>
      <c r="J1223" s="17">
        <v>0</v>
      </c>
      <c r="K1223" s="17">
        <f t="shared" ref="K1223" si="456">SUM(F1223:J1223)</f>
        <v>492.3</v>
      </c>
      <c r="L1223" s="17"/>
      <c r="M1223" s="17"/>
      <c r="N1223" s="17"/>
      <c r="O1223" s="17"/>
      <c r="P1223" s="17"/>
      <c r="Q1223" s="17">
        <f t="shared" si="436"/>
        <v>525.83000000000379</v>
      </c>
      <c r="R1223" s="2"/>
      <c r="S1223" s="8"/>
      <c r="T1223" s="8"/>
    </row>
    <row r="1224" spans="1:20" x14ac:dyDescent="0.25">
      <c r="A1224" s="26">
        <v>43986</v>
      </c>
      <c r="B1224" s="17"/>
      <c r="C1224" s="7" t="s">
        <v>415</v>
      </c>
      <c r="D1224" s="139">
        <v>0.4</v>
      </c>
      <c r="E1224" s="17"/>
      <c r="F1224" s="17"/>
      <c r="G1224" s="17"/>
      <c r="H1224" s="17"/>
      <c r="I1224" s="17"/>
      <c r="J1224" s="17"/>
      <c r="K1224" s="17">
        <v>502.96</v>
      </c>
      <c r="L1224" s="17"/>
      <c r="M1224" s="17"/>
      <c r="N1224" s="17"/>
      <c r="O1224" s="17"/>
      <c r="P1224" s="17"/>
      <c r="Q1224" s="17">
        <f t="shared" si="436"/>
        <v>22.870000000003813</v>
      </c>
      <c r="R1224" s="2"/>
      <c r="S1224" s="8"/>
      <c r="T1224" s="8"/>
    </row>
    <row r="1225" spans="1:20" x14ac:dyDescent="0.25">
      <c r="A1225" s="26">
        <v>43987</v>
      </c>
      <c r="B1225" s="17"/>
      <c r="C1225" s="7" t="s">
        <v>222</v>
      </c>
      <c r="D1225" s="36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>
        <v>87.5</v>
      </c>
      <c r="O1225" s="17"/>
      <c r="P1225" s="17"/>
      <c r="Q1225" s="17">
        <f t="shared" si="436"/>
        <v>110.37000000000381</v>
      </c>
      <c r="R1225" s="2"/>
      <c r="S1225" s="8"/>
      <c r="T1225" s="8"/>
    </row>
    <row r="1226" spans="1:20" x14ac:dyDescent="0.25">
      <c r="A1226" s="26">
        <v>43990</v>
      </c>
      <c r="B1226" s="17">
        <v>1000</v>
      </c>
      <c r="D1226" s="36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>
        <f t="shared" si="436"/>
        <v>1110.3700000000038</v>
      </c>
      <c r="R1226" s="2"/>
      <c r="S1226" s="8"/>
      <c r="T1226" s="8"/>
    </row>
    <row r="1227" spans="1:20" x14ac:dyDescent="0.25">
      <c r="A1227" s="26">
        <v>43990</v>
      </c>
      <c r="B1227" s="17"/>
      <c r="C1227" s="7" t="s">
        <v>186</v>
      </c>
      <c r="D1227" s="36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>
        <f>43+44</f>
        <v>87</v>
      </c>
      <c r="O1227" s="17"/>
      <c r="P1227" s="17"/>
      <c r="Q1227" s="17">
        <f t="shared" si="436"/>
        <v>1197.3700000000038</v>
      </c>
      <c r="R1227" s="2"/>
      <c r="S1227" s="8"/>
      <c r="T1227" s="8"/>
    </row>
    <row r="1228" spans="1:20" x14ac:dyDescent="0.25">
      <c r="A1228" s="26">
        <v>43990</v>
      </c>
      <c r="B1228" s="17"/>
      <c r="C1228" s="7" t="s">
        <v>234</v>
      </c>
      <c r="D1228" s="36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>
        <v>28.4</v>
      </c>
      <c r="O1228" s="17"/>
      <c r="P1228" s="17"/>
      <c r="Q1228" s="17">
        <f t="shared" si="436"/>
        <v>1225.7700000000038</v>
      </c>
      <c r="R1228" s="2"/>
      <c r="S1228" s="8"/>
      <c r="T1228" s="8"/>
    </row>
    <row r="1229" spans="1:20" x14ac:dyDescent="0.25">
      <c r="A1229" s="26">
        <v>43992</v>
      </c>
      <c r="B1229" s="17"/>
      <c r="C1229" s="7" t="s">
        <v>377</v>
      </c>
      <c r="D1229" s="36">
        <v>10</v>
      </c>
      <c r="E1229" s="17">
        <v>89.82</v>
      </c>
      <c r="F1229" s="17">
        <f t="shared" ref="F1229" si="457">D1229*E1229</f>
        <v>898.19999999999993</v>
      </c>
      <c r="G1229" s="17">
        <v>0.24</v>
      </c>
      <c r="H1229" s="17">
        <v>0.02</v>
      </c>
      <c r="I1229" s="17"/>
      <c r="J1229" s="17">
        <v>0</v>
      </c>
      <c r="K1229" s="17">
        <f t="shared" ref="K1229" si="458">SUM(F1229:J1229)</f>
        <v>898.45999999999992</v>
      </c>
      <c r="L1229" s="17"/>
      <c r="M1229" s="17"/>
      <c r="N1229" s="17"/>
      <c r="O1229" s="17"/>
      <c r="P1229" s="17"/>
      <c r="Q1229" s="17">
        <f t="shared" si="436"/>
        <v>327.31000000000392</v>
      </c>
      <c r="R1229" s="2"/>
      <c r="S1229" s="8"/>
      <c r="T1229" s="8"/>
    </row>
    <row r="1230" spans="1:20" x14ac:dyDescent="0.25">
      <c r="A1230" s="26">
        <v>43994</v>
      </c>
      <c r="B1230" s="17"/>
      <c r="C1230" s="7" t="s">
        <v>267</v>
      </c>
      <c r="D1230" s="36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>
        <v>20.399999999999999</v>
      </c>
      <c r="O1230" s="17"/>
      <c r="P1230" s="17"/>
      <c r="Q1230" s="17">
        <f t="shared" si="436"/>
        <v>347.7100000000039</v>
      </c>
      <c r="R1230" s="2"/>
      <c r="S1230" s="8"/>
      <c r="T1230" s="8"/>
    </row>
    <row r="1231" spans="1:20" x14ac:dyDescent="0.25">
      <c r="A1231" s="26">
        <v>43994</v>
      </c>
      <c r="B1231" s="17"/>
      <c r="C1231" s="7" t="s">
        <v>377</v>
      </c>
      <c r="D1231" s="36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>
        <v>2.75</v>
      </c>
      <c r="O1231" s="17"/>
      <c r="P1231" s="17"/>
      <c r="Q1231" s="17">
        <f t="shared" si="436"/>
        <v>350.4600000000039</v>
      </c>
      <c r="R1231" s="2"/>
      <c r="S1231" s="8"/>
      <c r="T1231" s="8"/>
    </row>
    <row r="1232" spans="1:20" x14ac:dyDescent="0.25">
      <c r="A1232" s="26">
        <v>43997</v>
      </c>
      <c r="B1232" s="17"/>
      <c r="C1232" s="7" t="s">
        <v>217</v>
      </c>
      <c r="D1232" s="36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>
        <v>82.62</v>
      </c>
      <c r="O1232" s="17"/>
      <c r="P1232" s="17"/>
      <c r="Q1232" s="17">
        <f t="shared" si="436"/>
        <v>433.08000000000391</v>
      </c>
      <c r="R1232" s="2"/>
      <c r="S1232" s="8"/>
      <c r="T1232" s="8"/>
    </row>
    <row r="1233" spans="1:20" x14ac:dyDescent="0.25">
      <c r="A1233" s="26">
        <v>43997</v>
      </c>
      <c r="B1233" s="17"/>
      <c r="C1233" s="7" t="s">
        <v>374</v>
      </c>
      <c r="D1233" s="36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>
        <v>31.68</v>
      </c>
      <c r="O1233" s="17"/>
      <c r="P1233" s="17"/>
      <c r="Q1233" s="17">
        <f t="shared" si="436"/>
        <v>464.76000000000391</v>
      </c>
      <c r="R1233" s="2"/>
      <c r="S1233" s="8"/>
      <c r="T1233" s="8"/>
    </row>
    <row r="1234" spans="1:20" x14ac:dyDescent="0.25">
      <c r="A1234" s="26">
        <v>43997</v>
      </c>
      <c r="B1234" s="17"/>
      <c r="C1234" s="7" t="s">
        <v>181</v>
      </c>
      <c r="D1234" s="36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>
        <v>46.2</v>
      </c>
      <c r="O1234" s="17"/>
      <c r="P1234" s="17"/>
      <c r="Q1234" s="17">
        <f t="shared" si="436"/>
        <v>510.9600000000039</v>
      </c>
      <c r="R1234" s="2"/>
      <c r="S1234" s="8"/>
      <c r="T1234" s="8"/>
    </row>
    <row r="1235" spans="1:20" x14ac:dyDescent="0.25">
      <c r="A1235" s="26">
        <v>43997</v>
      </c>
      <c r="B1235" s="17"/>
      <c r="C1235" s="7" t="s">
        <v>173</v>
      </c>
      <c r="D1235" s="36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>
        <v>246</v>
      </c>
      <c r="O1235" s="17"/>
      <c r="P1235" s="17"/>
      <c r="Q1235" s="17">
        <f t="shared" si="436"/>
        <v>756.9600000000039</v>
      </c>
      <c r="R1235" s="2"/>
      <c r="S1235" s="8"/>
      <c r="T1235" s="8"/>
    </row>
    <row r="1236" spans="1:20" x14ac:dyDescent="0.25">
      <c r="A1236" s="26">
        <v>43997</v>
      </c>
      <c r="B1236" s="17"/>
      <c r="C1236" s="7" t="s">
        <v>184</v>
      </c>
      <c r="D1236" s="36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>
        <v>10</v>
      </c>
      <c r="O1236" s="17"/>
      <c r="P1236" s="17"/>
      <c r="Q1236" s="17">
        <f t="shared" si="436"/>
        <v>766.9600000000039</v>
      </c>
      <c r="R1236" s="2"/>
      <c r="S1236" s="8"/>
      <c r="T1236" s="8"/>
    </row>
    <row r="1237" spans="1:20" x14ac:dyDescent="0.25">
      <c r="A1237" s="26">
        <v>43997</v>
      </c>
      <c r="B1237" s="17"/>
      <c r="C1237" s="7" t="s">
        <v>408</v>
      </c>
      <c r="D1237" s="36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>
        <v>28.35</v>
      </c>
      <c r="O1237" s="17"/>
      <c r="P1237" s="17"/>
      <c r="Q1237" s="17">
        <f t="shared" si="436"/>
        <v>795.31000000000392</v>
      </c>
      <c r="R1237" s="2"/>
      <c r="S1237" s="8"/>
      <c r="T1237" s="8"/>
    </row>
    <row r="1238" spans="1:20" x14ac:dyDescent="0.25">
      <c r="A1238" s="26">
        <v>43997</v>
      </c>
      <c r="B1238" s="17"/>
      <c r="C1238" s="7" t="s">
        <v>169</v>
      </c>
      <c r="D1238" s="36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>
        <v>35.19</v>
      </c>
      <c r="O1238" s="17"/>
      <c r="P1238" s="17"/>
      <c r="Q1238" s="17">
        <f t="shared" si="436"/>
        <v>830.50000000000387</v>
      </c>
      <c r="R1238" s="2"/>
      <c r="S1238" s="8"/>
      <c r="T1238" s="8"/>
    </row>
    <row r="1239" spans="1:20" x14ac:dyDescent="0.25">
      <c r="A1239" s="26">
        <v>43997</v>
      </c>
      <c r="B1239" s="17"/>
      <c r="C1239" s="7" t="s">
        <v>364</v>
      </c>
      <c r="D1239" s="36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>
        <v>75.599999999999994</v>
      </c>
      <c r="O1239" s="17"/>
      <c r="P1239" s="17"/>
      <c r="Q1239" s="17">
        <f t="shared" si="436"/>
        <v>906.10000000000389</v>
      </c>
      <c r="R1239" s="2"/>
      <c r="S1239" s="8"/>
      <c r="T1239" s="8"/>
    </row>
    <row r="1240" spans="1:20" x14ac:dyDescent="0.25">
      <c r="A1240" s="26">
        <v>43997</v>
      </c>
      <c r="B1240" s="17"/>
      <c r="C1240" s="7" t="s">
        <v>221</v>
      </c>
      <c r="D1240" s="36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>
        <v>141.54</v>
      </c>
      <c r="O1240" s="17"/>
      <c r="P1240" s="17"/>
      <c r="Q1240" s="17">
        <f t="shared" si="436"/>
        <v>1047.640000000004</v>
      </c>
      <c r="R1240" s="2"/>
      <c r="S1240" s="8"/>
      <c r="T1240" s="8"/>
    </row>
    <row r="1241" spans="1:20" x14ac:dyDescent="0.25">
      <c r="A1241" s="26">
        <v>43997</v>
      </c>
      <c r="B1241" s="17"/>
      <c r="C1241" s="7" t="s">
        <v>377</v>
      </c>
      <c r="D1241" s="36">
        <v>6</v>
      </c>
      <c r="E1241" s="17">
        <v>88.5</v>
      </c>
      <c r="F1241" s="17">
        <f t="shared" ref="F1241:F1242" si="459">D1241*E1241</f>
        <v>531</v>
      </c>
      <c r="G1241" s="17">
        <v>0.14000000000000001</v>
      </c>
      <c r="H1241" s="17">
        <v>0.01</v>
      </c>
      <c r="I1241" s="17"/>
      <c r="J1241" s="17">
        <v>0</v>
      </c>
      <c r="K1241" s="17">
        <f t="shared" ref="K1241:K1242" si="460">SUM(F1241:J1241)</f>
        <v>531.15</v>
      </c>
      <c r="L1241" s="17"/>
      <c r="M1241" s="17"/>
      <c r="N1241" s="17"/>
      <c r="O1241" s="17"/>
      <c r="P1241" s="17"/>
      <c r="Q1241" s="17">
        <f t="shared" si="436"/>
        <v>516.49000000000399</v>
      </c>
      <c r="R1241" s="2"/>
      <c r="S1241" s="8"/>
      <c r="T1241" s="8"/>
    </row>
    <row r="1242" spans="1:20" x14ac:dyDescent="0.25">
      <c r="A1242" s="26">
        <v>43997</v>
      </c>
      <c r="B1242" s="17"/>
      <c r="C1242" s="7" t="s">
        <v>364</v>
      </c>
      <c r="D1242" s="36">
        <v>5</v>
      </c>
      <c r="E1242" s="17">
        <v>99.74</v>
      </c>
      <c r="F1242" s="17">
        <f t="shared" si="459"/>
        <v>498.7</v>
      </c>
      <c r="G1242" s="17">
        <v>0.14000000000000001</v>
      </c>
      <c r="H1242" s="17">
        <v>0.02</v>
      </c>
      <c r="I1242" s="17"/>
      <c r="J1242" s="17">
        <v>0</v>
      </c>
      <c r="K1242" s="17">
        <f t="shared" si="460"/>
        <v>498.85999999999996</v>
      </c>
      <c r="L1242" s="17"/>
      <c r="M1242" s="17"/>
      <c r="N1242" s="17"/>
      <c r="O1242" s="17"/>
      <c r="P1242" s="17"/>
      <c r="Q1242" s="17">
        <f t="shared" si="436"/>
        <v>17.630000000004031</v>
      </c>
      <c r="R1242" s="2"/>
      <c r="S1242" s="8"/>
      <c r="T1242" s="8"/>
    </row>
    <row r="1243" spans="1:20" x14ac:dyDescent="0.25">
      <c r="A1243" s="26">
        <v>43999</v>
      </c>
      <c r="B1243" s="17"/>
      <c r="C1243" s="7" t="s">
        <v>220</v>
      </c>
      <c r="D1243" s="36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>
        <v>27.5</v>
      </c>
      <c r="O1243" s="17"/>
      <c r="P1243" s="17"/>
      <c r="Q1243" s="17">
        <f t="shared" si="436"/>
        <v>45.130000000004031</v>
      </c>
      <c r="R1243" s="2"/>
      <c r="S1243" s="8"/>
      <c r="T1243" s="8"/>
    </row>
    <row r="1244" spans="1:20" x14ac:dyDescent="0.25">
      <c r="A1244" s="26">
        <v>44000</v>
      </c>
      <c r="B1244" s="17"/>
      <c r="C1244" s="7" t="s">
        <v>355</v>
      </c>
      <c r="D1244" s="36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>
        <v>54.05</v>
      </c>
      <c r="O1244" s="17"/>
      <c r="P1244" s="17"/>
      <c r="Q1244" s="17">
        <f t="shared" si="436"/>
        <v>99.180000000004028</v>
      </c>
      <c r="R1244" s="2"/>
      <c r="S1244" s="8"/>
      <c r="T1244" s="8"/>
    </row>
    <row r="1245" spans="1:20" x14ac:dyDescent="0.25">
      <c r="A1245" s="26">
        <v>44001</v>
      </c>
      <c r="B1245" s="17">
        <v>1000</v>
      </c>
      <c r="D1245" s="36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>
        <f t="shared" si="436"/>
        <v>1099.1800000000039</v>
      </c>
      <c r="R1245" s="2"/>
      <c r="S1245" s="8"/>
      <c r="T1245" s="8"/>
    </row>
    <row r="1246" spans="1:20" x14ac:dyDescent="0.25">
      <c r="A1246" s="26">
        <v>44004</v>
      </c>
      <c r="B1246" s="17"/>
      <c r="C1246" s="7" t="s">
        <v>216</v>
      </c>
      <c r="D1246" s="36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>
        <f>54.38+60.62</f>
        <v>115</v>
      </c>
      <c r="Q1246" s="17">
        <f t="shared" si="436"/>
        <v>1214.1800000000039</v>
      </c>
      <c r="R1246" s="2"/>
      <c r="S1246" s="8"/>
      <c r="T1246" s="8"/>
    </row>
    <row r="1247" spans="1:20" x14ac:dyDescent="0.25">
      <c r="A1247" s="26">
        <v>44004</v>
      </c>
      <c r="B1247" s="17"/>
      <c r="C1247" s="7" t="s">
        <v>383</v>
      </c>
      <c r="D1247" s="36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>
        <v>30.31</v>
      </c>
      <c r="O1247" s="17"/>
      <c r="P1247" s="17"/>
      <c r="Q1247" s="17">
        <f t="shared" si="436"/>
        <v>1244.4900000000039</v>
      </c>
      <c r="R1247" s="2"/>
      <c r="S1247" s="8"/>
      <c r="T1247" s="8"/>
    </row>
    <row r="1248" spans="1:20" x14ac:dyDescent="0.25">
      <c r="A1248" s="26">
        <v>44004</v>
      </c>
      <c r="B1248" s="17"/>
      <c r="C1248" s="7" t="s">
        <v>405</v>
      </c>
      <c r="D1248" s="36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>
        <v>72.06</v>
      </c>
      <c r="P1248" s="17"/>
      <c r="Q1248" s="17">
        <f t="shared" si="436"/>
        <v>1316.5500000000038</v>
      </c>
      <c r="R1248" s="2"/>
      <c r="S1248" s="8"/>
      <c r="T1248" s="8"/>
    </row>
    <row r="1249" spans="1:20" x14ac:dyDescent="0.25">
      <c r="A1249" s="26">
        <v>44006</v>
      </c>
      <c r="B1249" s="17">
        <v>1000</v>
      </c>
      <c r="D1249" s="36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>
        <f t="shared" si="436"/>
        <v>2316.5500000000038</v>
      </c>
      <c r="R1249" s="2"/>
      <c r="S1249" s="8"/>
      <c r="T1249" s="8"/>
    </row>
    <row r="1250" spans="1:20" x14ac:dyDescent="0.25">
      <c r="A1250" s="26">
        <v>44006</v>
      </c>
      <c r="B1250" s="17"/>
      <c r="C1250" s="7" t="s">
        <v>405</v>
      </c>
      <c r="D1250" s="36">
        <v>100</v>
      </c>
      <c r="E1250" s="17">
        <v>13.95</v>
      </c>
      <c r="F1250" s="17">
        <f t="shared" ref="F1250:F1251" si="461">D1250*E1250</f>
        <v>1395</v>
      </c>
      <c r="G1250" s="17">
        <v>0.31</v>
      </c>
      <c r="H1250" s="17">
        <v>0.34</v>
      </c>
      <c r="I1250" s="17"/>
      <c r="J1250" s="17">
        <v>2.4900000000000002</v>
      </c>
      <c r="K1250" s="17">
        <f t="shared" ref="K1250:K1251" si="462">SUM(F1250:J1250)</f>
        <v>1398.1399999999999</v>
      </c>
      <c r="L1250" s="17"/>
      <c r="M1250" s="17"/>
      <c r="N1250" s="17"/>
      <c r="O1250" s="17"/>
      <c r="P1250" s="17"/>
      <c r="Q1250" s="17">
        <f t="shared" si="436"/>
        <v>918.41000000000395</v>
      </c>
      <c r="R1250" s="2"/>
      <c r="S1250" s="8"/>
      <c r="T1250" s="8"/>
    </row>
    <row r="1251" spans="1:20" x14ac:dyDescent="0.25">
      <c r="A1251" s="26">
        <v>44006</v>
      </c>
      <c r="B1251" s="17"/>
      <c r="C1251" s="7" t="s">
        <v>85</v>
      </c>
      <c r="D1251" s="36">
        <v>90</v>
      </c>
      <c r="E1251" s="17">
        <v>9.77</v>
      </c>
      <c r="F1251" s="17">
        <f t="shared" si="461"/>
        <v>879.3</v>
      </c>
      <c r="G1251" s="17">
        <v>0.31</v>
      </c>
      <c r="H1251" s="17">
        <v>0.21</v>
      </c>
      <c r="I1251" s="17"/>
      <c r="J1251" s="17">
        <v>2.4900000000000002</v>
      </c>
      <c r="K1251" s="17">
        <f t="shared" si="462"/>
        <v>882.31</v>
      </c>
      <c r="L1251" s="17"/>
      <c r="M1251" s="17"/>
      <c r="N1251" s="17"/>
      <c r="O1251" s="17"/>
      <c r="P1251" s="17"/>
      <c r="Q1251" s="17">
        <f t="shared" si="436"/>
        <v>36.100000000004002</v>
      </c>
      <c r="R1251" s="2"/>
      <c r="S1251" s="8"/>
      <c r="T1251" s="8"/>
    </row>
    <row r="1252" spans="1:20" x14ac:dyDescent="0.25">
      <c r="A1252" s="26">
        <v>44007</v>
      </c>
      <c r="B1252" s="17"/>
      <c r="C1252" s="7" t="s">
        <v>270</v>
      </c>
      <c r="D1252" s="36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>
        <v>20.79</v>
      </c>
      <c r="O1252" s="17"/>
      <c r="P1252" s="17"/>
      <c r="Q1252" s="17">
        <f t="shared" si="436"/>
        <v>56.890000000004001</v>
      </c>
      <c r="R1252" s="2"/>
      <c r="S1252" s="8"/>
      <c r="T1252" s="8"/>
    </row>
    <row r="1253" spans="1:20" x14ac:dyDescent="0.25">
      <c r="A1253" s="26">
        <v>44012</v>
      </c>
      <c r="B1253" s="17"/>
      <c r="C1253" s="7" t="s">
        <v>180</v>
      </c>
      <c r="D1253" s="36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>
        <v>8.74</v>
      </c>
      <c r="O1253" s="17"/>
      <c r="P1253" s="17"/>
      <c r="Q1253" s="17">
        <f t="shared" si="436"/>
        <v>65.630000000004003</v>
      </c>
      <c r="R1253" s="2"/>
      <c r="S1253" s="8"/>
      <c r="T1253" s="8"/>
    </row>
    <row r="1254" spans="1:20" x14ac:dyDescent="0.25">
      <c r="A1254" s="26">
        <v>44013</v>
      </c>
      <c r="B1254" s="17"/>
      <c r="C1254" s="7" t="s">
        <v>85</v>
      </c>
      <c r="D1254" s="36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>
        <v>58.6</v>
      </c>
      <c r="P1254" s="17"/>
      <c r="Q1254" s="17">
        <f t="shared" si="436"/>
        <v>124.230000000004</v>
      </c>
      <c r="R1254" s="2"/>
      <c r="S1254" s="8"/>
      <c r="T1254" s="8"/>
    </row>
    <row r="1255" spans="1:20" x14ac:dyDescent="0.25">
      <c r="A1255" s="26">
        <v>44013</v>
      </c>
      <c r="B1255" s="17"/>
      <c r="C1255" s="7" t="s">
        <v>415</v>
      </c>
      <c r="D1255" s="36"/>
      <c r="E1255" s="17"/>
      <c r="F1255" s="17"/>
      <c r="G1255" s="17"/>
      <c r="H1255" s="17"/>
      <c r="I1255" s="17"/>
      <c r="J1255" s="17"/>
      <c r="K1255" s="17"/>
      <c r="L1255" s="17">
        <v>18.63</v>
      </c>
      <c r="M1255" s="17"/>
      <c r="N1255" s="17">
        <v>495.13</v>
      </c>
      <c r="O1255" s="17"/>
      <c r="P1255" s="17"/>
      <c r="Q1255" s="17">
        <f t="shared" si="436"/>
        <v>600.730000000004</v>
      </c>
      <c r="R1255" s="2"/>
      <c r="S1255" s="8" t="s">
        <v>160</v>
      </c>
      <c r="T1255" s="8" t="s">
        <v>73</v>
      </c>
    </row>
    <row r="1256" spans="1:20" x14ac:dyDescent="0.25">
      <c r="A1256" s="26">
        <v>44018</v>
      </c>
      <c r="B1256" s="17">
        <v>1000</v>
      </c>
      <c r="D1256" s="36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>
        <f t="shared" si="436"/>
        <v>1600.7300000000041</v>
      </c>
      <c r="R1256" s="2"/>
      <c r="S1256" s="8">
        <v>26.51</v>
      </c>
      <c r="T1256" s="8">
        <v>4.6399999999999997</v>
      </c>
    </row>
    <row r="1257" spans="1:20" x14ac:dyDescent="0.25">
      <c r="A1257" s="26">
        <v>44019</v>
      </c>
      <c r="B1257" s="17"/>
      <c r="C1257" s="7" t="s">
        <v>222</v>
      </c>
      <c r="D1257" s="36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>
        <v>94.5</v>
      </c>
      <c r="O1257" s="17"/>
      <c r="P1257" s="17"/>
      <c r="Q1257" s="17">
        <f t="shared" si="436"/>
        <v>1695.2300000000041</v>
      </c>
      <c r="R1257" s="2"/>
      <c r="S1257" s="8">
        <v>24.07</v>
      </c>
      <c r="T1257" s="8">
        <v>1.77</v>
      </c>
    </row>
    <row r="1258" spans="1:20" x14ac:dyDescent="0.25">
      <c r="A1258" s="26">
        <v>44019</v>
      </c>
      <c r="B1258" s="17"/>
      <c r="C1258" s="7" t="s">
        <v>374</v>
      </c>
      <c r="D1258" s="36">
        <v>5</v>
      </c>
      <c r="E1258" s="17">
        <v>70.349999999999994</v>
      </c>
      <c r="F1258" s="17">
        <f t="shared" ref="F1258:F1259" si="463">D1258*E1258</f>
        <v>351.75</v>
      </c>
      <c r="G1258" s="17">
        <v>0.12</v>
      </c>
      <c r="H1258" s="17">
        <v>0.01</v>
      </c>
      <c r="I1258" s="17"/>
      <c r="J1258" s="17"/>
      <c r="K1258" s="17">
        <f t="shared" ref="K1258:K1259" si="464">SUM(F1258:J1258)</f>
        <v>351.88</v>
      </c>
      <c r="L1258" s="17"/>
      <c r="M1258" s="17"/>
      <c r="N1258" s="17"/>
      <c r="O1258" s="17"/>
      <c r="P1258" s="17"/>
      <c r="Q1258" s="17">
        <f t="shared" si="436"/>
        <v>1343.350000000004</v>
      </c>
      <c r="R1258" s="2"/>
      <c r="S1258" s="8">
        <v>26.98</v>
      </c>
      <c r="T1258" s="8">
        <v>4.6399999999999997</v>
      </c>
    </row>
    <row r="1259" spans="1:20" x14ac:dyDescent="0.25">
      <c r="A1259" s="26">
        <v>44019</v>
      </c>
      <c r="B1259" s="17"/>
      <c r="C1259" s="7" t="s">
        <v>364</v>
      </c>
      <c r="D1259" s="36">
        <v>5</v>
      </c>
      <c r="E1259" s="17">
        <v>101.42</v>
      </c>
      <c r="F1259" s="17">
        <f t="shared" si="463"/>
        <v>507.1</v>
      </c>
      <c r="G1259" s="17">
        <v>0.11</v>
      </c>
      <c r="H1259" s="17">
        <v>0.01</v>
      </c>
      <c r="I1259" s="17"/>
      <c r="J1259" s="17"/>
      <c r="K1259" s="17">
        <f t="shared" si="464"/>
        <v>507.22</v>
      </c>
      <c r="L1259" s="17"/>
      <c r="M1259" s="17"/>
      <c r="N1259" s="17"/>
      <c r="O1259" s="17"/>
      <c r="P1259" s="17"/>
      <c r="Q1259" s="17">
        <f t="shared" si="436"/>
        <v>836.13000000000397</v>
      </c>
      <c r="R1259" s="2"/>
      <c r="S1259" s="8">
        <v>27.44</v>
      </c>
      <c r="T1259" s="8">
        <v>7.95</v>
      </c>
    </row>
    <row r="1260" spans="1:20" x14ac:dyDescent="0.25">
      <c r="A1260" s="26">
        <v>44020</v>
      </c>
      <c r="B1260" s="17"/>
      <c r="C1260" s="7" t="s">
        <v>234</v>
      </c>
      <c r="D1260" s="36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>
        <v>25.6</v>
      </c>
      <c r="O1260" s="17"/>
      <c r="P1260" s="17"/>
      <c r="Q1260" s="17">
        <f t="shared" ref="Q1260:Q1343" si="465">Q1259+B1260-K1260-L1260-M1260+N1260+O1260+P1260</f>
        <v>861.730000000004</v>
      </c>
      <c r="R1260" s="118"/>
      <c r="S1260" s="8">
        <v>26.51</v>
      </c>
      <c r="T1260" s="8">
        <v>4.5599999999999996</v>
      </c>
    </row>
    <row r="1261" spans="1:20" x14ac:dyDescent="0.25">
      <c r="A1261" s="26">
        <v>44020</v>
      </c>
      <c r="B1261" s="17"/>
      <c r="C1261" s="7" t="s">
        <v>186</v>
      </c>
      <c r="D1261" s="36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>
        <f>75+43</f>
        <v>118</v>
      </c>
      <c r="O1261" s="17"/>
      <c r="P1261" s="17"/>
      <c r="Q1261" s="17">
        <f t="shared" si="465"/>
        <v>979.730000000004</v>
      </c>
      <c r="R1261" s="2"/>
      <c r="S1261" s="8">
        <v>7.1</v>
      </c>
      <c r="T1261" s="8">
        <v>3.98</v>
      </c>
    </row>
    <row r="1262" spans="1:20" x14ac:dyDescent="0.25">
      <c r="A1262" s="26">
        <v>44021</v>
      </c>
      <c r="B1262" s="17"/>
      <c r="C1262" s="7" t="s">
        <v>456</v>
      </c>
      <c r="D1262" s="36">
        <v>-57</v>
      </c>
      <c r="E1262" s="17">
        <v>0.85</v>
      </c>
      <c r="F1262" s="17">
        <f t="shared" ref="F1262" si="466">D1262*E1262</f>
        <v>-48.449999999999996</v>
      </c>
      <c r="G1262" s="17">
        <v>0.05</v>
      </c>
      <c r="H1262" s="17">
        <v>0.01</v>
      </c>
      <c r="I1262" s="17"/>
      <c r="J1262" s="17"/>
      <c r="K1262" s="17">
        <f t="shared" ref="K1262:K1263" si="467">SUM(F1262:J1262)</f>
        <v>-48.39</v>
      </c>
      <c r="L1262" s="17"/>
      <c r="M1262" s="17"/>
      <c r="N1262" s="17"/>
      <c r="O1262" s="17"/>
      <c r="P1262" s="17"/>
      <c r="Q1262" s="17">
        <f t="shared" si="465"/>
        <v>1028.120000000004</v>
      </c>
      <c r="R1262" s="2"/>
      <c r="S1262" s="8">
        <v>23.19</v>
      </c>
      <c r="T1262" s="8">
        <v>5.43</v>
      </c>
    </row>
    <row r="1263" spans="1:20" x14ac:dyDescent="0.25">
      <c r="A1263" s="26">
        <v>44021</v>
      </c>
      <c r="B1263" s="17"/>
      <c r="C1263" s="7" t="s">
        <v>374</v>
      </c>
      <c r="D1263" s="36">
        <v>5</v>
      </c>
      <c r="E1263" s="17">
        <v>70.069999999999993</v>
      </c>
      <c r="F1263" s="17">
        <f t="shared" ref="F1263" si="468">D1263*E1263</f>
        <v>350.34999999999997</v>
      </c>
      <c r="G1263" s="17">
        <v>0.05</v>
      </c>
      <c r="H1263" s="17">
        <v>0</v>
      </c>
      <c r="I1263" s="17"/>
      <c r="J1263" s="17"/>
      <c r="K1263" s="17">
        <f t="shared" si="467"/>
        <v>350.4</v>
      </c>
      <c r="L1263" s="17"/>
      <c r="M1263" s="17"/>
      <c r="N1263" s="17"/>
      <c r="O1263" s="17"/>
      <c r="P1263" s="17"/>
      <c r="Q1263" s="17">
        <f t="shared" si="465"/>
        <v>677.72000000000401</v>
      </c>
      <c r="R1263" s="118"/>
      <c r="S1263" s="8">
        <v>17.04</v>
      </c>
      <c r="T1263" s="8">
        <v>3.64</v>
      </c>
    </row>
    <row r="1264" spans="1:20" x14ac:dyDescent="0.25">
      <c r="A1264" s="26">
        <v>44022</v>
      </c>
      <c r="B1264" s="17"/>
      <c r="C1264" s="7" t="s">
        <v>377</v>
      </c>
      <c r="D1264" s="36">
        <v>7</v>
      </c>
      <c r="E1264" s="17">
        <v>88.77</v>
      </c>
      <c r="F1264" s="17">
        <f t="shared" ref="F1264" si="469">D1264*E1264</f>
        <v>621.39</v>
      </c>
      <c r="G1264" s="17">
        <v>0.17</v>
      </c>
      <c r="H1264" s="17">
        <v>0.01</v>
      </c>
      <c r="I1264" s="17"/>
      <c r="J1264" s="17"/>
      <c r="K1264" s="17">
        <f t="shared" ref="K1264" si="470">SUM(F1264:J1264)</f>
        <v>621.56999999999994</v>
      </c>
      <c r="L1264" s="17"/>
      <c r="M1264" s="17"/>
      <c r="N1264" s="17"/>
      <c r="O1264" s="17"/>
      <c r="P1264" s="17"/>
      <c r="Q1264" s="17">
        <f t="shared" si="465"/>
        <v>56.15000000000407</v>
      </c>
      <c r="R1264" s="2"/>
      <c r="S1264" s="8">
        <v>20.82</v>
      </c>
      <c r="T1264" s="8">
        <v>9.36</v>
      </c>
    </row>
    <row r="1265" spans="1:20" x14ac:dyDescent="0.25">
      <c r="A1265" s="26">
        <v>44026</v>
      </c>
      <c r="B1265" s="17"/>
      <c r="C1265" s="7" t="s">
        <v>169</v>
      </c>
      <c r="D1265" s="36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>
        <v>29.07</v>
      </c>
      <c r="O1265" s="17"/>
      <c r="P1265" s="17"/>
      <c r="Q1265" s="17">
        <f t="shared" si="465"/>
        <v>85.220000000004063</v>
      </c>
      <c r="R1265" s="2"/>
      <c r="S1265" s="8">
        <v>26.51</v>
      </c>
      <c r="T1265" s="8">
        <v>4.6399999999999997</v>
      </c>
    </row>
    <row r="1266" spans="1:20" x14ac:dyDescent="0.25">
      <c r="A1266" s="26">
        <v>44026</v>
      </c>
      <c r="B1266" s="17"/>
      <c r="C1266" s="7" t="s">
        <v>377</v>
      </c>
      <c r="D1266" s="36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>
        <v>5.74</v>
      </c>
      <c r="O1266" s="17"/>
      <c r="P1266" s="17"/>
      <c r="Q1266" s="17">
        <f t="shared" si="465"/>
        <v>90.960000000004058</v>
      </c>
      <c r="R1266" s="2"/>
      <c r="S1266" s="8">
        <v>22.72</v>
      </c>
      <c r="T1266" s="8">
        <v>4.8</v>
      </c>
    </row>
    <row r="1267" spans="1:20" x14ac:dyDescent="0.25">
      <c r="A1267" s="26">
        <v>44026</v>
      </c>
      <c r="B1267" s="17"/>
      <c r="C1267" s="7" t="s">
        <v>183</v>
      </c>
      <c r="D1267" s="36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>
        <v>3.68</v>
      </c>
      <c r="O1267" s="17"/>
      <c r="P1267" s="17"/>
      <c r="Q1267" s="17">
        <f t="shared" si="465"/>
        <v>94.640000000004065</v>
      </c>
      <c r="R1267" s="2"/>
      <c r="S1267" s="8">
        <v>19.25</v>
      </c>
      <c r="T1267" s="8">
        <v>4.72</v>
      </c>
    </row>
    <row r="1268" spans="1:20" x14ac:dyDescent="0.25">
      <c r="A1268" s="26">
        <v>44026</v>
      </c>
      <c r="B1268" s="17"/>
      <c r="C1268" s="7" t="s">
        <v>364</v>
      </c>
      <c r="D1268" s="36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>
        <v>82.6</v>
      </c>
      <c r="O1268" s="17"/>
      <c r="P1268" s="17"/>
      <c r="Q1268" s="17">
        <f t="shared" si="465"/>
        <v>177.24000000000404</v>
      </c>
      <c r="R1268" s="2"/>
      <c r="S1268" s="8">
        <v>28.4</v>
      </c>
      <c r="T1268" s="8">
        <v>0.72</v>
      </c>
    </row>
    <row r="1269" spans="1:20" x14ac:dyDescent="0.25">
      <c r="A1269" s="26">
        <v>44026</v>
      </c>
      <c r="B1269" s="17"/>
      <c r="C1269" s="7" t="s">
        <v>408</v>
      </c>
      <c r="D1269" s="36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>
        <v>37.799999999999997</v>
      </c>
      <c r="O1269" s="17"/>
      <c r="P1269" s="17"/>
      <c r="Q1269" s="17">
        <f t="shared" si="465"/>
        <v>215.04000000000406</v>
      </c>
      <c r="R1269" s="2"/>
      <c r="S1269" s="8">
        <v>24.07</v>
      </c>
      <c r="T1269" s="8">
        <v>1.69</v>
      </c>
    </row>
    <row r="1270" spans="1:20" x14ac:dyDescent="0.25">
      <c r="A1270" s="26">
        <v>44026</v>
      </c>
      <c r="B1270" s="17"/>
      <c r="C1270" s="7" t="s">
        <v>173</v>
      </c>
      <c r="D1270" s="36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>
        <v>246</v>
      </c>
      <c r="O1270" s="17"/>
      <c r="P1270" s="17"/>
      <c r="Q1270" s="17">
        <f t="shared" si="465"/>
        <v>461.04000000000406</v>
      </c>
      <c r="R1270" s="2"/>
      <c r="S1270" s="8">
        <v>25.08</v>
      </c>
      <c r="T1270" s="8">
        <v>4.3099999999999996</v>
      </c>
    </row>
    <row r="1271" spans="1:20" x14ac:dyDescent="0.25">
      <c r="A1271" s="26">
        <v>44026</v>
      </c>
      <c r="B1271" s="17"/>
      <c r="C1271" s="7" t="s">
        <v>221</v>
      </c>
      <c r="D1271" s="36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>
        <v>141.54</v>
      </c>
      <c r="O1271" s="17"/>
      <c r="P1271" s="17"/>
      <c r="Q1271" s="17">
        <f t="shared" si="465"/>
        <v>602.58000000000402</v>
      </c>
      <c r="R1271" s="2"/>
      <c r="S1271" s="8">
        <v>23.67</v>
      </c>
      <c r="T1271" s="8">
        <v>2.98</v>
      </c>
    </row>
    <row r="1272" spans="1:20" x14ac:dyDescent="0.25">
      <c r="A1272" s="26">
        <v>44026</v>
      </c>
      <c r="B1272" s="17"/>
      <c r="C1272" s="7" t="s">
        <v>267</v>
      </c>
      <c r="D1272" s="36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>
        <v>20.399999999999999</v>
      </c>
      <c r="O1272" s="17"/>
      <c r="P1272" s="17"/>
      <c r="Q1272" s="17">
        <f t="shared" si="465"/>
        <v>622.980000000004</v>
      </c>
      <c r="R1272" s="2"/>
      <c r="S1272" s="8">
        <v>45.44</v>
      </c>
      <c r="T1272" s="8">
        <v>4.97</v>
      </c>
    </row>
    <row r="1273" spans="1:20" x14ac:dyDescent="0.25">
      <c r="A1273" s="26">
        <v>44026</v>
      </c>
      <c r="B1273" s="17"/>
      <c r="C1273" s="7" t="s">
        <v>184</v>
      </c>
      <c r="D1273" s="36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>
        <v>20</v>
      </c>
      <c r="O1273" s="17"/>
      <c r="P1273" s="17"/>
      <c r="Q1273" s="17">
        <f t="shared" si="465"/>
        <v>642.980000000004</v>
      </c>
      <c r="R1273" s="2"/>
      <c r="S1273" s="8">
        <v>61.13</v>
      </c>
      <c r="T1273" s="8">
        <v>4.3899999999999997</v>
      </c>
    </row>
    <row r="1274" spans="1:20" x14ac:dyDescent="0.25">
      <c r="A1274" s="26">
        <v>44027</v>
      </c>
      <c r="B1274" s="17"/>
      <c r="C1274" s="7" t="s">
        <v>181</v>
      </c>
      <c r="D1274" s="36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>
        <v>46.2</v>
      </c>
      <c r="O1274" s="17"/>
      <c r="P1274" s="17"/>
      <c r="Q1274" s="17">
        <f t="shared" si="465"/>
        <v>689.18000000000404</v>
      </c>
      <c r="R1274" s="2"/>
      <c r="S1274" s="8">
        <v>19.25</v>
      </c>
      <c r="T1274" s="8">
        <v>1.24</v>
      </c>
    </row>
    <row r="1275" spans="1:20" x14ac:dyDescent="0.25">
      <c r="A1275" s="26">
        <v>44027</v>
      </c>
      <c r="B1275" s="17"/>
      <c r="C1275" s="7" t="s">
        <v>217</v>
      </c>
      <c r="D1275" s="36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>
        <v>87.21</v>
      </c>
      <c r="O1275" s="17"/>
      <c r="P1275" s="17"/>
      <c r="Q1275" s="17">
        <f t="shared" si="465"/>
        <v>776.39000000000408</v>
      </c>
      <c r="R1275" s="2"/>
      <c r="S1275" s="8">
        <v>41.39</v>
      </c>
      <c r="T1275" s="8">
        <v>4.0599999999999996</v>
      </c>
    </row>
    <row r="1276" spans="1:20" x14ac:dyDescent="0.25">
      <c r="A1276" s="26">
        <v>44027</v>
      </c>
      <c r="B1276" s="17"/>
      <c r="C1276" s="7" t="s">
        <v>374</v>
      </c>
      <c r="D1276" s="36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>
        <v>41.28</v>
      </c>
      <c r="O1276" s="17"/>
      <c r="P1276" s="17"/>
      <c r="Q1276" s="17">
        <f t="shared" si="465"/>
        <v>817.67000000000405</v>
      </c>
      <c r="R1276" s="2"/>
      <c r="S1276" s="8">
        <v>26.03</v>
      </c>
      <c r="T1276" s="8">
        <v>4.1399999999999997</v>
      </c>
    </row>
    <row r="1277" spans="1:20" x14ac:dyDescent="0.25">
      <c r="A1277" s="26">
        <v>44027</v>
      </c>
      <c r="B1277" s="17"/>
      <c r="C1277" s="7" t="s">
        <v>374</v>
      </c>
      <c r="D1277" s="36">
        <v>10</v>
      </c>
      <c r="E1277" s="17">
        <v>69.989999999999995</v>
      </c>
      <c r="F1277" s="17">
        <f t="shared" ref="F1277" si="471">D1277*E1277</f>
        <v>699.9</v>
      </c>
      <c r="G1277" s="17">
        <v>0.19</v>
      </c>
      <c r="H1277" s="17">
        <v>0.02</v>
      </c>
      <c r="I1277" s="17"/>
      <c r="J1277" s="17"/>
      <c r="K1277" s="17">
        <f t="shared" ref="K1277" si="472">SUM(F1277:J1277)</f>
        <v>700.11</v>
      </c>
      <c r="L1277" s="17"/>
      <c r="M1277" s="17"/>
      <c r="N1277" s="17"/>
      <c r="O1277" s="17"/>
      <c r="P1277" s="17"/>
      <c r="Q1277" s="17">
        <f t="shared" si="465"/>
        <v>117.56000000000404</v>
      </c>
      <c r="R1277" s="2"/>
      <c r="S1277" s="8">
        <v>24.62</v>
      </c>
      <c r="T1277" s="8">
        <v>3.46</v>
      </c>
    </row>
    <row r="1278" spans="1:20" x14ac:dyDescent="0.25">
      <c r="A1278" s="26">
        <v>44028</v>
      </c>
      <c r="B1278" s="17"/>
      <c r="C1278" s="7" t="s">
        <v>220</v>
      </c>
      <c r="D1278" s="36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>
        <v>27.5</v>
      </c>
      <c r="O1278" s="17"/>
      <c r="P1278" s="17"/>
      <c r="Q1278" s="17">
        <f t="shared" si="465"/>
        <v>145.06000000000404</v>
      </c>
      <c r="R1278" s="2"/>
    </row>
    <row r="1279" spans="1:20" x14ac:dyDescent="0.25">
      <c r="A1279" s="26">
        <v>44029</v>
      </c>
      <c r="B1279" s="17"/>
      <c r="C1279" s="7" t="s">
        <v>355</v>
      </c>
      <c r="D1279" s="36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>
        <v>57.66</v>
      </c>
      <c r="O1279" s="17"/>
      <c r="P1279" s="17"/>
      <c r="Q1279" s="17">
        <f t="shared" si="465"/>
        <v>202.72000000000403</v>
      </c>
      <c r="R1279" s="2"/>
      <c r="S1279" s="8">
        <f>SUM(S1256:S1277)</f>
        <v>587.21999999999991</v>
      </c>
      <c r="T1279" s="8">
        <f>SUM(T1256:T1277)</f>
        <v>92.089999999999989</v>
      </c>
    </row>
    <row r="1280" spans="1:20" x14ac:dyDescent="0.25">
      <c r="A1280" s="26">
        <v>44032</v>
      </c>
      <c r="B1280" s="17">
        <v>1000</v>
      </c>
      <c r="D1280" s="36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>
        <f t="shared" si="465"/>
        <v>1202.7200000000041</v>
      </c>
      <c r="R1280" s="2"/>
    </row>
    <row r="1281" spans="1:20" x14ac:dyDescent="0.25">
      <c r="A1281" s="26">
        <v>44033</v>
      </c>
      <c r="B1281" s="17"/>
      <c r="C1281" s="7" t="s">
        <v>383</v>
      </c>
      <c r="D1281" s="36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>
        <v>33.51</v>
      </c>
      <c r="O1281" s="17"/>
      <c r="P1281" s="17"/>
      <c r="Q1281" s="17">
        <f t="shared" si="465"/>
        <v>1236.2300000000041</v>
      </c>
      <c r="R1281" s="2"/>
      <c r="T1281" s="8">
        <f>S1279-T1279</f>
        <v>495.12999999999994</v>
      </c>
    </row>
    <row r="1282" spans="1:20" x14ac:dyDescent="0.25">
      <c r="A1282" s="26">
        <v>44033</v>
      </c>
      <c r="B1282" s="17"/>
      <c r="C1282" s="7" t="s">
        <v>377</v>
      </c>
      <c r="D1282" s="36">
        <v>10</v>
      </c>
      <c r="E1282" s="17">
        <v>86.55</v>
      </c>
      <c r="F1282" s="17">
        <f t="shared" ref="F1282" si="473">D1282*E1282</f>
        <v>865.5</v>
      </c>
      <c r="G1282" s="17">
        <v>0.23</v>
      </c>
      <c r="H1282" s="17">
        <v>0.02</v>
      </c>
      <c r="I1282" s="17"/>
      <c r="J1282" s="17"/>
      <c r="K1282" s="17">
        <f t="shared" ref="K1282" si="474">SUM(F1282:J1282)</f>
        <v>865.75</v>
      </c>
      <c r="L1282" s="17"/>
      <c r="M1282" s="17"/>
      <c r="N1282" s="17"/>
      <c r="O1282" s="17"/>
      <c r="P1282" s="17"/>
      <c r="Q1282" s="17">
        <f t="shared" si="465"/>
        <v>370.48000000000411</v>
      </c>
      <c r="R1282" s="2"/>
    </row>
    <row r="1283" spans="1:20" x14ac:dyDescent="0.25">
      <c r="A1283" s="26">
        <v>44036</v>
      </c>
      <c r="B1283" s="17"/>
      <c r="C1283" s="7" t="s">
        <v>270</v>
      </c>
      <c r="D1283" s="36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>
        <v>31.95</v>
      </c>
      <c r="O1283" s="17"/>
      <c r="P1283" s="17"/>
      <c r="Q1283" s="17">
        <f t="shared" si="465"/>
        <v>402.4300000000041</v>
      </c>
      <c r="R1283" s="2"/>
      <c r="S1283" s="8"/>
      <c r="T1283" s="8"/>
    </row>
    <row r="1284" spans="1:20" x14ac:dyDescent="0.25">
      <c r="A1284" s="26">
        <v>44041</v>
      </c>
      <c r="B1284" s="17">
        <v>1000</v>
      </c>
      <c r="D1284" s="36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>
        <f t="shared" si="465"/>
        <v>1402.4300000000042</v>
      </c>
      <c r="R1284" s="2"/>
      <c r="S1284" s="8"/>
      <c r="T1284" s="8"/>
    </row>
    <row r="1285" spans="1:20" x14ac:dyDescent="0.25">
      <c r="A1285" s="26">
        <v>44041</v>
      </c>
      <c r="B1285" s="17"/>
      <c r="C1285" s="7" t="s">
        <v>383</v>
      </c>
      <c r="D1285" s="36">
        <v>10</v>
      </c>
      <c r="E1285" s="17">
        <v>92.9</v>
      </c>
      <c r="F1285" s="17">
        <f t="shared" ref="F1285" si="475">D1285*E1285</f>
        <v>929</v>
      </c>
      <c r="G1285" s="17">
        <v>0.25</v>
      </c>
      <c r="H1285" s="17">
        <v>0.02</v>
      </c>
      <c r="I1285" s="17"/>
      <c r="J1285" s="17"/>
      <c r="K1285" s="17">
        <f t="shared" ref="K1285" si="476">SUM(F1285:J1285)</f>
        <v>929.27</v>
      </c>
      <c r="L1285" s="17"/>
      <c r="M1285" s="17"/>
      <c r="N1285" s="17"/>
      <c r="O1285" s="17"/>
      <c r="P1285" s="17"/>
      <c r="Q1285" s="17">
        <f t="shared" si="465"/>
        <v>473.16000000000417</v>
      </c>
      <c r="R1285" s="2"/>
      <c r="S1285" s="8"/>
      <c r="T1285" s="8"/>
    </row>
    <row r="1286" spans="1:20" x14ac:dyDescent="0.25">
      <c r="A1286" s="26">
        <v>44043</v>
      </c>
      <c r="B1286" s="17">
        <v>2000</v>
      </c>
      <c r="D1286" s="36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>
        <f t="shared" si="465"/>
        <v>2473.1600000000044</v>
      </c>
      <c r="R1286" s="2"/>
      <c r="S1286" s="8"/>
      <c r="T1286" s="8"/>
    </row>
    <row r="1287" spans="1:20" x14ac:dyDescent="0.25">
      <c r="A1287" s="26">
        <v>44043</v>
      </c>
      <c r="B1287" s="17"/>
      <c r="C1287" s="7" t="s">
        <v>405</v>
      </c>
      <c r="D1287" s="36">
        <v>95</v>
      </c>
      <c r="E1287" s="17">
        <v>14.35</v>
      </c>
      <c r="F1287" s="17">
        <f t="shared" ref="F1287:F1288" si="477">D1287*E1287</f>
        <v>1363.25</v>
      </c>
      <c r="G1287" s="17">
        <f>0.33+0.2</f>
        <v>0.53</v>
      </c>
      <c r="H1287" s="17">
        <v>0.03</v>
      </c>
      <c r="I1287" s="17"/>
      <c r="J1287" s="17">
        <v>2.4900000000000002</v>
      </c>
      <c r="K1287" s="17">
        <f t="shared" ref="K1287:K1288" si="478">SUM(F1287:J1287)</f>
        <v>1366.3</v>
      </c>
      <c r="L1287" s="17"/>
      <c r="M1287" s="17"/>
      <c r="N1287" s="17"/>
      <c r="O1287" s="17"/>
      <c r="P1287" s="17"/>
      <c r="Q1287" s="17">
        <f t="shared" si="465"/>
        <v>1106.8600000000044</v>
      </c>
      <c r="R1287" s="2"/>
      <c r="S1287" s="8"/>
      <c r="T1287" s="8"/>
    </row>
    <row r="1288" spans="1:20" x14ac:dyDescent="0.25">
      <c r="A1288" s="26">
        <v>44043</v>
      </c>
      <c r="B1288" s="17"/>
      <c r="C1288" s="7" t="s">
        <v>85</v>
      </c>
      <c r="D1288" s="36">
        <v>100</v>
      </c>
      <c r="E1288" s="17">
        <v>10.69</v>
      </c>
      <c r="F1288" s="17">
        <f t="shared" si="477"/>
        <v>1069</v>
      </c>
      <c r="G1288" s="17">
        <f>0.33+0.28</f>
        <v>0.6100000000000001</v>
      </c>
      <c r="H1288" s="17">
        <v>0.04</v>
      </c>
      <c r="I1288" s="17"/>
      <c r="J1288" s="17">
        <v>2.4900000000000002</v>
      </c>
      <c r="K1288" s="17">
        <f t="shared" si="478"/>
        <v>1072.1399999999999</v>
      </c>
      <c r="L1288" s="17"/>
      <c r="M1288" s="17"/>
      <c r="N1288" s="17"/>
      <c r="O1288" s="17"/>
      <c r="P1288" s="17"/>
      <c r="Q1288" s="17">
        <f t="shared" si="465"/>
        <v>34.720000000004575</v>
      </c>
      <c r="R1288" s="2"/>
      <c r="S1288" s="8"/>
      <c r="T1288" s="8"/>
    </row>
    <row r="1289" spans="1:20" x14ac:dyDescent="0.25">
      <c r="A1289" s="26">
        <v>44048</v>
      </c>
      <c r="B1289" s="17">
        <v>1000</v>
      </c>
      <c r="D1289" s="36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>
        <f t="shared" si="465"/>
        <v>1034.7200000000046</v>
      </c>
      <c r="R1289" s="2"/>
      <c r="S1289" s="8"/>
      <c r="T1289" s="8"/>
    </row>
    <row r="1290" spans="1:20" x14ac:dyDescent="0.25">
      <c r="A1290" s="26">
        <v>44048</v>
      </c>
      <c r="B1290" s="17"/>
      <c r="C1290" s="7" t="s">
        <v>220</v>
      </c>
      <c r="D1290" s="36">
        <v>10</v>
      </c>
      <c r="E1290" s="17">
        <v>98</v>
      </c>
      <c r="F1290" s="17">
        <f t="shared" ref="F1290" si="479">D1290*E1290</f>
        <v>980</v>
      </c>
      <c r="G1290" s="17">
        <v>0</v>
      </c>
      <c r="H1290" s="17">
        <v>0</v>
      </c>
      <c r="I1290" s="17"/>
      <c r="J1290" s="17">
        <v>0</v>
      </c>
      <c r="K1290" s="17">
        <f t="shared" ref="K1290" si="480">SUM(F1290:J1290)</f>
        <v>980</v>
      </c>
      <c r="L1290" s="17"/>
      <c r="M1290" s="17"/>
      <c r="N1290" s="17"/>
      <c r="O1290" s="17"/>
      <c r="P1290" s="17"/>
      <c r="Q1290" s="17">
        <f t="shared" si="465"/>
        <v>54.720000000004575</v>
      </c>
      <c r="R1290" s="2"/>
      <c r="S1290" s="8"/>
      <c r="T1290" s="8"/>
    </row>
    <row r="1291" spans="1:20" x14ac:dyDescent="0.25">
      <c r="A1291" s="26">
        <v>44049</v>
      </c>
      <c r="B1291" s="17"/>
      <c r="C1291" s="7" t="s">
        <v>182</v>
      </c>
      <c r="D1291" s="36">
        <v>-400</v>
      </c>
      <c r="E1291" s="17">
        <v>14.05</v>
      </c>
      <c r="F1291" s="17">
        <f t="shared" ref="F1291" si="481">D1291*E1291</f>
        <v>-5620</v>
      </c>
      <c r="G1291" s="17">
        <f>1.5+0.24</f>
        <v>1.74</v>
      </c>
      <c r="H1291" s="17">
        <v>0.2</v>
      </c>
      <c r="I1291" s="17"/>
      <c r="J1291" s="17">
        <v>2.4900000000000002</v>
      </c>
      <c r="K1291" s="17">
        <f t="shared" ref="K1291" si="482">SUM(F1291:J1291)</f>
        <v>-5615.5700000000006</v>
      </c>
      <c r="L1291" s="17"/>
      <c r="M1291" s="17"/>
      <c r="N1291" s="17"/>
      <c r="O1291" s="17"/>
      <c r="P1291" s="17"/>
      <c r="Q1291" s="17">
        <f t="shared" si="465"/>
        <v>5670.2900000000054</v>
      </c>
      <c r="R1291" s="2"/>
      <c r="S1291" s="8"/>
      <c r="T1291" s="8"/>
    </row>
    <row r="1292" spans="1:20" x14ac:dyDescent="0.25">
      <c r="A1292" s="26">
        <v>44049</v>
      </c>
      <c r="B1292" s="17"/>
      <c r="C1292" s="7" t="s">
        <v>405</v>
      </c>
      <c r="D1292" s="36">
        <v>400</v>
      </c>
      <c r="E1292" s="17">
        <v>13.75</v>
      </c>
      <c r="F1292" s="17">
        <f t="shared" ref="F1292" si="483">D1292*E1292</f>
        <v>5500</v>
      </c>
      <c r="G1292" s="17">
        <f>1.55+0.24</f>
        <v>1.79</v>
      </c>
      <c r="H1292" s="17">
        <v>0.15</v>
      </c>
      <c r="I1292" s="17"/>
      <c r="J1292" s="17">
        <v>2.4900000000000002</v>
      </c>
      <c r="K1292" s="17">
        <f t="shared" ref="K1292" si="484">SUM(F1292:J1292)</f>
        <v>5504.4299999999994</v>
      </c>
      <c r="L1292" s="17"/>
      <c r="M1292" s="17"/>
      <c r="N1292" s="17"/>
      <c r="O1292" s="17"/>
      <c r="P1292" s="17"/>
      <c r="Q1292" s="17">
        <f t="shared" si="465"/>
        <v>165.86000000000604</v>
      </c>
      <c r="R1292" s="2"/>
      <c r="S1292" s="8"/>
      <c r="T1292" s="8"/>
    </row>
    <row r="1293" spans="1:20" x14ac:dyDescent="0.25">
      <c r="A1293" s="26">
        <v>44050</v>
      </c>
      <c r="B1293" s="17"/>
      <c r="C1293" s="7" t="s">
        <v>222</v>
      </c>
      <c r="D1293" s="36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>
        <v>87.5</v>
      </c>
      <c r="O1293" s="17"/>
      <c r="P1293" s="17"/>
      <c r="Q1293" s="17">
        <f t="shared" si="465"/>
        <v>253.36000000000604</v>
      </c>
      <c r="R1293" s="2"/>
      <c r="S1293" s="8"/>
      <c r="T1293" s="8"/>
    </row>
    <row r="1294" spans="1:20" x14ac:dyDescent="0.25">
      <c r="A1294" s="26">
        <v>44053</v>
      </c>
      <c r="B1294" s="17"/>
      <c r="C1294" s="7" t="s">
        <v>186</v>
      </c>
      <c r="D1294" s="36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>
        <f>75+87</f>
        <v>162</v>
      </c>
      <c r="O1294" s="17"/>
      <c r="P1294" s="17"/>
      <c r="Q1294" s="17">
        <f t="shared" si="465"/>
        <v>415.36000000000604</v>
      </c>
      <c r="R1294" s="2"/>
      <c r="S1294" s="8"/>
      <c r="T1294" s="8"/>
    </row>
    <row r="1295" spans="1:20" x14ac:dyDescent="0.25">
      <c r="A1295" s="26">
        <v>44053</v>
      </c>
      <c r="B1295" s="17"/>
      <c r="C1295" s="7" t="s">
        <v>234</v>
      </c>
      <c r="D1295" s="36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>
        <v>25.6</v>
      </c>
      <c r="O1295" s="17"/>
      <c r="P1295" s="17"/>
      <c r="Q1295" s="17">
        <f t="shared" si="465"/>
        <v>440.96000000000606</v>
      </c>
      <c r="R1295" s="2"/>
      <c r="S1295" s="8"/>
      <c r="T1295" s="8"/>
    </row>
    <row r="1296" spans="1:20" x14ac:dyDescent="0.25">
      <c r="A1296" s="26">
        <v>44057</v>
      </c>
      <c r="B1296" s="17"/>
      <c r="C1296" s="7" t="s">
        <v>221</v>
      </c>
      <c r="D1296" s="36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>
        <v>141.54</v>
      </c>
      <c r="O1296" s="17"/>
      <c r="P1296" s="17"/>
      <c r="Q1296" s="17">
        <f t="shared" si="465"/>
        <v>582.50000000000603</v>
      </c>
      <c r="R1296" s="2"/>
      <c r="S1296" s="8"/>
      <c r="T1296" s="8"/>
    </row>
    <row r="1297" spans="1:20" x14ac:dyDescent="0.25">
      <c r="A1297" s="26">
        <v>44057</v>
      </c>
      <c r="B1297" s="17"/>
      <c r="C1297" s="7" t="s">
        <v>173</v>
      </c>
      <c r="D1297" s="36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>
        <v>276.75</v>
      </c>
      <c r="O1297" s="17"/>
      <c r="P1297" s="17"/>
      <c r="Q1297" s="17">
        <f t="shared" si="465"/>
        <v>859.25000000000603</v>
      </c>
      <c r="S1297" s="8"/>
      <c r="T1297" s="8"/>
    </row>
    <row r="1298" spans="1:20" x14ac:dyDescent="0.25">
      <c r="A1298" s="26">
        <v>44057</v>
      </c>
      <c r="B1298" s="17"/>
      <c r="C1298" s="7" t="s">
        <v>217</v>
      </c>
      <c r="D1298" s="36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>
        <v>88.74</v>
      </c>
      <c r="O1298" s="17"/>
      <c r="P1298" s="17"/>
      <c r="Q1298" s="17">
        <f t="shared" si="465"/>
        <v>947.99000000000603</v>
      </c>
      <c r="R1298" s="2"/>
      <c r="S1298" s="8"/>
      <c r="T1298" s="8"/>
    </row>
    <row r="1299" spans="1:20" x14ac:dyDescent="0.25">
      <c r="A1299" s="26">
        <v>44057</v>
      </c>
      <c r="B1299" s="17"/>
      <c r="C1299" s="7" t="s">
        <v>220</v>
      </c>
      <c r="D1299" s="36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>
        <v>30</v>
      </c>
      <c r="O1299" s="17"/>
      <c r="P1299" s="17"/>
      <c r="Q1299" s="17">
        <f t="shared" si="465"/>
        <v>977.99000000000603</v>
      </c>
      <c r="R1299" s="2"/>
      <c r="S1299" s="8"/>
      <c r="T1299" s="8"/>
    </row>
    <row r="1300" spans="1:20" x14ac:dyDescent="0.25">
      <c r="A1300" s="26">
        <v>44057</v>
      </c>
      <c r="B1300" s="17"/>
      <c r="C1300" s="7" t="s">
        <v>169</v>
      </c>
      <c r="D1300" s="36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>
        <v>27.54</v>
      </c>
      <c r="O1300" s="17"/>
      <c r="P1300" s="17"/>
      <c r="Q1300" s="17">
        <f t="shared" si="465"/>
        <v>1005.530000000006</v>
      </c>
      <c r="R1300" s="2"/>
      <c r="S1300" s="8"/>
      <c r="T1300" s="8"/>
    </row>
    <row r="1301" spans="1:20" x14ac:dyDescent="0.25">
      <c r="A1301" s="26">
        <v>44057</v>
      </c>
      <c r="B1301" s="17"/>
      <c r="C1301" s="7" t="s">
        <v>181</v>
      </c>
      <c r="D1301" s="36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>
        <v>52.5</v>
      </c>
      <c r="O1301" s="17"/>
      <c r="P1301" s="17"/>
      <c r="Q1301" s="17">
        <f t="shared" si="465"/>
        <v>1058.0300000000061</v>
      </c>
      <c r="R1301" s="2"/>
      <c r="S1301" s="8"/>
      <c r="T1301" s="8"/>
    </row>
    <row r="1302" spans="1:20" x14ac:dyDescent="0.25">
      <c r="A1302" s="26">
        <v>44057</v>
      </c>
      <c r="B1302" s="17"/>
      <c r="C1302" s="7" t="s">
        <v>408</v>
      </c>
      <c r="D1302" s="36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>
        <v>32.4</v>
      </c>
      <c r="O1302" s="17"/>
      <c r="P1302" s="17"/>
      <c r="Q1302" s="17">
        <f t="shared" si="465"/>
        <v>1090.4300000000062</v>
      </c>
      <c r="R1302" s="2"/>
      <c r="S1302" s="8"/>
      <c r="T1302" s="8"/>
    </row>
    <row r="1303" spans="1:20" x14ac:dyDescent="0.25">
      <c r="A1303" s="26">
        <v>44057</v>
      </c>
      <c r="B1303" s="17"/>
      <c r="C1303" s="7" t="s">
        <v>374</v>
      </c>
      <c r="D1303" s="36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>
        <v>60.32</v>
      </c>
      <c r="O1303" s="17"/>
      <c r="P1303" s="17"/>
      <c r="Q1303" s="17">
        <f t="shared" si="465"/>
        <v>1150.7500000000061</v>
      </c>
      <c r="R1303" s="2"/>
      <c r="S1303" s="8"/>
      <c r="T1303" s="8"/>
    </row>
    <row r="1304" spans="1:20" x14ac:dyDescent="0.25">
      <c r="A1304" s="26">
        <v>44057</v>
      </c>
      <c r="B1304" s="17"/>
      <c r="C1304" s="7" t="s">
        <v>267</v>
      </c>
      <c r="D1304" s="36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>
        <v>20.399999999999999</v>
      </c>
      <c r="O1304" s="17"/>
      <c r="P1304" s="17"/>
      <c r="Q1304" s="17">
        <f t="shared" si="465"/>
        <v>1171.1500000000062</v>
      </c>
      <c r="S1304" s="8"/>
      <c r="T1304" s="8"/>
    </row>
    <row r="1305" spans="1:20" x14ac:dyDescent="0.25">
      <c r="A1305" s="26">
        <v>44057</v>
      </c>
      <c r="B1305" s="17"/>
      <c r="C1305" s="7" t="s">
        <v>364</v>
      </c>
      <c r="D1305" s="36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>
        <v>82.6</v>
      </c>
      <c r="O1305" s="17"/>
      <c r="P1305" s="17"/>
      <c r="Q1305" s="17">
        <f t="shared" si="465"/>
        <v>1253.7500000000061</v>
      </c>
      <c r="R1305" s="2"/>
      <c r="S1305" s="8"/>
      <c r="T1305" s="8"/>
    </row>
    <row r="1306" spans="1:20" x14ac:dyDescent="0.25">
      <c r="A1306" s="26">
        <v>44057</v>
      </c>
      <c r="B1306" s="17"/>
      <c r="C1306" s="7" t="s">
        <v>377</v>
      </c>
      <c r="D1306" s="36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>
        <v>8.6999999999999993</v>
      </c>
      <c r="O1306" s="17"/>
      <c r="P1306" s="17"/>
      <c r="Q1306" s="17">
        <f t="shared" si="465"/>
        <v>1262.4500000000062</v>
      </c>
      <c r="R1306" s="2"/>
      <c r="S1306" s="8"/>
      <c r="T1306" s="8"/>
    </row>
    <row r="1307" spans="1:20" x14ac:dyDescent="0.25">
      <c r="A1307" s="26">
        <v>44057</v>
      </c>
      <c r="B1307" s="17"/>
      <c r="C1307" s="7" t="s">
        <v>405</v>
      </c>
      <c r="D1307" s="36">
        <v>90</v>
      </c>
      <c r="E1307" s="17">
        <v>13.73</v>
      </c>
      <c r="F1307" s="17">
        <f t="shared" ref="F1307" si="485">D1307*E1307</f>
        <v>1235.7</v>
      </c>
      <c r="G1307" s="17">
        <f>0.33+0.24</f>
        <v>0.57000000000000006</v>
      </c>
      <c r="H1307" s="17">
        <v>0.03</v>
      </c>
      <c r="I1307" s="17"/>
      <c r="J1307" s="17">
        <v>2.4900000000000002</v>
      </c>
      <c r="K1307" s="17">
        <f t="shared" ref="K1307" si="486">SUM(F1307:J1307)</f>
        <v>1238.79</v>
      </c>
      <c r="L1307" s="17"/>
      <c r="M1307" s="17"/>
      <c r="N1307" s="17"/>
      <c r="O1307" s="17"/>
      <c r="P1307" s="17"/>
      <c r="Q1307" s="17">
        <f t="shared" si="465"/>
        <v>23.660000000006221</v>
      </c>
      <c r="R1307" s="2"/>
      <c r="S1307" s="8"/>
      <c r="T1307" s="8"/>
    </row>
    <row r="1308" spans="1:20" x14ac:dyDescent="0.25">
      <c r="A1308" s="26">
        <v>44060</v>
      </c>
      <c r="B1308" s="17"/>
      <c r="C1308" s="7" t="s">
        <v>384</v>
      </c>
      <c r="D1308" s="36">
        <v>-728</v>
      </c>
      <c r="E1308" s="17">
        <v>0.05</v>
      </c>
      <c r="F1308" s="17">
        <f t="shared" ref="F1308" si="487">D1308*E1308</f>
        <v>-36.4</v>
      </c>
      <c r="G1308" s="17">
        <v>0.01</v>
      </c>
      <c r="H1308" s="17">
        <v>0</v>
      </c>
      <c r="I1308" s="17"/>
      <c r="J1308" s="17">
        <v>0</v>
      </c>
      <c r="K1308" s="17">
        <f t="shared" ref="K1308" si="488">SUM(F1308:J1308)</f>
        <v>-36.39</v>
      </c>
      <c r="L1308" s="17"/>
      <c r="M1308" s="17"/>
      <c r="N1308" s="17"/>
      <c r="O1308" s="17"/>
      <c r="P1308" s="17"/>
      <c r="Q1308" s="17">
        <f t="shared" si="465"/>
        <v>60.050000000006222</v>
      </c>
      <c r="R1308" s="2"/>
    </row>
    <row r="1309" spans="1:20" x14ac:dyDescent="0.25">
      <c r="A1309" s="26">
        <v>44060</v>
      </c>
      <c r="B1309" s="17"/>
      <c r="C1309" s="7" t="s">
        <v>494</v>
      </c>
      <c r="D1309" s="36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>
        <v>434.49</v>
      </c>
      <c r="O1309" s="17"/>
      <c r="P1309" s="17"/>
      <c r="Q1309" s="17">
        <f t="shared" si="465"/>
        <v>494.54000000000622</v>
      </c>
      <c r="S1309" s="8" t="s">
        <v>160</v>
      </c>
      <c r="T1309" s="8" t="s">
        <v>73</v>
      </c>
    </row>
    <row r="1310" spans="1:20" x14ac:dyDescent="0.25">
      <c r="A1310" s="26">
        <v>44062</v>
      </c>
      <c r="B1310" s="17"/>
      <c r="C1310" s="7" t="s">
        <v>355</v>
      </c>
      <c r="D1310" s="36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>
        <v>51.75</v>
      </c>
      <c r="O1310" s="17"/>
      <c r="P1310" s="17"/>
      <c r="Q1310" s="17">
        <f t="shared" si="465"/>
        <v>546.29000000000622</v>
      </c>
      <c r="R1310" s="2"/>
      <c r="S1310" s="8">
        <v>19.309999999999999</v>
      </c>
      <c r="T1310" s="8">
        <v>4.34</v>
      </c>
    </row>
    <row r="1311" spans="1:20" x14ac:dyDescent="0.25">
      <c r="A1311" s="26">
        <v>44063</v>
      </c>
      <c r="B1311" s="17">
        <v>1000</v>
      </c>
      <c r="D1311" s="36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>
        <f t="shared" si="465"/>
        <v>1546.2900000000063</v>
      </c>
      <c r="R1311" s="2"/>
      <c r="S1311" s="8">
        <v>33.79</v>
      </c>
      <c r="T1311" s="8">
        <v>2.9</v>
      </c>
    </row>
    <row r="1312" spans="1:20" x14ac:dyDescent="0.25">
      <c r="A1312" s="26">
        <v>44064</v>
      </c>
      <c r="B1312" s="17"/>
      <c r="C1312" s="7" t="s">
        <v>221</v>
      </c>
      <c r="D1312" s="36">
        <v>100</v>
      </c>
      <c r="E1312" s="17">
        <v>10.28</v>
      </c>
      <c r="F1312" s="17">
        <f t="shared" ref="F1312" si="489">D1312*E1312</f>
        <v>1028</v>
      </c>
      <c r="G1312" s="17">
        <v>0</v>
      </c>
      <c r="H1312" s="17">
        <v>0</v>
      </c>
      <c r="I1312" s="17"/>
      <c r="J1312" s="17">
        <v>0</v>
      </c>
      <c r="K1312" s="17">
        <f t="shared" ref="K1312" si="490">SUM(F1312:J1312)</f>
        <v>1028</v>
      </c>
      <c r="L1312" s="17"/>
      <c r="M1312" s="17"/>
      <c r="N1312" s="17"/>
      <c r="O1312" s="17"/>
      <c r="P1312" s="17"/>
      <c r="Q1312" s="17">
        <f t="shared" si="465"/>
        <v>518.29000000000633</v>
      </c>
      <c r="R1312" s="2" t="s">
        <v>351</v>
      </c>
      <c r="S1312" s="8">
        <v>19.309999999999999</v>
      </c>
      <c r="T1312" s="8">
        <v>2.9</v>
      </c>
    </row>
    <row r="1313" spans="1:20" x14ac:dyDescent="0.25">
      <c r="A1313" s="26">
        <v>44064</v>
      </c>
      <c r="B1313" s="17"/>
      <c r="C1313" s="7" t="s">
        <v>383</v>
      </c>
      <c r="D1313" s="36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>
        <v>20</v>
      </c>
      <c r="O1313" s="17"/>
      <c r="P1313" s="17"/>
      <c r="Q1313" s="17">
        <f t="shared" si="465"/>
        <v>538.29000000000633</v>
      </c>
      <c r="R1313" s="2"/>
      <c r="S1313" s="8">
        <v>10.62</v>
      </c>
      <c r="T1313" s="8">
        <v>2.9</v>
      </c>
    </row>
    <row r="1314" spans="1:20" x14ac:dyDescent="0.25">
      <c r="A1314" s="26">
        <v>44068</v>
      </c>
      <c r="B1314" s="17"/>
      <c r="C1314" s="7" t="s">
        <v>270</v>
      </c>
      <c r="D1314" s="36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>
        <v>2.31</v>
      </c>
      <c r="O1314" s="17"/>
      <c r="P1314" s="17"/>
      <c r="Q1314" s="17">
        <f t="shared" si="465"/>
        <v>540.60000000000628</v>
      </c>
      <c r="R1314" s="2"/>
      <c r="S1314" s="8">
        <v>33.79</v>
      </c>
      <c r="T1314" s="8">
        <v>2.9</v>
      </c>
    </row>
    <row r="1315" spans="1:20" x14ac:dyDescent="0.25">
      <c r="A1315" s="26">
        <v>44069</v>
      </c>
      <c r="B1315" s="17"/>
      <c r="C1315" s="7" t="s">
        <v>170</v>
      </c>
      <c r="D1315" s="36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>
        <v>400.11</v>
      </c>
      <c r="P1315" s="17">
        <v>90.62</v>
      </c>
      <c r="Q1315" s="17">
        <f t="shared" si="465"/>
        <v>1031.3300000000063</v>
      </c>
      <c r="R1315" s="2"/>
      <c r="S1315" s="8">
        <v>19.309999999999999</v>
      </c>
      <c r="T1315" s="8">
        <v>2.9</v>
      </c>
    </row>
    <row r="1316" spans="1:20" x14ac:dyDescent="0.25">
      <c r="A1316" s="26">
        <v>44069</v>
      </c>
      <c r="B1316" s="17"/>
      <c r="C1316" s="7" t="s">
        <v>218</v>
      </c>
      <c r="D1316" s="36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>
        <v>122.11</v>
      </c>
      <c r="P1316" s="17">
        <v>47.3</v>
      </c>
      <c r="Q1316" s="17">
        <f t="shared" si="465"/>
        <v>1200.7400000000061</v>
      </c>
      <c r="R1316" s="2"/>
      <c r="S1316" s="8">
        <v>23.16</v>
      </c>
      <c r="T1316" s="8">
        <v>2.3199999999999998</v>
      </c>
    </row>
    <row r="1317" spans="1:20" x14ac:dyDescent="0.25">
      <c r="A1317" s="26">
        <v>44069</v>
      </c>
      <c r="B1317" s="17"/>
      <c r="C1317" s="7" t="s">
        <v>85</v>
      </c>
      <c r="D1317" s="36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>
        <v>62.4</v>
      </c>
      <c r="P1317" s="17"/>
      <c r="Q1317" s="17">
        <f t="shared" si="465"/>
        <v>1263.1400000000062</v>
      </c>
      <c r="R1317" s="2"/>
      <c r="S1317" s="8">
        <v>14.47</v>
      </c>
      <c r="T1317" s="8">
        <v>2.9</v>
      </c>
    </row>
    <row r="1318" spans="1:20" x14ac:dyDescent="0.25">
      <c r="A1318" s="26">
        <v>44070</v>
      </c>
      <c r="B1318" s="17"/>
      <c r="C1318" s="7" t="s">
        <v>221</v>
      </c>
      <c r="D1318" s="36">
        <v>100</v>
      </c>
      <c r="E1318" s="17">
        <v>10.39</v>
      </c>
      <c r="F1318" s="17">
        <f t="shared" ref="F1318" si="491">D1318*E1318</f>
        <v>1039</v>
      </c>
      <c r="G1318" s="17">
        <v>0.28000000000000003</v>
      </c>
      <c r="H1318" s="17">
        <v>0.03</v>
      </c>
      <c r="I1318" s="17"/>
      <c r="J1318" s="17">
        <v>0</v>
      </c>
      <c r="K1318" s="17">
        <f t="shared" ref="K1318" si="492">SUM(F1318:J1318)</f>
        <v>1039.31</v>
      </c>
      <c r="L1318" s="17"/>
      <c r="M1318" s="17"/>
      <c r="N1318" s="17"/>
      <c r="O1318" s="17"/>
      <c r="P1318" s="17"/>
      <c r="Q1318" s="17">
        <f t="shared" si="465"/>
        <v>223.83000000000629</v>
      </c>
      <c r="R1318" s="2"/>
      <c r="S1318" s="8">
        <v>14.47</v>
      </c>
      <c r="T1318" s="8">
        <v>1.74</v>
      </c>
    </row>
    <row r="1319" spans="1:20" x14ac:dyDescent="0.25">
      <c r="A1319" s="26">
        <v>44074</v>
      </c>
      <c r="B1319" s="17">
        <v>1000</v>
      </c>
      <c r="D1319" s="36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>
        <f t="shared" si="465"/>
        <v>1223.8300000000063</v>
      </c>
      <c r="R1319" s="2"/>
      <c r="S1319" s="8">
        <v>14.47</v>
      </c>
      <c r="T1319" s="8">
        <v>2.9</v>
      </c>
    </row>
    <row r="1320" spans="1:20" x14ac:dyDescent="0.25">
      <c r="A1320" s="26">
        <v>44074</v>
      </c>
      <c r="B1320" s="17"/>
      <c r="C1320" s="7" t="s">
        <v>383</v>
      </c>
      <c r="D1320" s="36">
        <v>5</v>
      </c>
      <c r="E1320" s="17">
        <v>86.88</v>
      </c>
      <c r="F1320" s="17">
        <f t="shared" ref="F1320" si="493">D1320*E1320</f>
        <v>434.4</v>
      </c>
      <c r="G1320" s="17">
        <v>0</v>
      </c>
      <c r="H1320" s="17">
        <v>0</v>
      </c>
      <c r="I1320" s="17"/>
      <c r="J1320" s="17">
        <v>0</v>
      </c>
      <c r="K1320" s="17">
        <f t="shared" ref="K1320" si="494">SUM(F1320:J1320)</f>
        <v>434.4</v>
      </c>
      <c r="L1320" s="17"/>
      <c r="M1320" s="17"/>
      <c r="N1320" s="17"/>
      <c r="O1320" s="17"/>
      <c r="P1320" s="17"/>
      <c r="Q1320" s="17">
        <f t="shared" si="465"/>
        <v>789.43000000000632</v>
      </c>
      <c r="S1320" s="8">
        <v>14.47</v>
      </c>
      <c r="T1320" s="8">
        <v>5.07</v>
      </c>
    </row>
    <row r="1321" spans="1:20" x14ac:dyDescent="0.25">
      <c r="A1321" s="26">
        <v>44074</v>
      </c>
      <c r="B1321" s="17"/>
      <c r="C1321" s="7" t="s">
        <v>5</v>
      </c>
      <c r="D1321" s="36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>
        <f>50.19+0.16</f>
        <v>50.349999999999994</v>
      </c>
      <c r="Q1321" s="17">
        <f t="shared" si="465"/>
        <v>839.78000000000634</v>
      </c>
      <c r="R1321" s="2"/>
      <c r="S1321" s="8">
        <v>14.47</v>
      </c>
      <c r="T1321" s="8">
        <v>2.9</v>
      </c>
    </row>
    <row r="1322" spans="1:20" x14ac:dyDescent="0.25">
      <c r="A1322" s="26">
        <v>44074</v>
      </c>
      <c r="B1322" s="17"/>
      <c r="C1322" s="7" t="s">
        <v>180</v>
      </c>
      <c r="D1322" s="36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>
        <v>24.65</v>
      </c>
      <c r="O1322" s="17"/>
      <c r="P1322" s="17"/>
      <c r="Q1322" s="17">
        <f t="shared" si="465"/>
        <v>864.43000000000632</v>
      </c>
      <c r="R1322" s="2"/>
      <c r="S1322" s="8">
        <v>28.95</v>
      </c>
      <c r="T1322" s="8">
        <v>5.36</v>
      </c>
    </row>
    <row r="1323" spans="1:20" x14ac:dyDescent="0.25">
      <c r="A1323" s="26">
        <v>44075</v>
      </c>
      <c r="B1323" s="17"/>
      <c r="C1323" s="7" t="s">
        <v>374</v>
      </c>
      <c r="D1323" s="36">
        <v>10</v>
      </c>
      <c r="E1323" s="17">
        <v>71.5</v>
      </c>
      <c r="F1323" s="17">
        <f t="shared" ref="F1323" si="495">D1323*E1323</f>
        <v>715</v>
      </c>
      <c r="G1323" s="17">
        <v>0.19</v>
      </c>
      <c r="H1323" s="17">
        <v>0.02</v>
      </c>
      <c r="I1323" s="17"/>
      <c r="J1323" s="17">
        <v>0</v>
      </c>
      <c r="K1323" s="17">
        <f t="shared" ref="K1323" si="496">SUM(F1323:J1323)</f>
        <v>715.21</v>
      </c>
      <c r="L1323" s="17"/>
      <c r="M1323" s="17"/>
      <c r="N1323" s="17"/>
      <c r="O1323" s="17"/>
      <c r="P1323" s="17"/>
      <c r="Q1323" s="17">
        <f t="shared" si="465"/>
        <v>149.22000000000628</v>
      </c>
      <c r="R1323" s="2"/>
      <c r="S1323" s="8">
        <v>6.76</v>
      </c>
      <c r="T1323" s="8">
        <v>1.59</v>
      </c>
    </row>
    <row r="1324" spans="1:20" x14ac:dyDescent="0.25">
      <c r="A1324" s="26">
        <v>44078</v>
      </c>
      <c r="B1324" s="17"/>
      <c r="C1324" s="7" t="s">
        <v>496</v>
      </c>
      <c r="D1324" s="36">
        <v>-214</v>
      </c>
      <c r="E1324" s="17">
        <v>0.31</v>
      </c>
      <c r="F1324" s="17">
        <f t="shared" ref="F1324" si="497">D1324*E1324</f>
        <v>-66.34</v>
      </c>
      <c r="G1324" s="17">
        <v>0</v>
      </c>
      <c r="H1324" s="17">
        <v>0</v>
      </c>
      <c r="I1324" s="17"/>
      <c r="J1324" s="17">
        <v>0</v>
      </c>
      <c r="K1324" s="17">
        <f t="shared" ref="K1324" si="498">SUM(F1324:J1324)</f>
        <v>-66.34</v>
      </c>
      <c r="L1324" s="17"/>
      <c r="M1324" s="17"/>
      <c r="N1324" s="17"/>
      <c r="O1324" s="17"/>
      <c r="P1324" s="17"/>
      <c r="Q1324" s="17">
        <f t="shared" si="465"/>
        <v>215.56000000000628</v>
      </c>
      <c r="R1324" s="2"/>
      <c r="S1324" s="8">
        <v>19.309999999999999</v>
      </c>
      <c r="T1324" s="8">
        <v>3.62</v>
      </c>
    </row>
    <row r="1325" spans="1:20" x14ac:dyDescent="0.25">
      <c r="A1325" s="26">
        <v>44078</v>
      </c>
      <c r="B1325" s="17">
        <v>1000</v>
      </c>
      <c r="D1325" s="36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>
        <f t="shared" si="465"/>
        <v>1215.5600000000063</v>
      </c>
      <c r="R1325" s="2"/>
      <c r="S1325" s="8">
        <v>19.309999999999999</v>
      </c>
      <c r="T1325" s="8">
        <v>5.07</v>
      </c>
    </row>
    <row r="1326" spans="1:20" x14ac:dyDescent="0.25">
      <c r="A1326" s="26">
        <v>44078</v>
      </c>
      <c r="B1326" s="17"/>
      <c r="C1326" s="7" t="s">
        <v>374</v>
      </c>
      <c r="D1326" s="36">
        <v>10</v>
      </c>
      <c r="E1326" s="17">
        <v>73.040000000000006</v>
      </c>
      <c r="F1326" s="17">
        <f t="shared" ref="F1326" si="499">D1326*E1326</f>
        <v>730.40000000000009</v>
      </c>
      <c r="G1326" s="17">
        <v>0.21</v>
      </c>
      <c r="H1326" s="17">
        <v>0.02</v>
      </c>
      <c r="I1326" s="17"/>
      <c r="J1326" s="17">
        <v>0</v>
      </c>
      <c r="K1326" s="17">
        <f t="shared" ref="K1326" si="500">SUM(F1326:J1326)</f>
        <v>730.63000000000011</v>
      </c>
      <c r="L1326" s="17"/>
      <c r="M1326" s="17"/>
      <c r="N1326" s="17"/>
      <c r="O1326" s="17"/>
      <c r="P1326" s="17"/>
      <c r="Q1326" s="17">
        <f t="shared" si="465"/>
        <v>484.9300000000062</v>
      </c>
      <c r="R1326" s="2"/>
      <c r="S1326" s="8">
        <v>13.52</v>
      </c>
      <c r="T1326" s="8">
        <v>2.2000000000000002</v>
      </c>
    </row>
    <row r="1327" spans="1:20" x14ac:dyDescent="0.25">
      <c r="A1327" s="26">
        <v>44082</v>
      </c>
      <c r="B1327" s="17"/>
      <c r="C1327" s="7" t="s">
        <v>222</v>
      </c>
      <c r="D1327" s="36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>
        <v>87.5</v>
      </c>
      <c r="O1327" s="17"/>
      <c r="P1327" s="17"/>
      <c r="Q1327" s="17">
        <f t="shared" si="465"/>
        <v>572.4300000000062</v>
      </c>
      <c r="R1327" s="2"/>
      <c r="S1327" s="8">
        <v>8.68</v>
      </c>
      <c r="T1327" s="8">
        <v>1.45</v>
      </c>
    </row>
    <row r="1328" spans="1:20" x14ac:dyDescent="0.25">
      <c r="A1328" s="26">
        <v>44083</v>
      </c>
      <c r="B1328" s="17"/>
      <c r="C1328" s="7" t="s">
        <v>186</v>
      </c>
      <c r="D1328" s="36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>
        <f>60+75</f>
        <v>135</v>
      </c>
      <c r="O1328" s="17"/>
      <c r="P1328" s="17"/>
      <c r="Q1328" s="17">
        <f t="shared" si="465"/>
        <v>707.4300000000062</v>
      </c>
      <c r="R1328" s="2"/>
      <c r="S1328" s="8">
        <v>24.13</v>
      </c>
      <c r="T1328" s="8">
        <v>1.3</v>
      </c>
    </row>
    <row r="1329" spans="1:20" x14ac:dyDescent="0.25">
      <c r="A1329" s="26">
        <v>44083</v>
      </c>
      <c r="B1329" s="17"/>
      <c r="C1329" s="7" t="s">
        <v>234</v>
      </c>
      <c r="D1329" s="36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>
        <v>27.2</v>
      </c>
      <c r="O1329" s="17"/>
      <c r="P1329" s="17"/>
      <c r="Q1329" s="17">
        <f t="shared" si="465"/>
        <v>734.63000000000625</v>
      </c>
      <c r="R1329" s="2"/>
      <c r="S1329" s="8">
        <v>16.41</v>
      </c>
      <c r="T1329" s="8">
        <v>2.17</v>
      </c>
    </row>
    <row r="1330" spans="1:20" x14ac:dyDescent="0.25">
      <c r="A1330" s="26">
        <v>44083</v>
      </c>
      <c r="B1330" s="17"/>
      <c r="C1330" s="7" t="s">
        <v>383</v>
      </c>
      <c r="D1330" s="36">
        <v>8</v>
      </c>
      <c r="E1330" s="17">
        <v>85.01</v>
      </c>
      <c r="F1330" s="17">
        <f t="shared" ref="F1330" si="501">D1330*E1330</f>
        <v>680.08</v>
      </c>
      <c r="G1330" s="17">
        <v>0</v>
      </c>
      <c r="H1330" s="17">
        <v>0</v>
      </c>
      <c r="I1330" s="17"/>
      <c r="J1330" s="17">
        <v>0</v>
      </c>
      <c r="K1330" s="17">
        <f t="shared" ref="K1330" si="502">SUM(F1330:J1330)</f>
        <v>680.08</v>
      </c>
      <c r="L1330" s="17"/>
      <c r="M1330" s="17"/>
      <c r="N1330" s="17"/>
      <c r="O1330" s="17"/>
      <c r="P1330" s="17"/>
      <c r="Q1330" s="17">
        <f t="shared" si="465"/>
        <v>54.550000000006207</v>
      </c>
      <c r="R1330" s="2"/>
      <c r="S1330" s="8">
        <v>19.309999999999999</v>
      </c>
      <c r="T1330" s="8">
        <v>2.17</v>
      </c>
    </row>
    <row r="1331" spans="1:20" x14ac:dyDescent="0.25">
      <c r="A1331" s="26">
        <v>44084</v>
      </c>
      <c r="B1331" s="17">
        <v>1000</v>
      </c>
      <c r="D1331" s="36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>
        <f t="shared" si="465"/>
        <v>1054.5500000000061</v>
      </c>
      <c r="R1331" s="2"/>
      <c r="S1331" s="8">
        <v>19.309999999999999</v>
      </c>
      <c r="T1331" s="8">
        <v>2.46</v>
      </c>
    </row>
    <row r="1332" spans="1:20" x14ac:dyDescent="0.25">
      <c r="A1332" s="26">
        <v>44085</v>
      </c>
      <c r="B1332" s="17"/>
      <c r="C1332" s="7" t="s">
        <v>405</v>
      </c>
      <c r="D1332" s="36">
        <v>80</v>
      </c>
      <c r="E1332" s="17">
        <v>12.88</v>
      </c>
      <c r="F1332" s="17">
        <f t="shared" ref="F1332" si="503">D1332*E1332</f>
        <v>1030.4000000000001</v>
      </c>
      <c r="G1332" s="17">
        <v>0.28000000000000003</v>
      </c>
      <c r="H1332" s="17">
        <f>0.03+0.24</f>
        <v>0.27</v>
      </c>
      <c r="I1332" s="17"/>
      <c r="J1332" s="17">
        <v>2.4900000000000002</v>
      </c>
      <c r="K1332" s="17">
        <f t="shared" ref="K1332" si="504">SUM(F1332:J1332)</f>
        <v>1033.44</v>
      </c>
      <c r="L1332" s="17"/>
      <c r="M1332" s="17"/>
      <c r="N1332" s="17"/>
      <c r="O1332" s="17"/>
      <c r="P1332" s="17"/>
      <c r="Q1332" s="17">
        <f t="shared" si="465"/>
        <v>21.110000000006039</v>
      </c>
      <c r="R1332" s="2"/>
      <c r="S1332" s="8">
        <v>19.309999999999999</v>
      </c>
      <c r="T1332" s="8">
        <v>2.0299999999999998</v>
      </c>
    </row>
    <row r="1333" spans="1:20" x14ac:dyDescent="0.25">
      <c r="A1333" s="26">
        <v>44089</v>
      </c>
      <c r="B1333" s="17"/>
      <c r="C1333" s="7" t="s">
        <v>217</v>
      </c>
      <c r="D1333" s="36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>
        <v>88.74</v>
      </c>
      <c r="O1333" s="17"/>
      <c r="P1333" s="17"/>
      <c r="Q1333" s="17">
        <f t="shared" si="465"/>
        <v>109.85000000000603</v>
      </c>
      <c r="R1333" s="2"/>
      <c r="S1333" s="8">
        <v>35.71</v>
      </c>
      <c r="T1333" s="8">
        <v>1.01</v>
      </c>
    </row>
    <row r="1334" spans="1:20" x14ac:dyDescent="0.25">
      <c r="A1334" s="26">
        <v>44089</v>
      </c>
      <c r="B1334" s="17"/>
      <c r="C1334" s="7" t="s">
        <v>374</v>
      </c>
      <c r="D1334" s="36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>
        <v>63.8</v>
      </c>
      <c r="O1334" s="17"/>
      <c r="P1334" s="17"/>
      <c r="Q1334" s="17">
        <f t="shared" si="465"/>
        <v>173.65000000000603</v>
      </c>
      <c r="R1334" s="2"/>
      <c r="S1334" s="8">
        <v>12.55</v>
      </c>
      <c r="T1334" s="8">
        <v>2.17</v>
      </c>
    </row>
    <row r="1335" spans="1:20" x14ac:dyDescent="0.25">
      <c r="A1335" s="26">
        <v>44089</v>
      </c>
      <c r="B1335" s="17"/>
      <c r="C1335" s="7" t="s">
        <v>184</v>
      </c>
      <c r="D1335" s="36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>
        <v>10</v>
      </c>
      <c r="O1335" s="17"/>
      <c r="P1335" s="17"/>
      <c r="Q1335" s="17">
        <f t="shared" si="465"/>
        <v>183.65000000000603</v>
      </c>
      <c r="R1335" s="2"/>
      <c r="S1335" s="8">
        <v>15.44</v>
      </c>
      <c r="T1335" s="8">
        <v>3.47</v>
      </c>
    </row>
    <row r="1336" spans="1:20" x14ac:dyDescent="0.25">
      <c r="A1336" s="26">
        <v>44089</v>
      </c>
      <c r="B1336" s="17"/>
      <c r="C1336" s="7" t="s">
        <v>173</v>
      </c>
      <c r="D1336" s="36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>
        <v>276.75</v>
      </c>
      <c r="O1336" s="17"/>
      <c r="P1336" s="17"/>
      <c r="Q1336" s="17">
        <f t="shared" si="465"/>
        <v>460.400000000006</v>
      </c>
      <c r="R1336" s="2"/>
      <c r="S1336" s="8">
        <v>9.65</v>
      </c>
      <c r="T1336" s="8">
        <v>2.17</v>
      </c>
    </row>
    <row r="1337" spans="1:20" x14ac:dyDescent="0.25">
      <c r="A1337" s="26">
        <v>44089</v>
      </c>
      <c r="B1337" s="17"/>
      <c r="C1337" s="7" t="s">
        <v>221</v>
      </c>
      <c r="D1337" s="36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>
        <v>148.54</v>
      </c>
      <c r="O1337" s="17"/>
      <c r="P1337" s="17"/>
      <c r="Q1337" s="17">
        <f t="shared" si="465"/>
        <v>608.94000000000597</v>
      </c>
      <c r="R1337" s="2"/>
      <c r="S1337" s="8">
        <v>11.58</v>
      </c>
      <c r="T1337" s="8">
        <v>2.17</v>
      </c>
    </row>
    <row r="1338" spans="1:20" x14ac:dyDescent="0.25">
      <c r="A1338" s="26">
        <v>44089</v>
      </c>
      <c r="B1338" s="17"/>
      <c r="C1338" s="7" t="s">
        <v>181</v>
      </c>
      <c r="D1338" s="36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>
        <v>57.75</v>
      </c>
      <c r="O1338" s="17"/>
      <c r="P1338" s="17"/>
      <c r="Q1338" s="17">
        <f t="shared" si="465"/>
        <v>666.69000000000597</v>
      </c>
      <c r="R1338" s="2"/>
    </row>
    <row r="1339" spans="1:20" x14ac:dyDescent="0.25">
      <c r="A1339" s="26">
        <v>44089</v>
      </c>
      <c r="B1339" s="17"/>
      <c r="C1339" s="7" t="s">
        <v>495</v>
      </c>
      <c r="D1339" s="36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>
        <v>106.2</v>
      </c>
      <c r="O1339" s="17"/>
      <c r="P1339" s="17"/>
      <c r="Q1339" s="17">
        <f t="shared" si="465"/>
        <v>772.89000000000601</v>
      </c>
      <c r="R1339" s="2"/>
      <c r="S1339" s="8">
        <f>SUM(S1310:S1337)</f>
        <v>511.56999999999994</v>
      </c>
      <c r="T1339" s="8">
        <f>SUM(T1310:T1337)</f>
        <v>77.080000000000013</v>
      </c>
    </row>
    <row r="1340" spans="1:20" x14ac:dyDescent="0.25">
      <c r="A1340" s="26">
        <v>44089</v>
      </c>
      <c r="B1340" s="17"/>
      <c r="C1340" s="7" t="s">
        <v>169</v>
      </c>
      <c r="D1340" s="36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>
        <v>22.95</v>
      </c>
      <c r="O1340" s="17"/>
      <c r="P1340" s="17"/>
      <c r="Q1340" s="17">
        <f t="shared" si="465"/>
        <v>795.84000000000606</v>
      </c>
      <c r="R1340" s="2"/>
    </row>
    <row r="1341" spans="1:20" x14ac:dyDescent="0.25">
      <c r="A1341" s="26">
        <v>44089</v>
      </c>
      <c r="B1341" s="17"/>
      <c r="C1341" s="7" t="s">
        <v>408</v>
      </c>
      <c r="D1341" s="36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>
        <v>31.5</v>
      </c>
      <c r="O1341" s="17"/>
      <c r="P1341" s="17"/>
      <c r="Q1341" s="17">
        <f t="shared" si="465"/>
        <v>827.34000000000606</v>
      </c>
      <c r="R1341" s="2"/>
      <c r="T1341" s="8">
        <f>S1339-T1339</f>
        <v>434.4899999999999</v>
      </c>
    </row>
    <row r="1342" spans="1:20" x14ac:dyDescent="0.25">
      <c r="A1342" s="26">
        <v>44089</v>
      </c>
      <c r="B1342" s="17"/>
      <c r="C1342" s="7" t="s">
        <v>267</v>
      </c>
      <c r="D1342" s="36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>
        <v>20.399999999999999</v>
      </c>
      <c r="O1342" s="17"/>
      <c r="P1342" s="17"/>
      <c r="Q1342" s="17">
        <f t="shared" si="465"/>
        <v>847.74000000000603</v>
      </c>
      <c r="R1342" s="2"/>
    </row>
    <row r="1343" spans="1:20" x14ac:dyDescent="0.25">
      <c r="A1343" s="26">
        <v>44089</v>
      </c>
      <c r="B1343" s="17"/>
      <c r="C1343" s="7" t="s">
        <v>377</v>
      </c>
      <c r="D1343" s="36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>
        <v>17.399999999999999</v>
      </c>
      <c r="O1343" s="17"/>
      <c r="P1343" s="17"/>
      <c r="Q1343" s="17">
        <f t="shared" si="465"/>
        <v>865.14000000000601</v>
      </c>
      <c r="R1343" s="2"/>
    </row>
    <row r="1344" spans="1:20" x14ac:dyDescent="0.25">
      <c r="A1344" s="26">
        <v>44090</v>
      </c>
      <c r="B1344" s="17"/>
      <c r="C1344" s="7" t="s">
        <v>374</v>
      </c>
      <c r="D1344" s="36">
        <v>10</v>
      </c>
      <c r="E1344" s="17">
        <v>73.28</v>
      </c>
      <c r="F1344" s="17">
        <f t="shared" ref="F1344" si="505">D1344*E1344</f>
        <v>732.8</v>
      </c>
      <c r="G1344" s="17">
        <v>0.2</v>
      </c>
      <c r="H1344" s="17">
        <v>0.02</v>
      </c>
      <c r="I1344" s="17"/>
      <c r="J1344" s="17">
        <v>0</v>
      </c>
      <c r="K1344" s="17">
        <f t="shared" ref="K1344" si="506">SUM(F1344:J1344)</f>
        <v>733.02</v>
      </c>
      <c r="L1344" s="17"/>
      <c r="M1344" s="17"/>
      <c r="N1344" s="17"/>
      <c r="O1344" s="17"/>
      <c r="P1344" s="17"/>
      <c r="Q1344" s="17">
        <f t="shared" ref="Q1344:Q1408" si="507">Q1343+B1344-K1344-L1344-M1344+N1344+O1344+P1344</f>
        <v>132.12000000000603</v>
      </c>
      <c r="R1344" s="2"/>
    </row>
    <row r="1345" spans="1:18" x14ac:dyDescent="0.25">
      <c r="A1345" s="26">
        <v>44090</v>
      </c>
      <c r="B1345" s="17">
        <v>1000</v>
      </c>
      <c r="D1345" s="36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>
        <f t="shared" si="507"/>
        <v>1132.120000000006</v>
      </c>
      <c r="R1345" s="2"/>
    </row>
    <row r="1346" spans="1:18" x14ac:dyDescent="0.25">
      <c r="A1346" s="26">
        <v>44091</v>
      </c>
      <c r="B1346" s="17"/>
      <c r="C1346" s="7" t="s">
        <v>220</v>
      </c>
      <c r="D1346" s="36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>
        <v>30</v>
      </c>
      <c r="O1346" s="17"/>
      <c r="P1346" s="17"/>
      <c r="Q1346" s="17">
        <f t="shared" si="507"/>
        <v>1162.120000000006</v>
      </c>
      <c r="R1346" s="2"/>
    </row>
    <row r="1347" spans="1:18" x14ac:dyDescent="0.25">
      <c r="A1347" s="26">
        <v>44091</v>
      </c>
      <c r="B1347" s="17"/>
      <c r="C1347" s="7" t="s">
        <v>495</v>
      </c>
      <c r="D1347" s="36">
        <v>10</v>
      </c>
      <c r="E1347" s="17">
        <v>101.8</v>
      </c>
      <c r="F1347" s="17">
        <f t="shared" ref="F1347" si="508">D1347*E1347</f>
        <v>1018</v>
      </c>
      <c r="G1347" s="17">
        <v>0.27</v>
      </c>
      <c r="H1347" s="17">
        <v>0.03</v>
      </c>
      <c r="I1347" s="17"/>
      <c r="J1347" s="17">
        <v>0</v>
      </c>
      <c r="K1347" s="17">
        <f t="shared" ref="K1347" si="509">SUM(F1347:J1347)</f>
        <v>1018.3</v>
      </c>
      <c r="L1347" s="17"/>
      <c r="M1347" s="17"/>
      <c r="N1347" s="17"/>
      <c r="O1347" s="17"/>
      <c r="P1347" s="17"/>
      <c r="Q1347" s="17">
        <f t="shared" si="507"/>
        <v>143.82000000000608</v>
      </c>
      <c r="R1347" s="2"/>
    </row>
    <row r="1348" spans="1:18" x14ac:dyDescent="0.25">
      <c r="A1348" s="26">
        <v>44092</v>
      </c>
      <c r="B1348" s="17">
        <v>1000</v>
      </c>
      <c r="D1348" s="36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>
        <f t="shared" si="507"/>
        <v>1143.8200000000061</v>
      </c>
      <c r="R1348" s="2"/>
    </row>
    <row r="1349" spans="1:18" x14ac:dyDescent="0.25">
      <c r="A1349" s="26">
        <v>44092</v>
      </c>
      <c r="B1349" s="17"/>
      <c r="C1349" s="7" t="s">
        <v>355</v>
      </c>
      <c r="D1349" s="36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>
        <v>47.15</v>
      </c>
      <c r="O1349" s="17"/>
      <c r="P1349" s="17"/>
      <c r="Q1349" s="17">
        <f t="shared" si="507"/>
        <v>1190.9700000000062</v>
      </c>
      <c r="R1349" s="2"/>
    </row>
    <row r="1350" spans="1:18" x14ac:dyDescent="0.25">
      <c r="A1350" s="26">
        <v>44092</v>
      </c>
      <c r="B1350" s="17"/>
      <c r="C1350" s="7" t="s">
        <v>501</v>
      </c>
      <c r="D1350" s="36"/>
      <c r="E1350" s="17"/>
      <c r="F1350" s="17"/>
      <c r="G1350" s="17"/>
      <c r="H1350" s="17"/>
      <c r="I1350" s="17"/>
      <c r="J1350" s="17"/>
      <c r="K1350" s="17">
        <v>500.24</v>
      </c>
      <c r="L1350" s="17"/>
      <c r="M1350" s="17"/>
      <c r="N1350" s="17"/>
      <c r="O1350" s="17"/>
      <c r="P1350" s="17"/>
      <c r="Q1350" s="17">
        <f t="shared" si="507"/>
        <v>690.73000000000616</v>
      </c>
      <c r="R1350" s="2"/>
    </row>
    <row r="1351" spans="1:18" x14ac:dyDescent="0.25">
      <c r="A1351" s="26">
        <v>44095</v>
      </c>
      <c r="B1351" s="17"/>
      <c r="C1351" s="7" t="s">
        <v>85</v>
      </c>
      <c r="D1351" s="36">
        <v>70</v>
      </c>
      <c r="E1351" s="17">
        <v>8.91</v>
      </c>
      <c r="F1351" s="17">
        <f t="shared" ref="F1351" si="510">D1351*E1351</f>
        <v>623.70000000000005</v>
      </c>
      <c r="G1351" s="17">
        <v>0.17</v>
      </c>
      <c r="H1351" s="17">
        <v>0.25</v>
      </c>
      <c r="I1351" s="17"/>
      <c r="J1351" s="17">
        <v>2.4900000000000002</v>
      </c>
      <c r="K1351" s="17">
        <f t="shared" ref="K1351" si="511">SUM(F1351:J1351)</f>
        <v>626.61</v>
      </c>
      <c r="L1351" s="17"/>
      <c r="M1351" s="17"/>
      <c r="N1351" s="17"/>
      <c r="O1351" s="17"/>
      <c r="P1351" s="17"/>
      <c r="Q1351" s="17">
        <f t="shared" si="507"/>
        <v>64.120000000006144</v>
      </c>
      <c r="R1351" s="2"/>
    </row>
    <row r="1352" spans="1:18" x14ac:dyDescent="0.25">
      <c r="A1352" s="26">
        <v>44096</v>
      </c>
      <c r="B1352" s="17"/>
      <c r="C1352" s="7" t="s">
        <v>383</v>
      </c>
      <c r="D1352" s="36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>
        <v>27.09</v>
      </c>
      <c r="O1352" s="17"/>
      <c r="P1352" s="17"/>
      <c r="Q1352" s="17">
        <f t="shared" si="507"/>
        <v>91.210000000006147</v>
      </c>
      <c r="R1352" s="2"/>
    </row>
    <row r="1353" spans="1:18" x14ac:dyDescent="0.25">
      <c r="A1353" s="26">
        <v>44097</v>
      </c>
      <c r="B1353" s="17"/>
      <c r="C1353" s="7" t="s">
        <v>171</v>
      </c>
      <c r="D1353" s="36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>
        <v>114.78</v>
      </c>
      <c r="Q1353" s="17">
        <f t="shared" si="507"/>
        <v>205.99000000000615</v>
      </c>
      <c r="R1353" s="2"/>
    </row>
    <row r="1354" spans="1:18" x14ac:dyDescent="0.25">
      <c r="A1354" s="26">
        <v>44097</v>
      </c>
      <c r="B1354" s="17"/>
      <c r="C1354" s="7" t="s">
        <v>171</v>
      </c>
      <c r="D1354" s="36">
        <v>10</v>
      </c>
      <c r="E1354" s="17">
        <v>13.71</v>
      </c>
      <c r="F1354" s="17">
        <f t="shared" ref="F1354" si="512">D1354*E1354</f>
        <v>137.10000000000002</v>
      </c>
      <c r="G1354" s="17">
        <v>0</v>
      </c>
      <c r="H1354" s="17">
        <v>0</v>
      </c>
      <c r="I1354" s="17"/>
      <c r="J1354" s="17">
        <v>0</v>
      </c>
      <c r="K1354" s="17">
        <f t="shared" ref="K1354" si="513">SUM(F1354:J1354)</f>
        <v>137.10000000000002</v>
      </c>
      <c r="L1354" s="17"/>
      <c r="M1354" s="17"/>
      <c r="N1354" s="17"/>
      <c r="O1354" s="17"/>
      <c r="P1354" s="17"/>
      <c r="Q1354" s="17">
        <f t="shared" si="507"/>
        <v>68.890000000006125</v>
      </c>
      <c r="R1354" s="2" t="s">
        <v>351</v>
      </c>
    </row>
    <row r="1355" spans="1:18" x14ac:dyDescent="0.25">
      <c r="A1355" s="26">
        <v>44097</v>
      </c>
      <c r="B1355" s="17"/>
      <c r="C1355" s="7" t="s">
        <v>218</v>
      </c>
      <c r="D1355" s="36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>
        <v>166.49</v>
      </c>
      <c r="P1355" s="17"/>
      <c r="Q1355" s="17">
        <f t="shared" si="507"/>
        <v>235.38000000000613</v>
      </c>
      <c r="R1355" s="2"/>
    </row>
    <row r="1356" spans="1:18" x14ac:dyDescent="0.25">
      <c r="A1356" s="26">
        <v>44099</v>
      </c>
      <c r="B1356" s="17"/>
      <c r="C1356" s="7" t="s">
        <v>270</v>
      </c>
      <c r="D1356" s="36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>
        <v>13.86</v>
      </c>
      <c r="O1356" s="17"/>
      <c r="P1356" s="17"/>
      <c r="Q1356" s="17">
        <f t="shared" si="507"/>
        <v>249.24000000000615</v>
      </c>
    </row>
    <row r="1357" spans="1:18" x14ac:dyDescent="0.25">
      <c r="A1357" s="26">
        <v>44103</v>
      </c>
      <c r="B1357" s="17"/>
      <c r="C1357" s="7" t="s">
        <v>222</v>
      </c>
      <c r="D1357" s="36">
        <v>10</v>
      </c>
      <c r="E1357" s="17">
        <v>80.510000000000005</v>
      </c>
      <c r="F1357" s="17">
        <f t="shared" ref="F1357" si="514">D1357*E1357</f>
        <v>805.1</v>
      </c>
      <c r="G1357" s="17">
        <v>0</v>
      </c>
      <c r="H1357" s="17">
        <v>0</v>
      </c>
      <c r="I1357" s="17"/>
      <c r="J1357" s="17">
        <v>0</v>
      </c>
      <c r="K1357" s="17">
        <f t="shared" ref="K1357" si="515">SUM(F1357:J1357)</f>
        <v>805.1</v>
      </c>
      <c r="L1357" s="17"/>
      <c r="M1357" s="17"/>
      <c r="N1357" s="17"/>
      <c r="O1357" s="17"/>
      <c r="P1357" s="17"/>
      <c r="Q1357" s="17">
        <f t="shared" si="507"/>
        <v>-555.85999999999387</v>
      </c>
      <c r="R1357" s="2" t="s">
        <v>351</v>
      </c>
    </row>
    <row r="1358" spans="1:18" x14ac:dyDescent="0.25">
      <c r="A1358" s="26">
        <v>44103</v>
      </c>
      <c r="B1358" s="17">
        <v>600</v>
      </c>
      <c r="D1358" s="36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>
        <f t="shared" si="507"/>
        <v>44.140000000006125</v>
      </c>
      <c r="R1358" s="2"/>
    </row>
    <row r="1359" spans="1:18" x14ac:dyDescent="0.25">
      <c r="A1359" s="26">
        <v>44104</v>
      </c>
      <c r="B1359" s="17">
        <f>1000+500</f>
        <v>1500</v>
      </c>
      <c r="D1359" s="36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>
        <f t="shared" si="507"/>
        <v>1544.1400000000062</v>
      </c>
      <c r="R1359" s="2"/>
    </row>
    <row r="1360" spans="1:18" x14ac:dyDescent="0.25">
      <c r="A1360" s="26">
        <v>44104</v>
      </c>
      <c r="B1360" s="17"/>
      <c r="C1360" s="7" t="s">
        <v>5</v>
      </c>
      <c r="D1360" s="36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>
        <v>11.72</v>
      </c>
      <c r="Q1360" s="17">
        <f t="shared" si="507"/>
        <v>1555.8600000000063</v>
      </c>
      <c r="R1360" s="2"/>
    </row>
    <row r="1361" spans="1:18" x14ac:dyDescent="0.25">
      <c r="A1361" s="26">
        <v>44104</v>
      </c>
      <c r="B1361" s="17"/>
      <c r="C1361" s="7" t="s">
        <v>180</v>
      </c>
      <c r="D1361" s="36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>
        <v>11.27</v>
      </c>
      <c r="O1361" s="17"/>
      <c r="P1361" s="17"/>
      <c r="Q1361" s="17">
        <f t="shared" si="507"/>
        <v>1567.1300000000062</v>
      </c>
      <c r="R1361" s="2"/>
    </row>
    <row r="1362" spans="1:18" x14ac:dyDescent="0.25">
      <c r="A1362" s="26">
        <v>44104</v>
      </c>
      <c r="B1362" s="17"/>
      <c r="C1362" s="7" t="s">
        <v>501</v>
      </c>
      <c r="D1362" s="36"/>
      <c r="E1362" s="17"/>
      <c r="F1362" s="17"/>
      <c r="G1362" s="17"/>
      <c r="H1362" s="17"/>
      <c r="I1362" s="17"/>
      <c r="J1362" s="17"/>
      <c r="K1362" s="17">
        <v>592.76</v>
      </c>
      <c r="L1362" s="17"/>
      <c r="M1362" s="17"/>
      <c r="N1362" s="17"/>
      <c r="O1362" s="17"/>
      <c r="P1362" s="17"/>
      <c r="Q1362" s="17">
        <f t="shared" si="507"/>
        <v>974.37000000000626</v>
      </c>
      <c r="R1362" s="2"/>
    </row>
    <row r="1363" spans="1:18" x14ac:dyDescent="0.25">
      <c r="A1363" s="26">
        <v>44104</v>
      </c>
      <c r="B1363" s="17"/>
      <c r="C1363" s="7" t="s">
        <v>85</v>
      </c>
      <c r="D1363" s="36">
        <v>100</v>
      </c>
      <c r="E1363" s="17">
        <v>8.86</v>
      </c>
      <c r="F1363" s="17">
        <f t="shared" ref="F1363" si="516">D1363*E1363</f>
        <v>886</v>
      </c>
      <c r="G1363" s="17">
        <v>0.24</v>
      </c>
      <c r="H1363" s="17">
        <f>0.24+0.02</f>
        <v>0.26</v>
      </c>
      <c r="I1363" s="17"/>
      <c r="J1363" s="17">
        <v>2.4900000000000002</v>
      </c>
      <c r="K1363" s="17">
        <f t="shared" ref="K1363" si="517">SUM(F1363:J1363)</f>
        <v>888.99</v>
      </c>
      <c r="L1363" s="17"/>
      <c r="M1363" s="17"/>
      <c r="N1363" s="17"/>
      <c r="O1363" s="17"/>
      <c r="P1363" s="17"/>
      <c r="Q1363" s="17">
        <f t="shared" si="507"/>
        <v>85.380000000006248</v>
      </c>
      <c r="R1363" s="2"/>
    </row>
    <row r="1364" spans="1:18" x14ac:dyDescent="0.25">
      <c r="A1364" s="26">
        <v>44105</v>
      </c>
      <c r="B1364" s="17"/>
      <c r="C1364" s="7" t="s">
        <v>85</v>
      </c>
      <c r="D1364" s="36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>
        <v>62.4</v>
      </c>
      <c r="P1364" s="17"/>
      <c r="Q1364" s="17">
        <f t="shared" si="507"/>
        <v>147.78000000000625</v>
      </c>
      <c r="R1364" s="2"/>
    </row>
    <row r="1365" spans="1:18" x14ac:dyDescent="0.25">
      <c r="A1365" s="26">
        <v>44105</v>
      </c>
      <c r="B1365" s="17">
        <v>1000</v>
      </c>
      <c r="D1365" s="36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>
        <f t="shared" si="507"/>
        <v>1147.7800000000063</v>
      </c>
      <c r="R1365" s="2"/>
    </row>
    <row r="1366" spans="1:18" x14ac:dyDescent="0.25">
      <c r="A1366" s="26">
        <v>44109</v>
      </c>
      <c r="B1366" s="17">
        <v>1000</v>
      </c>
      <c r="D1366" s="36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>
        <f t="shared" si="507"/>
        <v>2147.7800000000061</v>
      </c>
      <c r="R1366" s="2"/>
    </row>
    <row r="1367" spans="1:18" x14ac:dyDescent="0.25">
      <c r="A1367" s="26">
        <v>44109</v>
      </c>
      <c r="B1367" s="17"/>
      <c r="C1367" s="7" t="s">
        <v>405</v>
      </c>
      <c r="D1367" s="36">
        <v>100</v>
      </c>
      <c r="E1367" s="17">
        <v>12</v>
      </c>
      <c r="F1367" s="17">
        <f t="shared" ref="F1367" si="518">D1367*E1367</f>
        <v>1200</v>
      </c>
      <c r="G1367" s="17">
        <v>0.33</v>
      </c>
      <c r="H1367" s="17">
        <v>0.27</v>
      </c>
      <c r="I1367" s="17"/>
      <c r="J1367" s="17">
        <v>2.4900000000000002</v>
      </c>
      <c r="K1367" s="17">
        <f t="shared" ref="K1367" si="519">SUM(F1367:J1367)</f>
        <v>1203.0899999999999</v>
      </c>
      <c r="L1367" s="17"/>
      <c r="M1367" s="17"/>
      <c r="N1367" s="17"/>
      <c r="O1367" s="17"/>
      <c r="P1367" s="17"/>
      <c r="Q1367" s="17">
        <f t="shared" si="507"/>
        <v>944.69000000000619</v>
      </c>
      <c r="R1367" s="2"/>
    </row>
    <row r="1368" spans="1:18" x14ac:dyDescent="0.25">
      <c r="A1368" s="26">
        <v>44111</v>
      </c>
      <c r="B1368" s="17"/>
      <c r="C1368" s="7" t="s">
        <v>222</v>
      </c>
      <c r="D1368" s="36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>
        <v>87.5</v>
      </c>
      <c r="O1368" s="17"/>
      <c r="P1368" s="17"/>
      <c r="Q1368" s="17">
        <f t="shared" si="507"/>
        <v>1032.1900000000062</v>
      </c>
      <c r="R1368" s="2"/>
    </row>
    <row r="1369" spans="1:18" x14ac:dyDescent="0.25">
      <c r="A1369" s="26">
        <v>44112</v>
      </c>
      <c r="B1369" s="17"/>
      <c r="C1369" s="7" t="s">
        <v>234</v>
      </c>
      <c r="D1369" s="36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>
        <v>28.4</v>
      </c>
      <c r="O1369" s="17"/>
      <c r="P1369" s="17"/>
      <c r="Q1369" s="17">
        <f t="shared" si="507"/>
        <v>1060.5900000000063</v>
      </c>
      <c r="R1369" s="2"/>
    </row>
    <row r="1370" spans="1:18" x14ac:dyDescent="0.25">
      <c r="A1370" s="26">
        <v>44112</v>
      </c>
      <c r="B1370" s="17"/>
      <c r="C1370" s="7" t="s">
        <v>186</v>
      </c>
      <c r="D1370" s="36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>
        <f>54+75</f>
        <v>129</v>
      </c>
      <c r="O1370" s="17"/>
      <c r="P1370" s="17"/>
      <c r="Q1370" s="17">
        <f t="shared" si="507"/>
        <v>1189.5900000000063</v>
      </c>
      <c r="R1370" s="2"/>
    </row>
    <row r="1371" spans="1:18" x14ac:dyDescent="0.25">
      <c r="A1371" s="26">
        <v>44112</v>
      </c>
      <c r="B1371" s="17"/>
      <c r="C1371" s="7" t="s">
        <v>501</v>
      </c>
      <c r="D1371" s="36"/>
      <c r="E1371" s="17"/>
      <c r="F1371" s="17"/>
      <c r="G1371" s="17"/>
      <c r="H1371" s="17"/>
      <c r="I1371" s="17"/>
      <c r="J1371" s="17"/>
      <c r="K1371" s="17">
        <v>585.28</v>
      </c>
      <c r="L1371" s="17"/>
      <c r="M1371" s="17"/>
      <c r="N1371" s="17"/>
      <c r="O1371" s="17"/>
      <c r="P1371" s="17"/>
      <c r="Q1371" s="17">
        <f t="shared" si="507"/>
        <v>604.31000000000631</v>
      </c>
      <c r="R1371" s="2"/>
    </row>
    <row r="1372" spans="1:18" x14ac:dyDescent="0.25">
      <c r="A1372" s="26">
        <v>44113</v>
      </c>
      <c r="B1372" s="17"/>
      <c r="C1372" s="7" t="s">
        <v>383</v>
      </c>
      <c r="D1372" s="36">
        <v>7</v>
      </c>
      <c r="E1372" s="17">
        <v>85.6</v>
      </c>
      <c r="F1372" s="17">
        <f t="shared" ref="F1372" si="520">D1372*E1372</f>
        <v>599.19999999999993</v>
      </c>
      <c r="G1372" s="17">
        <v>0.16</v>
      </c>
      <c r="H1372" s="17">
        <v>0.01</v>
      </c>
      <c r="I1372" s="17"/>
      <c r="J1372" s="17">
        <v>0</v>
      </c>
      <c r="K1372" s="17">
        <f t="shared" ref="K1372" si="521">SUM(F1372:J1372)</f>
        <v>599.36999999999989</v>
      </c>
      <c r="L1372" s="17"/>
      <c r="M1372" s="17"/>
      <c r="N1372" s="17"/>
      <c r="O1372" s="17"/>
      <c r="P1372" s="17"/>
      <c r="Q1372" s="17">
        <f t="shared" si="507"/>
        <v>4.940000000006421</v>
      </c>
      <c r="R1372" s="2"/>
    </row>
    <row r="1373" spans="1:18" x14ac:dyDescent="0.25">
      <c r="A1373" s="26">
        <v>44119</v>
      </c>
      <c r="B1373" s="17"/>
      <c r="C1373" s="7" t="s">
        <v>169</v>
      </c>
      <c r="D1373" s="36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>
        <v>30.6</v>
      </c>
      <c r="O1373" s="17"/>
      <c r="P1373" s="17"/>
      <c r="Q1373" s="17">
        <f t="shared" si="507"/>
        <v>35.540000000006422</v>
      </c>
      <c r="R1373" s="2"/>
    </row>
    <row r="1374" spans="1:18" x14ac:dyDescent="0.25">
      <c r="A1374" s="26">
        <v>44119</v>
      </c>
      <c r="B1374" s="17"/>
      <c r="C1374" s="7" t="s">
        <v>173</v>
      </c>
      <c r="D1374" s="36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>
        <v>276.75</v>
      </c>
      <c r="O1374" s="17"/>
      <c r="P1374" s="17"/>
      <c r="Q1374" s="17">
        <f t="shared" si="507"/>
        <v>312.29000000000644</v>
      </c>
      <c r="R1374" s="2"/>
    </row>
    <row r="1375" spans="1:18" x14ac:dyDescent="0.25">
      <c r="A1375" s="26">
        <v>44119</v>
      </c>
      <c r="B1375" s="17"/>
      <c r="C1375" s="7" t="s">
        <v>221</v>
      </c>
      <c r="D1375" s="36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>
        <v>148.54</v>
      </c>
      <c r="O1375" s="17"/>
      <c r="P1375" s="17"/>
      <c r="Q1375" s="17">
        <f t="shared" si="507"/>
        <v>460.83000000000641</v>
      </c>
      <c r="R1375" s="2"/>
    </row>
    <row r="1376" spans="1:18" x14ac:dyDescent="0.25">
      <c r="A1376" s="26">
        <v>44119</v>
      </c>
      <c r="B1376" s="17"/>
      <c r="C1376" s="7" t="s">
        <v>181</v>
      </c>
      <c r="D1376" s="36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>
        <v>57.75</v>
      </c>
      <c r="O1376" s="17"/>
      <c r="P1376" s="17"/>
      <c r="Q1376" s="17">
        <f t="shared" si="507"/>
        <v>518.58000000000641</v>
      </c>
      <c r="R1376" s="2"/>
    </row>
    <row r="1377" spans="1:18" x14ac:dyDescent="0.25">
      <c r="A1377" s="26">
        <v>44119</v>
      </c>
      <c r="B1377" s="17"/>
      <c r="C1377" s="7" t="s">
        <v>408</v>
      </c>
      <c r="D1377" s="36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>
        <v>31.5</v>
      </c>
      <c r="O1377" s="17"/>
      <c r="P1377" s="17"/>
      <c r="Q1377" s="17">
        <f t="shared" si="507"/>
        <v>550.08000000000641</v>
      </c>
      <c r="R1377" s="2"/>
    </row>
    <row r="1378" spans="1:18" x14ac:dyDescent="0.25">
      <c r="A1378" s="26">
        <v>44119</v>
      </c>
      <c r="B1378" s="17"/>
      <c r="C1378" s="7" t="s">
        <v>407</v>
      </c>
      <c r="D1378" s="36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>
        <v>3</v>
      </c>
      <c r="O1378" s="17"/>
      <c r="P1378" s="17"/>
      <c r="Q1378" s="17">
        <f t="shared" si="507"/>
        <v>553.08000000000641</v>
      </c>
      <c r="R1378" s="2"/>
    </row>
    <row r="1379" spans="1:18" x14ac:dyDescent="0.25">
      <c r="A1379" s="26">
        <v>44119</v>
      </c>
      <c r="B1379" s="17"/>
      <c r="C1379" s="7" t="s">
        <v>374</v>
      </c>
      <c r="D1379" s="36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>
        <v>80.3</v>
      </c>
      <c r="O1379" s="17"/>
      <c r="P1379" s="17"/>
      <c r="Q1379" s="17">
        <f t="shared" si="507"/>
        <v>633.38000000000636</v>
      </c>
      <c r="R1379" s="2"/>
    </row>
    <row r="1380" spans="1:18" x14ac:dyDescent="0.25">
      <c r="A1380" s="26">
        <v>44119</v>
      </c>
      <c r="B1380" s="17"/>
      <c r="C1380" s="7" t="s">
        <v>217</v>
      </c>
      <c r="D1380" s="36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>
        <v>88.74</v>
      </c>
      <c r="O1380" s="17"/>
      <c r="P1380" s="17"/>
      <c r="Q1380" s="17">
        <f t="shared" si="507"/>
        <v>722.12000000000637</v>
      </c>
      <c r="R1380" s="2"/>
    </row>
    <row r="1381" spans="1:18" x14ac:dyDescent="0.25">
      <c r="A1381" s="26">
        <v>44119</v>
      </c>
      <c r="B1381" s="17"/>
      <c r="C1381" s="7" t="s">
        <v>184</v>
      </c>
      <c r="D1381" s="36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>
        <v>30</v>
      </c>
      <c r="O1381" s="17"/>
      <c r="P1381" s="17"/>
      <c r="Q1381" s="17">
        <f t="shared" si="507"/>
        <v>752.12000000000637</v>
      </c>
      <c r="R1381" s="2"/>
    </row>
    <row r="1382" spans="1:18" x14ac:dyDescent="0.25">
      <c r="A1382" s="26">
        <v>44119</v>
      </c>
      <c r="B1382" s="17"/>
      <c r="C1382" s="7" t="s">
        <v>495</v>
      </c>
      <c r="D1382" s="36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>
        <v>167.68</v>
      </c>
      <c r="O1382" s="17"/>
      <c r="P1382" s="17"/>
      <c r="Q1382" s="17">
        <f t="shared" si="507"/>
        <v>919.80000000000632</v>
      </c>
      <c r="R1382" s="2"/>
    </row>
    <row r="1383" spans="1:18" x14ac:dyDescent="0.25">
      <c r="A1383" s="26">
        <v>44119</v>
      </c>
      <c r="B1383" s="17"/>
      <c r="C1383" s="7" t="s">
        <v>267</v>
      </c>
      <c r="D1383" s="36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>
        <v>20.399999999999999</v>
      </c>
      <c r="O1383" s="17"/>
      <c r="P1383" s="17"/>
      <c r="Q1383" s="17">
        <f t="shared" si="507"/>
        <v>940.2000000000063</v>
      </c>
      <c r="R1383" s="2"/>
    </row>
    <row r="1384" spans="1:18" x14ac:dyDescent="0.25">
      <c r="A1384" s="26">
        <v>44119</v>
      </c>
      <c r="B1384" s="17"/>
      <c r="C1384" s="7" t="s">
        <v>377</v>
      </c>
      <c r="D1384" s="36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>
        <v>20.3</v>
      </c>
      <c r="O1384" s="17"/>
      <c r="P1384" s="17"/>
      <c r="Q1384" s="17">
        <f t="shared" si="507"/>
        <v>960.50000000000625</v>
      </c>
      <c r="R1384" s="2"/>
    </row>
    <row r="1385" spans="1:18" x14ac:dyDescent="0.25">
      <c r="A1385" s="26">
        <v>44120</v>
      </c>
      <c r="B1385" s="17"/>
      <c r="C1385" s="7" t="s">
        <v>501</v>
      </c>
      <c r="D1385" s="36"/>
      <c r="E1385" s="17"/>
      <c r="F1385" s="17"/>
      <c r="G1385" s="17"/>
      <c r="H1385" s="17"/>
      <c r="I1385" s="17"/>
      <c r="J1385" s="17"/>
      <c r="K1385" s="17">
        <v>583.24</v>
      </c>
      <c r="L1385" s="17"/>
      <c r="M1385" s="17"/>
      <c r="N1385" s="17"/>
      <c r="O1385" s="17"/>
      <c r="P1385" s="17"/>
      <c r="Q1385" s="17">
        <f t="shared" si="507"/>
        <v>377.26000000000624</v>
      </c>
    </row>
    <row r="1386" spans="1:18" x14ac:dyDescent="0.25">
      <c r="A1386" s="26">
        <v>44123</v>
      </c>
      <c r="B1386" s="17"/>
      <c r="C1386" s="7" t="s">
        <v>220</v>
      </c>
      <c r="D1386" s="36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>
        <v>30</v>
      </c>
      <c r="O1386" s="17"/>
      <c r="P1386" s="17"/>
      <c r="Q1386" s="17">
        <f t="shared" si="507"/>
        <v>407.26000000000624</v>
      </c>
    </row>
    <row r="1387" spans="1:18" x14ac:dyDescent="0.25">
      <c r="A1387" s="26">
        <v>44124</v>
      </c>
      <c r="B1387" s="17"/>
      <c r="C1387" s="7" t="s">
        <v>355</v>
      </c>
      <c r="D1387" s="36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>
        <v>51.75</v>
      </c>
      <c r="O1387" s="17"/>
      <c r="P1387" s="17"/>
      <c r="Q1387" s="17">
        <f t="shared" si="507"/>
        <v>459.01000000000624</v>
      </c>
      <c r="R1387" s="2"/>
    </row>
    <row r="1388" spans="1:18" x14ac:dyDescent="0.25">
      <c r="A1388" s="26">
        <v>44124</v>
      </c>
      <c r="B1388" s="17"/>
      <c r="C1388" s="7" t="s">
        <v>495</v>
      </c>
      <c r="D1388" s="36">
        <v>20</v>
      </c>
      <c r="E1388" s="17">
        <v>90</v>
      </c>
      <c r="F1388" s="17">
        <f t="shared" ref="F1388" si="522">D1388*E1388</f>
        <v>1800</v>
      </c>
      <c r="G1388" s="17">
        <v>0</v>
      </c>
      <c r="H1388" s="17">
        <v>0</v>
      </c>
      <c r="I1388" s="17"/>
      <c r="J1388" s="17">
        <v>0</v>
      </c>
      <c r="K1388" s="17">
        <f t="shared" ref="K1388" si="523">SUM(F1388:J1388)</f>
        <v>1800</v>
      </c>
      <c r="L1388" s="17"/>
      <c r="M1388" s="17"/>
      <c r="N1388" s="17"/>
      <c r="O1388" s="17"/>
      <c r="P1388" s="17"/>
      <c r="Q1388" s="17">
        <f t="shared" si="507"/>
        <v>-1340.9899999999939</v>
      </c>
      <c r="R1388" s="2" t="s">
        <v>504</v>
      </c>
    </row>
    <row r="1389" spans="1:18" x14ac:dyDescent="0.25">
      <c r="A1389" s="26">
        <v>44125</v>
      </c>
      <c r="B1389" s="17">
        <v>1000</v>
      </c>
      <c r="D1389" s="36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>
        <f t="shared" si="507"/>
        <v>-340.98999999999387</v>
      </c>
      <c r="R1389" s="2"/>
    </row>
    <row r="1390" spans="1:18" x14ac:dyDescent="0.25">
      <c r="A1390" s="26">
        <v>44125</v>
      </c>
      <c r="B1390" s="17"/>
      <c r="C1390" s="7" t="s">
        <v>505</v>
      </c>
      <c r="D1390" s="36"/>
      <c r="E1390" s="17"/>
      <c r="F1390" s="17"/>
      <c r="G1390" s="17"/>
      <c r="H1390" s="17"/>
      <c r="I1390" s="17"/>
      <c r="J1390" s="17"/>
      <c r="K1390" s="17">
        <v>2.46</v>
      </c>
      <c r="L1390" s="17"/>
      <c r="M1390" s="17"/>
      <c r="N1390" s="17"/>
      <c r="O1390" s="17"/>
      <c r="P1390" s="17"/>
      <c r="Q1390" s="17">
        <f t="shared" si="507"/>
        <v>-343.44999999999385</v>
      </c>
      <c r="R1390" s="2"/>
    </row>
    <row r="1391" spans="1:18" x14ac:dyDescent="0.25">
      <c r="A1391" s="26">
        <v>44126</v>
      </c>
      <c r="B1391" s="17">
        <v>500</v>
      </c>
      <c r="D1391" s="36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>
        <f t="shared" si="507"/>
        <v>156.55000000000615</v>
      </c>
      <c r="R1391" s="2"/>
    </row>
    <row r="1392" spans="1:18" x14ac:dyDescent="0.25">
      <c r="A1392" s="26">
        <v>44126</v>
      </c>
      <c r="B1392" s="17"/>
      <c r="C1392" s="7" t="s">
        <v>383</v>
      </c>
      <c r="D1392" s="36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>
        <v>31.5</v>
      </c>
      <c r="O1392" s="17"/>
      <c r="P1392" s="17"/>
      <c r="Q1392" s="17">
        <f t="shared" si="507"/>
        <v>188.05000000000615</v>
      </c>
      <c r="R1392" s="2"/>
    </row>
    <row r="1393" spans="1:18" x14ac:dyDescent="0.25">
      <c r="A1393" s="26">
        <v>44126</v>
      </c>
      <c r="B1393" s="17"/>
      <c r="C1393" s="7" t="s">
        <v>505</v>
      </c>
      <c r="D1393" s="36"/>
      <c r="E1393" s="17"/>
      <c r="F1393" s="17"/>
      <c r="G1393" s="17"/>
      <c r="H1393" s="17"/>
      <c r="I1393" s="17"/>
      <c r="J1393" s="17"/>
      <c r="K1393" s="17">
        <v>0.59</v>
      </c>
      <c r="L1393" s="17"/>
      <c r="M1393" s="17"/>
      <c r="N1393" s="17"/>
      <c r="O1393" s="17"/>
      <c r="P1393" s="17"/>
      <c r="Q1393" s="17">
        <f t="shared" si="507"/>
        <v>187.46000000000615</v>
      </c>
      <c r="R1393" s="2"/>
    </row>
    <row r="1394" spans="1:18" x14ac:dyDescent="0.25">
      <c r="A1394" s="26">
        <v>44127</v>
      </c>
      <c r="B1394" s="17"/>
      <c r="C1394" s="7" t="s">
        <v>270</v>
      </c>
      <c r="D1394" s="36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>
        <v>20.02</v>
      </c>
      <c r="O1394" s="17"/>
      <c r="P1394" s="17"/>
      <c r="Q1394" s="17">
        <f t="shared" si="507"/>
        <v>207.48000000000616</v>
      </c>
      <c r="R1394" s="2"/>
    </row>
    <row r="1395" spans="1:18" x14ac:dyDescent="0.25">
      <c r="A1395" s="26">
        <v>44133</v>
      </c>
      <c r="B1395" s="17">
        <v>500</v>
      </c>
      <c r="D1395" s="36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>
        <f t="shared" si="507"/>
        <v>707.48000000000616</v>
      </c>
      <c r="R1395" s="2"/>
    </row>
    <row r="1396" spans="1:18" x14ac:dyDescent="0.25">
      <c r="A1396" s="26">
        <v>44133</v>
      </c>
      <c r="B1396" s="17"/>
      <c r="C1396" s="7" t="s">
        <v>374</v>
      </c>
      <c r="D1396" s="36">
        <v>10</v>
      </c>
      <c r="E1396" s="17">
        <v>72.19</v>
      </c>
      <c r="F1396" s="17">
        <f t="shared" ref="F1396" si="524">D1396*E1396</f>
        <v>721.9</v>
      </c>
      <c r="G1396" s="17">
        <v>0</v>
      </c>
      <c r="H1396" s="17">
        <v>0</v>
      </c>
      <c r="I1396" s="17"/>
      <c r="J1396" s="17">
        <v>0</v>
      </c>
      <c r="K1396" s="17">
        <f t="shared" ref="K1396" si="525">SUM(F1396:J1396)</f>
        <v>721.9</v>
      </c>
      <c r="L1396" s="17"/>
      <c r="M1396" s="17"/>
      <c r="N1396" s="17"/>
      <c r="O1396" s="17"/>
      <c r="P1396" s="17"/>
      <c r="Q1396" s="17">
        <f t="shared" si="507"/>
        <v>-14.41999999999382</v>
      </c>
      <c r="R1396" s="2"/>
    </row>
    <row r="1397" spans="1:18" x14ac:dyDescent="0.25">
      <c r="A1397" s="26">
        <v>44134</v>
      </c>
      <c r="B1397" s="17">
        <v>1000</v>
      </c>
      <c r="D1397" s="36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>
        <f t="shared" si="507"/>
        <v>985.58000000000618</v>
      </c>
      <c r="R1397" s="2"/>
    </row>
    <row r="1398" spans="1:18" x14ac:dyDescent="0.25">
      <c r="A1398" s="26">
        <v>44134</v>
      </c>
      <c r="B1398" s="17"/>
      <c r="C1398" s="7" t="s">
        <v>180</v>
      </c>
      <c r="D1398" s="36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>
        <v>6.91</v>
      </c>
      <c r="O1398" s="17"/>
      <c r="P1398" s="17"/>
      <c r="Q1398" s="17">
        <f t="shared" si="507"/>
        <v>992.49000000000615</v>
      </c>
      <c r="R1398" s="2"/>
    </row>
    <row r="1399" spans="1:18" x14ac:dyDescent="0.25">
      <c r="A1399" s="26">
        <v>44134</v>
      </c>
      <c r="B1399" s="17"/>
      <c r="C1399" s="7" t="s">
        <v>222</v>
      </c>
      <c r="D1399" s="36">
        <v>10</v>
      </c>
      <c r="E1399" s="17">
        <v>72.19</v>
      </c>
      <c r="F1399" s="17">
        <f t="shared" ref="F1399" si="526">D1399*E1399</f>
        <v>721.9</v>
      </c>
      <c r="G1399" s="17">
        <v>0.19</v>
      </c>
      <c r="H1399" s="17">
        <v>0.02</v>
      </c>
      <c r="I1399" s="17"/>
      <c r="J1399" s="17">
        <v>0</v>
      </c>
      <c r="K1399" s="17">
        <f t="shared" ref="K1399" si="527">SUM(F1399:J1399)</f>
        <v>722.11</v>
      </c>
      <c r="L1399" s="17"/>
      <c r="M1399" s="17"/>
      <c r="N1399" s="17"/>
      <c r="O1399" s="17"/>
      <c r="P1399" s="17"/>
      <c r="Q1399" s="17">
        <f t="shared" si="507"/>
        <v>270.38000000000613</v>
      </c>
      <c r="R1399" s="2"/>
    </row>
    <row r="1400" spans="1:18" x14ac:dyDescent="0.25">
      <c r="A1400" s="26">
        <v>44140</v>
      </c>
      <c r="B1400" s="17">
        <v>1000</v>
      </c>
      <c r="D1400" s="36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>
        <f t="shared" si="507"/>
        <v>1270.380000000006</v>
      </c>
      <c r="R1400" s="2"/>
    </row>
    <row r="1401" spans="1:18" x14ac:dyDescent="0.25">
      <c r="A1401" s="26">
        <v>44140</v>
      </c>
      <c r="B1401" s="17"/>
      <c r="C1401" s="7" t="s">
        <v>383</v>
      </c>
      <c r="D1401" s="36">
        <v>10</v>
      </c>
      <c r="E1401" s="17">
        <v>84.59</v>
      </c>
      <c r="F1401" s="17">
        <f t="shared" ref="F1401" si="528">D1401*E1401</f>
        <v>845.90000000000009</v>
      </c>
      <c r="G1401" s="17">
        <v>0.23</v>
      </c>
      <c r="H1401" s="17">
        <v>0.02</v>
      </c>
      <c r="I1401" s="17"/>
      <c r="J1401" s="17">
        <v>0</v>
      </c>
      <c r="K1401" s="17">
        <f t="shared" ref="K1401" si="529">SUM(F1401:J1401)</f>
        <v>846.15000000000009</v>
      </c>
      <c r="L1401" s="17"/>
      <c r="M1401" s="17"/>
      <c r="N1401" s="17"/>
      <c r="O1401" s="17"/>
      <c r="P1401" s="17"/>
      <c r="Q1401" s="17">
        <f t="shared" si="507"/>
        <v>424.23000000000593</v>
      </c>
      <c r="R1401" s="2"/>
    </row>
    <row r="1402" spans="1:18" x14ac:dyDescent="0.25">
      <c r="A1402" s="26">
        <v>44141</v>
      </c>
      <c r="B1402" s="17">
        <v>1000</v>
      </c>
      <c r="D1402" s="36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>
        <f t="shared" si="507"/>
        <v>1424.2300000000059</v>
      </c>
      <c r="R1402" s="2"/>
    </row>
    <row r="1403" spans="1:18" x14ac:dyDescent="0.25">
      <c r="A1403" s="26">
        <v>44144</v>
      </c>
      <c r="B1403" s="17"/>
      <c r="C1403" s="7" t="s">
        <v>507</v>
      </c>
      <c r="D1403" s="36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>
        <v>1.32</v>
      </c>
      <c r="O1403" s="17"/>
      <c r="P1403" s="17"/>
      <c r="Q1403" s="17">
        <f t="shared" si="507"/>
        <v>1425.5500000000059</v>
      </c>
      <c r="R1403" s="2"/>
    </row>
    <row r="1404" spans="1:18" x14ac:dyDescent="0.25">
      <c r="A1404" s="26">
        <v>44144</v>
      </c>
      <c r="B1404" s="17"/>
      <c r="C1404" s="7" t="s">
        <v>222</v>
      </c>
      <c r="D1404" s="36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>
        <v>92.5</v>
      </c>
      <c r="O1404" s="17"/>
      <c r="P1404" s="17"/>
      <c r="Q1404" s="17">
        <f t="shared" si="507"/>
        <v>1518.0500000000059</v>
      </c>
      <c r="R1404" s="2"/>
    </row>
    <row r="1405" spans="1:18" x14ac:dyDescent="0.25">
      <c r="A1405" s="26">
        <v>44145</v>
      </c>
      <c r="B1405" s="17"/>
      <c r="C1405" s="7" t="s">
        <v>186</v>
      </c>
      <c r="D1405" s="36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>
        <f>54+75</f>
        <v>129</v>
      </c>
      <c r="O1405" s="17"/>
      <c r="P1405" s="17"/>
      <c r="Q1405" s="17">
        <f t="shared" si="507"/>
        <v>1647.0500000000059</v>
      </c>
      <c r="R1405" s="2"/>
    </row>
    <row r="1406" spans="1:18" x14ac:dyDescent="0.25">
      <c r="A1406" s="26">
        <v>44145</v>
      </c>
      <c r="B1406" s="17"/>
      <c r="C1406" s="7" t="s">
        <v>234</v>
      </c>
      <c r="D1406" s="36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>
        <v>28.8</v>
      </c>
      <c r="O1406" s="17"/>
      <c r="P1406" s="17"/>
      <c r="Q1406" s="17">
        <f t="shared" si="507"/>
        <v>1675.8500000000058</v>
      </c>
      <c r="R1406" s="2"/>
    </row>
    <row r="1407" spans="1:18" x14ac:dyDescent="0.25">
      <c r="A1407" s="26">
        <v>44146</v>
      </c>
      <c r="B1407" s="17"/>
      <c r="C1407" s="7" t="s">
        <v>408</v>
      </c>
      <c r="D1407" s="36">
        <v>10</v>
      </c>
      <c r="E1407" s="17">
        <v>59.94</v>
      </c>
      <c r="F1407" s="17">
        <f t="shared" ref="F1407" si="530">D1407*E1407</f>
        <v>599.4</v>
      </c>
      <c r="G1407" s="17">
        <v>0.16</v>
      </c>
      <c r="H1407" s="17">
        <v>0.01</v>
      </c>
      <c r="I1407" s="17"/>
      <c r="J1407" s="17">
        <v>0</v>
      </c>
      <c r="K1407" s="17">
        <f t="shared" ref="K1407" si="531">SUM(F1407:J1407)</f>
        <v>599.56999999999994</v>
      </c>
      <c r="L1407" s="17"/>
      <c r="M1407" s="17"/>
      <c r="N1407" s="17"/>
      <c r="O1407" s="17"/>
      <c r="P1407" s="17"/>
      <c r="Q1407" s="17">
        <f t="shared" si="507"/>
        <v>1076.2800000000059</v>
      </c>
      <c r="R1407" s="2"/>
    </row>
    <row r="1408" spans="1:18" x14ac:dyDescent="0.25">
      <c r="A1408" s="26">
        <v>44148</v>
      </c>
      <c r="B1408" s="17"/>
      <c r="C1408" s="7" t="s">
        <v>374</v>
      </c>
      <c r="D1408" s="36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>
        <v>85.8</v>
      </c>
      <c r="O1408" s="17"/>
      <c r="P1408" s="17"/>
      <c r="Q1408" s="17">
        <f t="shared" si="507"/>
        <v>1162.0800000000058</v>
      </c>
      <c r="R1408" s="2"/>
    </row>
    <row r="1409" spans="1:19" x14ac:dyDescent="0.25">
      <c r="A1409" s="26">
        <v>44148</v>
      </c>
      <c r="B1409" s="17"/>
      <c r="C1409" s="7" t="s">
        <v>181</v>
      </c>
      <c r="D1409" s="36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>
        <v>61.95</v>
      </c>
      <c r="O1409" s="17"/>
      <c r="P1409" s="17"/>
      <c r="Q1409" s="17">
        <f t="shared" ref="Q1409:Q1500" si="532">Q1408+B1409-K1409-L1409-M1409+N1409+O1409+P1409</f>
        <v>1224.0300000000059</v>
      </c>
      <c r="R1409" s="2"/>
    </row>
    <row r="1410" spans="1:19" x14ac:dyDescent="0.25">
      <c r="A1410" s="26">
        <v>44148</v>
      </c>
      <c r="B1410" s="17"/>
      <c r="C1410" s="7" t="s">
        <v>217</v>
      </c>
      <c r="D1410" s="36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>
        <v>88.74</v>
      </c>
      <c r="O1410" s="17"/>
      <c r="P1410" s="17"/>
      <c r="Q1410" s="17">
        <f t="shared" si="532"/>
        <v>1312.7700000000059</v>
      </c>
      <c r="R1410" s="2"/>
    </row>
    <row r="1411" spans="1:19" x14ac:dyDescent="0.25">
      <c r="A1411" s="26">
        <v>44151</v>
      </c>
      <c r="B1411" s="17"/>
      <c r="C1411" s="7" t="s">
        <v>169</v>
      </c>
      <c r="D1411" s="36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>
        <v>57.37</v>
      </c>
      <c r="O1411" s="17"/>
      <c r="P1411" s="17"/>
      <c r="Q1411" s="17">
        <f t="shared" si="532"/>
        <v>1370.1400000000058</v>
      </c>
      <c r="R1411" s="2"/>
    </row>
    <row r="1412" spans="1:19" x14ac:dyDescent="0.25">
      <c r="A1412" s="26">
        <v>44151</v>
      </c>
      <c r="B1412" s="17"/>
      <c r="C1412" s="7" t="s">
        <v>408</v>
      </c>
      <c r="D1412" s="36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>
        <v>31.5</v>
      </c>
      <c r="O1412" s="17"/>
      <c r="P1412" s="17"/>
      <c r="Q1412" s="17">
        <f t="shared" si="532"/>
        <v>1401.6400000000058</v>
      </c>
      <c r="R1412" s="2"/>
    </row>
    <row r="1413" spans="1:19" x14ac:dyDescent="0.25">
      <c r="A1413" s="26">
        <v>44151</v>
      </c>
      <c r="B1413" s="17"/>
      <c r="C1413" s="7" t="s">
        <v>508</v>
      </c>
      <c r="D1413" s="36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>
        <v>8.94</v>
      </c>
      <c r="O1413" s="17"/>
      <c r="P1413" s="17"/>
      <c r="Q1413" s="17">
        <f t="shared" si="532"/>
        <v>1410.5800000000058</v>
      </c>
      <c r="R1413" s="2"/>
    </row>
    <row r="1414" spans="1:19" x14ac:dyDescent="0.25">
      <c r="A1414" s="26">
        <v>44151</v>
      </c>
      <c r="B1414" s="17"/>
      <c r="C1414" s="7" t="s">
        <v>495</v>
      </c>
      <c r="D1414" s="36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>
        <v>167.68</v>
      </c>
      <c r="O1414" s="17"/>
      <c r="P1414" s="17"/>
      <c r="Q1414" s="17">
        <f t="shared" si="532"/>
        <v>1578.2600000000059</v>
      </c>
      <c r="R1414" s="2"/>
    </row>
    <row r="1415" spans="1:19" x14ac:dyDescent="0.25">
      <c r="A1415" s="26">
        <v>44151</v>
      </c>
      <c r="B1415" s="17"/>
      <c r="C1415" s="7" t="s">
        <v>221</v>
      </c>
      <c r="D1415" s="36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>
        <v>133.32</v>
      </c>
      <c r="O1415" s="17"/>
      <c r="P1415" s="17"/>
      <c r="Q1415" s="17">
        <f t="shared" si="532"/>
        <v>1711.5800000000058</v>
      </c>
      <c r="R1415" s="2"/>
    </row>
    <row r="1416" spans="1:19" x14ac:dyDescent="0.25">
      <c r="A1416" s="26">
        <v>44151</v>
      </c>
      <c r="B1416" s="17"/>
      <c r="C1416" s="7" t="s">
        <v>377</v>
      </c>
      <c r="D1416" s="36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>
        <v>27.84</v>
      </c>
      <c r="O1416" s="17"/>
      <c r="P1416" s="17"/>
      <c r="Q1416" s="17">
        <f t="shared" si="532"/>
        <v>1739.4200000000058</v>
      </c>
      <c r="R1416" s="2"/>
    </row>
    <row r="1417" spans="1:19" x14ac:dyDescent="0.25">
      <c r="A1417" s="26">
        <v>44151</v>
      </c>
      <c r="B1417" s="17"/>
      <c r="C1417" s="7" t="s">
        <v>267</v>
      </c>
      <c r="D1417" s="36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>
        <v>20.399999999999999</v>
      </c>
      <c r="O1417" s="17"/>
      <c r="P1417" s="17"/>
      <c r="Q1417" s="17">
        <f t="shared" si="532"/>
        <v>1759.8200000000058</v>
      </c>
      <c r="R1417" s="2"/>
    </row>
    <row r="1418" spans="1:19" x14ac:dyDescent="0.25">
      <c r="A1418" s="26">
        <v>44151</v>
      </c>
      <c r="B1418" s="17"/>
      <c r="C1418" s="7" t="s">
        <v>184</v>
      </c>
      <c r="D1418" s="36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>
        <v>30</v>
      </c>
      <c r="O1418" s="17"/>
      <c r="P1418" s="17"/>
      <c r="Q1418" s="17">
        <f t="shared" si="532"/>
        <v>1789.8200000000058</v>
      </c>
      <c r="R1418" s="2"/>
    </row>
    <row r="1419" spans="1:19" x14ac:dyDescent="0.25">
      <c r="A1419" s="26">
        <v>44151</v>
      </c>
      <c r="B1419" s="17"/>
      <c r="C1419" s="7" t="s">
        <v>173</v>
      </c>
      <c r="D1419" s="36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>
        <v>307.5</v>
      </c>
      <c r="O1419" s="17"/>
      <c r="P1419" s="17"/>
      <c r="Q1419" s="17">
        <f t="shared" si="532"/>
        <v>2097.3200000000061</v>
      </c>
      <c r="R1419" s="2"/>
    </row>
    <row r="1420" spans="1:19" x14ac:dyDescent="0.25">
      <c r="A1420" s="26">
        <v>44152</v>
      </c>
      <c r="B1420" s="17"/>
      <c r="C1420" s="7" t="s">
        <v>509</v>
      </c>
      <c r="D1420" s="36">
        <v>10</v>
      </c>
      <c r="E1420" s="17">
        <v>100.15</v>
      </c>
      <c r="F1420" s="17">
        <f t="shared" ref="F1420" si="533">D1420*E1420</f>
        <v>1001.5</v>
      </c>
      <c r="G1420" s="17">
        <v>0.27</v>
      </c>
      <c r="H1420" s="17">
        <v>0.03</v>
      </c>
      <c r="I1420" s="17"/>
      <c r="J1420" s="17">
        <v>0</v>
      </c>
      <c r="K1420" s="17">
        <f t="shared" ref="K1420" si="534">SUM(F1420:J1420)</f>
        <v>1001.8</v>
      </c>
      <c r="L1420" s="17"/>
      <c r="M1420" s="17"/>
      <c r="N1420" s="17"/>
      <c r="O1420" s="17"/>
      <c r="P1420" s="17"/>
      <c r="Q1420" s="17">
        <f t="shared" si="532"/>
        <v>1095.5200000000061</v>
      </c>
      <c r="R1420" s="2"/>
      <c r="S1420" s="20"/>
    </row>
    <row r="1421" spans="1:19" x14ac:dyDescent="0.25">
      <c r="A1421" s="26">
        <v>44153</v>
      </c>
      <c r="B1421" s="17"/>
      <c r="C1421" s="7" t="s">
        <v>220</v>
      </c>
      <c r="D1421" s="36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>
        <v>30</v>
      </c>
      <c r="O1421" s="17"/>
      <c r="P1421" s="17"/>
      <c r="Q1421" s="17">
        <f t="shared" si="532"/>
        <v>1125.5200000000061</v>
      </c>
      <c r="R1421" s="2"/>
    </row>
    <row r="1422" spans="1:19" x14ac:dyDescent="0.25">
      <c r="A1422" s="26">
        <v>44154</v>
      </c>
      <c r="B1422" s="17"/>
      <c r="C1422" s="7" t="s">
        <v>355</v>
      </c>
      <c r="D1422" s="36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>
        <v>47.15</v>
      </c>
      <c r="O1422" s="17"/>
      <c r="P1422" s="17"/>
      <c r="Q1422" s="17">
        <f t="shared" si="532"/>
        <v>1172.6700000000062</v>
      </c>
      <c r="R1422" s="2"/>
    </row>
    <row r="1423" spans="1:19" x14ac:dyDescent="0.25">
      <c r="A1423" s="26">
        <v>44154</v>
      </c>
      <c r="B1423" s="17"/>
      <c r="C1423" s="7" t="s">
        <v>509</v>
      </c>
      <c r="D1423" s="36">
        <v>10</v>
      </c>
      <c r="E1423" s="17">
        <v>100.6</v>
      </c>
      <c r="F1423" s="17">
        <f t="shared" ref="F1423" si="535">D1423*E1423</f>
        <v>1006</v>
      </c>
      <c r="G1423" s="17">
        <v>0</v>
      </c>
      <c r="H1423" s="17">
        <v>0</v>
      </c>
      <c r="I1423" s="17"/>
      <c r="J1423" s="17">
        <v>0</v>
      </c>
      <c r="K1423" s="17">
        <f t="shared" ref="K1423" si="536">SUM(F1423:J1423)</f>
        <v>1006</v>
      </c>
      <c r="L1423" s="17"/>
      <c r="M1423" s="17"/>
      <c r="N1423" s="17"/>
      <c r="O1423" s="17"/>
      <c r="P1423" s="17"/>
      <c r="Q1423" s="17">
        <f t="shared" si="532"/>
        <v>166.67000000000621</v>
      </c>
      <c r="R1423" s="2"/>
    </row>
    <row r="1424" spans="1:19" x14ac:dyDescent="0.25">
      <c r="A1424" s="26">
        <v>44158</v>
      </c>
      <c r="B1424" s="17"/>
      <c r="C1424" s="7" t="s">
        <v>383</v>
      </c>
      <c r="D1424" s="36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>
        <v>38.4</v>
      </c>
      <c r="O1424" s="17"/>
      <c r="P1424" s="17"/>
      <c r="Q1424" s="17">
        <f t="shared" si="532"/>
        <v>205.07000000000622</v>
      </c>
      <c r="R1424" s="2"/>
    </row>
    <row r="1425" spans="1:18" x14ac:dyDescent="0.25">
      <c r="A1425" s="26">
        <v>44160</v>
      </c>
      <c r="B1425" s="17"/>
      <c r="C1425" s="7" t="s">
        <v>170</v>
      </c>
      <c r="D1425" s="36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>
        <v>745.23</v>
      </c>
      <c r="P1425" s="17">
        <v>90.08</v>
      </c>
      <c r="Q1425" s="17">
        <f t="shared" si="532"/>
        <v>1040.3800000000062</v>
      </c>
      <c r="R1425" s="2"/>
    </row>
    <row r="1426" spans="1:18" x14ac:dyDescent="0.25">
      <c r="A1426" s="26">
        <v>44160</v>
      </c>
      <c r="B1426" s="17"/>
      <c r="C1426" s="7" t="s">
        <v>218</v>
      </c>
      <c r="D1426" s="36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>
        <v>81.599999999999994</v>
      </c>
      <c r="P1426" s="17"/>
      <c r="Q1426" s="17">
        <f t="shared" si="532"/>
        <v>1121.9800000000062</v>
      </c>
      <c r="R1426" s="2"/>
    </row>
    <row r="1427" spans="1:18" x14ac:dyDescent="0.25">
      <c r="A1427" s="26">
        <v>44160</v>
      </c>
      <c r="B1427" s="17"/>
      <c r="C1427" s="7" t="s">
        <v>252</v>
      </c>
      <c r="D1427" s="36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>
        <v>66.88</v>
      </c>
      <c r="P1427" s="17"/>
      <c r="Q1427" s="17">
        <f t="shared" si="532"/>
        <v>1188.860000000006</v>
      </c>
      <c r="R1427" s="2"/>
    </row>
    <row r="1428" spans="1:18" x14ac:dyDescent="0.25">
      <c r="A1428" s="26">
        <v>44160</v>
      </c>
      <c r="B1428" s="17"/>
      <c r="C1428" s="7" t="s">
        <v>270</v>
      </c>
      <c r="D1428" s="36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>
        <v>32.340000000000003</v>
      </c>
      <c r="O1428" s="17"/>
      <c r="P1428" s="17"/>
      <c r="Q1428" s="17">
        <f t="shared" si="532"/>
        <v>1221.200000000006</v>
      </c>
      <c r="R1428" s="2"/>
    </row>
    <row r="1429" spans="1:18" x14ac:dyDescent="0.25">
      <c r="A1429" s="26">
        <v>44162</v>
      </c>
      <c r="B1429" s="17"/>
      <c r="C1429" s="7" t="s">
        <v>5</v>
      </c>
      <c r="D1429" s="36"/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>
        <v>22.18</v>
      </c>
      <c r="Q1429" s="17">
        <f t="shared" si="532"/>
        <v>1243.380000000006</v>
      </c>
      <c r="R1429" s="2"/>
    </row>
    <row r="1430" spans="1:18" x14ac:dyDescent="0.25">
      <c r="A1430" s="26">
        <v>44165</v>
      </c>
      <c r="B1430" s="17"/>
      <c r="C1430" s="7" t="s">
        <v>180</v>
      </c>
      <c r="D1430" s="36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>
        <v>14.4</v>
      </c>
      <c r="O1430" s="17"/>
      <c r="P1430" s="17"/>
      <c r="Q1430" s="17">
        <f t="shared" si="532"/>
        <v>1257.7800000000061</v>
      </c>
      <c r="R1430" s="2"/>
    </row>
    <row r="1431" spans="1:18" x14ac:dyDescent="0.25">
      <c r="A1431" s="26">
        <v>44165</v>
      </c>
      <c r="B1431" s="17"/>
      <c r="C1431" s="7" t="s">
        <v>509</v>
      </c>
      <c r="D1431" s="36">
        <v>10</v>
      </c>
      <c r="E1431" s="17">
        <v>103</v>
      </c>
      <c r="F1431" s="17">
        <f t="shared" ref="F1431" si="537">D1431*E1431</f>
        <v>1030</v>
      </c>
      <c r="G1431" s="17">
        <v>0</v>
      </c>
      <c r="H1431" s="17">
        <v>0</v>
      </c>
      <c r="I1431" s="17"/>
      <c r="J1431" s="17">
        <v>0</v>
      </c>
      <c r="K1431" s="17">
        <f t="shared" ref="K1431" si="538">SUM(F1431:J1431)</f>
        <v>1030</v>
      </c>
      <c r="L1431" s="17"/>
      <c r="M1431" s="17"/>
      <c r="N1431" s="17"/>
      <c r="O1431" s="17"/>
      <c r="P1431" s="17"/>
      <c r="Q1431" s="17">
        <f t="shared" si="532"/>
        <v>227.78000000000611</v>
      </c>
      <c r="R1431" s="2"/>
    </row>
    <row r="1432" spans="1:18" x14ac:dyDescent="0.25">
      <c r="A1432" s="26">
        <v>44167</v>
      </c>
      <c r="B1432" s="17">
        <v>1000</v>
      </c>
      <c r="D1432" s="36"/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>
        <f t="shared" si="532"/>
        <v>1227.7800000000061</v>
      </c>
      <c r="R1432" s="2"/>
    </row>
    <row r="1433" spans="1:18" x14ac:dyDescent="0.25">
      <c r="A1433" s="26">
        <v>44168</v>
      </c>
      <c r="B1433" s="17"/>
      <c r="C1433" s="7" t="s">
        <v>222</v>
      </c>
      <c r="D1433" s="36">
        <v>10</v>
      </c>
      <c r="E1433" s="17">
        <v>77.7</v>
      </c>
      <c r="F1433" s="17">
        <f t="shared" ref="F1433" si="539">D1433*E1433</f>
        <v>777</v>
      </c>
      <c r="G1433" s="17">
        <v>0.21</v>
      </c>
      <c r="H1433" s="17">
        <v>0.02</v>
      </c>
      <c r="I1433" s="17"/>
      <c r="J1433" s="17">
        <v>0</v>
      </c>
      <c r="K1433" s="17">
        <f t="shared" ref="K1433" si="540">SUM(F1433:J1433)</f>
        <v>777.23</v>
      </c>
      <c r="L1433" s="17"/>
      <c r="M1433" s="17"/>
      <c r="N1433" s="17"/>
      <c r="O1433" s="17"/>
      <c r="P1433" s="17"/>
      <c r="Q1433" s="17">
        <f t="shared" si="532"/>
        <v>450.55000000000609</v>
      </c>
      <c r="R1433" s="2"/>
    </row>
    <row r="1434" spans="1:18" x14ac:dyDescent="0.25">
      <c r="A1434" s="26">
        <v>44172</v>
      </c>
      <c r="B1434" s="17"/>
      <c r="C1434" s="7" t="s">
        <v>222</v>
      </c>
      <c r="D1434" s="36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>
        <v>97.5</v>
      </c>
      <c r="O1434" s="17"/>
      <c r="P1434" s="17"/>
      <c r="Q1434" s="17">
        <f t="shared" si="532"/>
        <v>548.05000000000609</v>
      </c>
      <c r="R1434" s="2"/>
    </row>
    <row r="1435" spans="1:18" x14ac:dyDescent="0.25">
      <c r="A1435" s="26">
        <v>44172</v>
      </c>
      <c r="B1435" s="17"/>
      <c r="C1435" s="7" t="s">
        <v>509</v>
      </c>
      <c r="D1435" s="36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>
        <v>24.3</v>
      </c>
      <c r="O1435" s="17"/>
      <c r="P1435" s="17"/>
      <c r="Q1435" s="17">
        <f t="shared" si="532"/>
        <v>572.35000000000605</v>
      </c>
      <c r="R1435" s="2"/>
    </row>
    <row r="1436" spans="1:18" x14ac:dyDescent="0.25">
      <c r="A1436" s="26">
        <v>44173</v>
      </c>
      <c r="B1436" s="17">
        <v>1000</v>
      </c>
      <c r="D1436" s="36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>
        <f t="shared" si="532"/>
        <v>1572.350000000006</v>
      </c>
      <c r="R1436" s="2"/>
    </row>
    <row r="1437" spans="1:18" x14ac:dyDescent="0.25">
      <c r="A1437" s="26">
        <v>44173</v>
      </c>
      <c r="B1437" s="17"/>
      <c r="C1437" s="7" t="s">
        <v>186</v>
      </c>
      <c r="D1437" s="36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>
        <f>70+54</f>
        <v>124</v>
      </c>
      <c r="O1437" s="17"/>
      <c r="P1437" s="17"/>
      <c r="Q1437" s="17">
        <f t="shared" si="532"/>
        <v>1696.350000000006</v>
      </c>
      <c r="R1437" s="2"/>
    </row>
    <row r="1438" spans="1:18" x14ac:dyDescent="0.25">
      <c r="A1438" s="26">
        <v>44173</v>
      </c>
      <c r="B1438" s="17"/>
      <c r="C1438" s="7" t="s">
        <v>234</v>
      </c>
      <c r="D1438" s="36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>
        <v>29.6</v>
      </c>
      <c r="O1438" s="17"/>
      <c r="P1438" s="17"/>
      <c r="Q1438" s="17">
        <f t="shared" si="532"/>
        <v>1725.950000000006</v>
      </c>
      <c r="R1438" s="2"/>
    </row>
    <row r="1439" spans="1:18" x14ac:dyDescent="0.25">
      <c r="A1439" s="26">
        <v>44176</v>
      </c>
      <c r="B1439" s="17"/>
      <c r="C1439" s="7" t="s">
        <v>184</v>
      </c>
      <c r="D1439" s="36">
        <v>10</v>
      </c>
      <c r="E1439" s="17">
        <v>62.85</v>
      </c>
      <c r="F1439" s="17">
        <f t="shared" ref="F1439:F1440" si="541">D1439*E1439</f>
        <v>628.5</v>
      </c>
      <c r="G1439" s="17">
        <v>0.21</v>
      </c>
      <c r="H1439" s="17">
        <v>0.02</v>
      </c>
      <c r="I1439" s="17"/>
      <c r="J1439" s="17">
        <v>0</v>
      </c>
      <c r="K1439" s="17">
        <f t="shared" ref="K1439:K1440" si="542">SUM(F1439:J1439)</f>
        <v>628.73</v>
      </c>
      <c r="L1439" s="17"/>
      <c r="M1439" s="17"/>
      <c r="N1439" s="17"/>
      <c r="O1439" s="17"/>
      <c r="P1439" s="17"/>
      <c r="Q1439" s="17">
        <f t="shared" si="532"/>
        <v>1097.2200000000059</v>
      </c>
      <c r="R1439" s="2"/>
    </row>
    <row r="1440" spans="1:18" x14ac:dyDescent="0.25">
      <c r="A1440" s="26">
        <v>44176</v>
      </c>
      <c r="B1440" s="17"/>
      <c r="C1440" s="7" t="s">
        <v>221</v>
      </c>
      <c r="D1440" s="36">
        <v>90</v>
      </c>
      <c r="E1440" s="17">
        <v>10.24</v>
      </c>
      <c r="F1440" s="17">
        <f t="shared" si="541"/>
        <v>921.6</v>
      </c>
      <c r="G1440" s="17">
        <v>0.21</v>
      </c>
      <c r="H1440" s="17">
        <v>0.02</v>
      </c>
      <c r="I1440" s="17"/>
      <c r="J1440" s="17">
        <v>0</v>
      </c>
      <c r="K1440" s="17">
        <f t="shared" si="542"/>
        <v>921.83</v>
      </c>
      <c r="L1440" s="17"/>
      <c r="M1440" s="17"/>
      <c r="N1440" s="17"/>
      <c r="O1440" s="17"/>
      <c r="P1440" s="17"/>
      <c r="Q1440" s="17">
        <f t="shared" si="532"/>
        <v>175.3900000000059</v>
      </c>
      <c r="R1440" s="2"/>
    </row>
    <row r="1441" spans="1:18" x14ac:dyDescent="0.25">
      <c r="A1441" s="26">
        <v>44179</v>
      </c>
      <c r="B1441" s="17">
        <v>1000</v>
      </c>
      <c r="D1441" s="36"/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>
        <f t="shared" si="532"/>
        <v>1175.3900000000058</v>
      </c>
      <c r="R1441" s="2"/>
    </row>
    <row r="1442" spans="1:18" x14ac:dyDescent="0.25">
      <c r="A1442" s="26">
        <v>44179</v>
      </c>
      <c r="B1442" s="17"/>
      <c r="C1442" s="7" t="s">
        <v>217</v>
      </c>
      <c r="D1442" s="36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>
        <v>88.74</v>
      </c>
      <c r="O1442" s="17"/>
      <c r="P1442" s="17"/>
      <c r="Q1442" s="17">
        <f t="shared" si="532"/>
        <v>1264.1300000000058</v>
      </c>
      <c r="R1442" s="2"/>
    </row>
    <row r="1443" spans="1:18" x14ac:dyDescent="0.25">
      <c r="A1443" s="26">
        <v>44179</v>
      </c>
      <c r="B1443" s="17"/>
      <c r="C1443" s="7" t="s">
        <v>169</v>
      </c>
      <c r="D1443" s="36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>
        <v>68.849999999999994</v>
      </c>
      <c r="O1443" s="17"/>
      <c r="P1443" s="17"/>
      <c r="Q1443" s="17">
        <f t="shared" si="532"/>
        <v>1332.9800000000057</v>
      </c>
      <c r="R1443" s="2"/>
    </row>
    <row r="1444" spans="1:18" x14ac:dyDescent="0.25">
      <c r="A1444" s="26">
        <v>44179</v>
      </c>
      <c r="B1444" s="17"/>
      <c r="C1444" s="7" t="s">
        <v>408</v>
      </c>
      <c r="D1444" s="36"/>
      <c r="E1444" s="17"/>
      <c r="F1444" s="17"/>
      <c r="G1444" s="17"/>
      <c r="H1444" s="17"/>
      <c r="I1444" s="17"/>
      <c r="J1444" s="17"/>
      <c r="K1444" s="17"/>
      <c r="L1444" s="17"/>
      <c r="M1444" s="17"/>
      <c r="N1444" s="17">
        <v>35</v>
      </c>
      <c r="O1444" s="17"/>
      <c r="P1444" s="17"/>
      <c r="Q1444" s="17">
        <f t="shared" si="532"/>
        <v>1367.9800000000057</v>
      </c>
      <c r="R1444" s="2"/>
    </row>
    <row r="1445" spans="1:18" x14ac:dyDescent="0.25">
      <c r="A1445" s="26">
        <v>44179</v>
      </c>
      <c r="B1445" s="17"/>
      <c r="C1445" s="7" t="s">
        <v>508</v>
      </c>
      <c r="D1445" s="36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>
        <v>26.2</v>
      </c>
      <c r="O1445" s="17"/>
      <c r="P1445" s="17"/>
      <c r="Q1445" s="17">
        <f t="shared" si="532"/>
        <v>1394.1800000000057</v>
      </c>
      <c r="R1445" s="2"/>
    </row>
    <row r="1446" spans="1:18" x14ac:dyDescent="0.25">
      <c r="A1446" s="26">
        <v>44179</v>
      </c>
      <c r="B1446" s="17"/>
      <c r="C1446" s="7" t="s">
        <v>221</v>
      </c>
      <c r="D1446" s="36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>
        <v>133.32</v>
      </c>
      <c r="O1446" s="17"/>
      <c r="P1446" s="17"/>
      <c r="Q1446" s="17">
        <f t="shared" si="532"/>
        <v>1527.5000000000057</v>
      </c>
      <c r="R1446" s="2"/>
    </row>
    <row r="1447" spans="1:18" x14ac:dyDescent="0.25">
      <c r="A1447" s="26">
        <v>44179</v>
      </c>
      <c r="B1447" s="17"/>
      <c r="C1447" s="7" t="s">
        <v>173</v>
      </c>
      <c r="D1447" s="36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>
        <v>325.95</v>
      </c>
      <c r="O1447" s="17"/>
      <c r="P1447" s="17"/>
      <c r="Q1447" s="17">
        <f t="shared" si="532"/>
        <v>1853.4500000000057</v>
      </c>
      <c r="R1447" s="2"/>
    </row>
    <row r="1448" spans="1:18" x14ac:dyDescent="0.25">
      <c r="A1448" s="26">
        <v>44179</v>
      </c>
      <c r="B1448" s="17"/>
      <c r="C1448" s="7" t="s">
        <v>267</v>
      </c>
      <c r="D1448" s="36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>
        <v>20.399999999999999</v>
      </c>
      <c r="O1448" s="17"/>
      <c r="P1448" s="17"/>
      <c r="Q1448" s="17">
        <f t="shared" si="532"/>
        <v>1873.8500000000058</v>
      </c>
      <c r="R1448" s="2"/>
    </row>
    <row r="1449" spans="1:18" x14ac:dyDescent="0.25">
      <c r="A1449" s="26">
        <v>44179</v>
      </c>
      <c r="B1449" s="17"/>
      <c r="C1449" s="7" t="s">
        <v>184</v>
      </c>
      <c r="D1449" s="36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>
        <v>50</v>
      </c>
      <c r="O1449" s="17"/>
      <c r="P1449" s="17"/>
      <c r="Q1449" s="17">
        <f t="shared" si="532"/>
        <v>1923.8500000000058</v>
      </c>
      <c r="R1449" s="2"/>
    </row>
    <row r="1450" spans="1:18" x14ac:dyDescent="0.25">
      <c r="A1450" s="26">
        <v>44179</v>
      </c>
      <c r="B1450" s="17"/>
      <c r="C1450" s="7" t="s">
        <v>495</v>
      </c>
      <c r="D1450" s="36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>
        <v>167.68</v>
      </c>
      <c r="O1450" s="17"/>
      <c r="P1450" s="17"/>
      <c r="Q1450" s="17">
        <f t="shared" si="532"/>
        <v>2091.5300000000057</v>
      </c>
      <c r="R1450" s="2"/>
    </row>
    <row r="1451" spans="1:18" x14ac:dyDescent="0.25">
      <c r="A1451" s="26">
        <v>44179</v>
      </c>
      <c r="B1451" s="17"/>
      <c r="C1451" s="7" t="s">
        <v>377</v>
      </c>
      <c r="D1451" s="36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>
        <v>33.64</v>
      </c>
      <c r="O1451" s="17"/>
      <c r="P1451" s="17"/>
      <c r="Q1451" s="17">
        <f t="shared" si="532"/>
        <v>2125.1700000000055</v>
      </c>
      <c r="R1451" s="2"/>
    </row>
    <row r="1452" spans="1:18" x14ac:dyDescent="0.25">
      <c r="A1452" s="26">
        <v>44180</v>
      </c>
      <c r="B1452" s="17"/>
      <c r="C1452" s="7" t="s">
        <v>374</v>
      </c>
      <c r="D1452" s="36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>
        <v>85.8</v>
      </c>
      <c r="O1452" s="17"/>
      <c r="P1452" s="17"/>
      <c r="Q1452" s="17">
        <f t="shared" si="532"/>
        <v>2210.9700000000057</v>
      </c>
      <c r="R1452" s="2"/>
    </row>
    <row r="1453" spans="1:18" x14ac:dyDescent="0.25">
      <c r="A1453" s="26">
        <v>44180</v>
      </c>
      <c r="B1453" s="17"/>
      <c r="C1453" s="7" t="s">
        <v>181</v>
      </c>
      <c r="D1453" s="36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>
        <v>63</v>
      </c>
      <c r="O1453" s="17"/>
      <c r="P1453" s="17"/>
      <c r="Q1453" s="17">
        <f t="shared" si="532"/>
        <v>2273.9700000000057</v>
      </c>
      <c r="R1453" s="2"/>
    </row>
    <row r="1454" spans="1:18" x14ac:dyDescent="0.25">
      <c r="A1454" s="26">
        <v>44180</v>
      </c>
      <c r="B1454" s="17"/>
      <c r="C1454" s="7" t="s">
        <v>82</v>
      </c>
      <c r="D1454" s="36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>
        <v>0.08</v>
      </c>
      <c r="P1454" s="17"/>
      <c r="Q1454" s="17">
        <f t="shared" si="532"/>
        <v>2274.0500000000056</v>
      </c>
      <c r="R1454" s="2"/>
    </row>
    <row r="1455" spans="1:18" x14ac:dyDescent="0.25">
      <c r="A1455" s="26">
        <v>44180</v>
      </c>
      <c r="B1455" s="17"/>
      <c r="C1455" s="7" t="s">
        <v>383</v>
      </c>
      <c r="D1455" s="36">
        <v>10</v>
      </c>
      <c r="E1455" s="17">
        <v>80.2</v>
      </c>
      <c r="F1455" s="17">
        <f t="shared" ref="F1455" si="543">D1455*E1455</f>
        <v>802</v>
      </c>
      <c r="G1455" s="17">
        <v>0.22</v>
      </c>
      <c r="H1455" s="17">
        <v>0.02</v>
      </c>
      <c r="I1455" s="17"/>
      <c r="J1455" s="17">
        <v>0</v>
      </c>
      <c r="K1455" s="17">
        <f t="shared" ref="K1455" si="544">SUM(F1455:J1455)</f>
        <v>802.24</v>
      </c>
      <c r="L1455" s="17"/>
      <c r="M1455" s="17"/>
      <c r="N1455" s="17"/>
      <c r="O1455" s="17"/>
      <c r="P1455" s="17"/>
      <c r="Q1455" s="17">
        <f t="shared" si="532"/>
        <v>1471.8100000000056</v>
      </c>
      <c r="R1455" s="2"/>
    </row>
    <row r="1456" spans="1:18" x14ac:dyDescent="0.25">
      <c r="A1456" s="26">
        <v>44181</v>
      </c>
      <c r="B1456" s="17"/>
      <c r="C1456" s="7" t="s">
        <v>220</v>
      </c>
      <c r="D1456" s="36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>
        <v>30</v>
      </c>
      <c r="O1456" s="17"/>
      <c r="P1456" s="17"/>
      <c r="Q1456" s="17">
        <f t="shared" si="532"/>
        <v>1501.8100000000056</v>
      </c>
      <c r="R1456" s="2"/>
    </row>
    <row r="1457" spans="1:19" x14ac:dyDescent="0.25">
      <c r="A1457" s="26">
        <v>44182</v>
      </c>
      <c r="B1457" s="17"/>
      <c r="C1457" s="7" t="s">
        <v>355</v>
      </c>
      <c r="D1457" s="36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>
        <v>44.85</v>
      </c>
      <c r="O1457" s="17"/>
      <c r="P1457" s="17"/>
      <c r="Q1457" s="17">
        <f t="shared" si="532"/>
        <v>1546.6600000000055</v>
      </c>
      <c r="R1457" s="2"/>
    </row>
    <row r="1458" spans="1:19" x14ac:dyDescent="0.25">
      <c r="A1458" s="26">
        <v>44183</v>
      </c>
      <c r="B1458" s="17">
        <v>1000</v>
      </c>
      <c r="D1458" s="36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>
        <f t="shared" si="532"/>
        <v>2546.6600000000053</v>
      </c>
      <c r="R1458" s="2"/>
    </row>
    <row r="1459" spans="1:19" x14ac:dyDescent="0.25">
      <c r="A1459" s="26">
        <v>44183</v>
      </c>
      <c r="B1459" s="17"/>
      <c r="C1459" s="7" t="s">
        <v>180</v>
      </c>
      <c r="D1459" s="36">
        <v>20</v>
      </c>
      <c r="E1459" s="17">
        <v>29.73</v>
      </c>
      <c r="F1459" s="17">
        <f t="shared" ref="F1459" si="545">D1459*E1459</f>
        <v>594.6</v>
      </c>
      <c r="G1459" s="17">
        <v>0</v>
      </c>
      <c r="H1459" s="17">
        <v>0</v>
      </c>
      <c r="I1459" s="17"/>
      <c r="J1459" s="17">
        <v>0</v>
      </c>
      <c r="K1459" s="17">
        <f t="shared" ref="K1459" si="546">SUM(F1459:J1459)</f>
        <v>594.6</v>
      </c>
      <c r="L1459" s="17"/>
      <c r="M1459" s="17"/>
      <c r="N1459" s="17"/>
      <c r="O1459" s="17"/>
      <c r="P1459" s="17"/>
      <c r="Q1459" s="17">
        <f t="shared" si="532"/>
        <v>1952.0600000000054</v>
      </c>
      <c r="R1459" s="2"/>
    </row>
    <row r="1460" spans="1:19" x14ac:dyDescent="0.25">
      <c r="A1460" s="26">
        <v>44186</v>
      </c>
      <c r="B1460" s="17"/>
      <c r="C1460" s="7" t="s">
        <v>383</v>
      </c>
      <c r="D1460" s="36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>
        <v>44</v>
      </c>
      <c r="O1460" s="17"/>
      <c r="P1460" s="17"/>
      <c r="Q1460" s="17">
        <f t="shared" si="532"/>
        <v>1996.0600000000054</v>
      </c>
      <c r="R1460" s="2"/>
    </row>
    <row r="1461" spans="1:19" x14ac:dyDescent="0.25">
      <c r="A1461" s="26">
        <v>44186</v>
      </c>
      <c r="B1461" s="17"/>
      <c r="C1461" s="7" t="s">
        <v>15</v>
      </c>
      <c r="D1461" s="36">
        <v>500</v>
      </c>
      <c r="E1461" s="17">
        <v>2.14</v>
      </c>
      <c r="F1461" s="17">
        <f t="shared" ref="F1461" si="547">D1461*E1461</f>
        <v>1070</v>
      </c>
      <c r="G1461" s="17">
        <v>0</v>
      </c>
      <c r="H1461" s="17">
        <v>0</v>
      </c>
      <c r="I1461" s="17"/>
      <c r="J1461" s="17">
        <v>0</v>
      </c>
      <c r="K1461" s="17">
        <f t="shared" ref="K1461" si="548">SUM(F1461:J1461)</f>
        <v>1070</v>
      </c>
      <c r="L1461" s="17"/>
      <c r="M1461" s="17"/>
      <c r="N1461" s="17"/>
      <c r="O1461" s="17"/>
      <c r="P1461" s="17"/>
      <c r="Q1461" s="17">
        <f t="shared" si="532"/>
        <v>926.0600000000054</v>
      </c>
      <c r="R1461" s="2"/>
    </row>
    <row r="1462" spans="1:19" x14ac:dyDescent="0.25">
      <c r="A1462" s="26">
        <v>44186</v>
      </c>
      <c r="B1462" s="17"/>
      <c r="C1462" s="7" t="s">
        <v>221</v>
      </c>
      <c r="D1462" s="36">
        <v>80</v>
      </c>
      <c r="E1462" s="17">
        <v>10.199999999999999</v>
      </c>
      <c r="F1462" s="17">
        <f t="shared" ref="F1462" si="549">D1462*E1462</f>
        <v>816</v>
      </c>
      <c r="G1462" s="17">
        <v>0</v>
      </c>
      <c r="H1462" s="17">
        <v>0</v>
      </c>
      <c r="I1462" s="17"/>
      <c r="J1462" s="17">
        <v>0</v>
      </c>
      <c r="K1462" s="17">
        <f t="shared" ref="K1462" si="550">SUM(F1462:J1462)</f>
        <v>816</v>
      </c>
      <c r="L1462" s="17"/>
      <c r="M1462" s="17"/>
      <c r="N1462" s="17"/>
      <c r="O1462" s="17"/>
      <c r="P1462" s="17"/>
      <c r="Q1462" s="17">
        <f t="shared" si="532"/>
        <v>110.0600000000054</v>
      </c>
      <c r="R1462" s="2"/>
    </row>
    <row r="1463" spans="1:19" x14ac:dyDescent="0.25">
      <c r="A1463" s="26">
        <v>44188</v>
      </c>
      <c r="B1463" s="17"/>
      <c r="C1463" s="7" t="s">
        <v>270</v>
      </c>
      <c r="D1463" s="36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>
        <v>34.65</v>
      </c>
      <c r="O1463" s="17"/>
      <c r="P1463" s="17"/>
      <c r="Q1463" s="17">
        <f t="shared" si="532"/>
        <v>144.71000000000541</v>
      </c>
      <c r="R1463" s="2"/>
      <c r="S1463" s="20"/>
    </row>
    <row r="1464" spans="1:19" x14ac:dyDescent="0.25">
      <c r="A1464" s="26">
        <v>44193</v>
      </c>
      <c r="B1464" s="17"/>
      <c r="C1464" s="7" t="s">
        <v>405</v>
      </c>
      <c r="D1464" s="36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>
        <v>110.43</v>
      </c>
      <c r="Q1464" s="17">
        <f t="shared" si="532"/>
        <v>255.14000000000541</v>
      </c>
      <c r="R1464" s="2"/>
    </row>
    <row r="1465" spans="1:19" x14ac:dyDescent="0.25">
      <c r="A1465" s="26">
        <v>44193</v>
      </c>
      <c r="B1465" s="17"/>
      <c r="C1465" s="7" t="s">
        <v>170</v>
      </c>
      <c r="D1465" s="36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>
        <v>83.61</v>
      </c>
      <c r="Q1465" s="17">
        <f t="shared" si="532"/>
        <v>338.7500000000054</v>
      </c>
      <c r="R1465" s="2"/>
    </row>
    <row r="1466" spans="1:19" x14ac:dyDescent="0.25">
      <c r="A1466" s="26">
        <v>44195</v>
      </c>
      <c r="B1466" s="17">
        <v>1000</v>
      </c>
      <c r="D1466" s="36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>
        <f t="shared" si="532"/>
        <v>1338.7500000000055</v>
      </c>
      <c r="R1466" s="2"/>
    </row>
    <row r="1467" spans="1:19" x14ac:dyDescent="0.25">
      <c r="A1467" s="26">
        <v>44195</v>
      </c>
      <c r="B1467" s="17"/>
      <c r="C1467" s="7" t="s">
        <v>17</v>
      </c>
      <c r="D1467" s="36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>
        <v>374.62</v>
      </c>
      <c r="P1467" s="17">
        <f>174.88+10.32</f>
        <v>185.2</v>
      </c>
      <c r="Q1467" s="17">
        <f t="shared" si="532"/>
        <v>1898.5700000000054</v>
      </c>
      <c r="R1467" s="2"/>
      <c r="S1467" s="20"/>
    </row>
    <row r="1468" spans="1:19" x14ac:dyDescent="0.25">
      <c r="A1468" s="26">
        <v>44195</v>
      </c>
      <c r="B1468" s="17"/>
      <c r="C1468" s="7" t="s">
        <v>30</v>
      </c>
      <c r="D1468" s="36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>
        <v>24.97</v>
      </c>
      <c r="P1468" s="17">
        <f>11.66+1.48</f>
        <v>13.14</v>
      </c>
      <c r="Q1468" s="17">
        <f t="shared" si="532"/>
        <v>1936.6800000000055</v>
      </c>
      <c r="R1468" s="2"/>
      <c r="S1468" s="20"/>
    </row>
    <row r="1469" spans="1:19" x14ac:dyDescent="0.25">
      <c r="A1469" s="26">
        <v>44195</v>
      </c>
      <c r="B1469" s="17"/>
      <c r="C1469" s="7" t="s">
        <v>5</v>
      </c>
      <c r="D1469" s="36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>
        <v>13.32</v>
      </c>
      <c r="Q1469" s="17">
        <f t="shared" si="532"/>
        <v>1950.0000000000055</v>
      </c>
      <c r="R1469" s="2"/>
    </row>
    <row r="1470" spans="1:19" x14ac:dyDescent="0.25">
      <c r="A1470" s="26">
        <v>44195</v>
      </c>
      <c r="B1470" s="17"/>
      <c r="C1470" s="7" t="s">
        <v>180</v>
      </c>
      <c r="D1470" s="36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>
        <v>26.68</v>
      </c>
      <c r="O1470" s="17"/>
      <c r="P1470" s="17"/>
      <c r="Q1470" s="17">
        <f t="shared" si="532"/>
        <v>1976.6800000000055</v>
      </c>
      <c r="R1470" s="2"/>
    </row>
    <row r="1471" spans="1:19" x14ac:dyDescent="0.25">
      <c r="A1471" s="26">
        <v>44195</v>
      </c>
      <c r="B1471" s="17"/>
      <c r="C1471" s="7" t="s">
        <v>222</v>
      </c>
      <c r="D1471" s="36">
        <v>10</v>
      </c>
      <c r="E1471" s="17">
        <v>80.7</v>
      </c>
      <c r="F1471" s="17">
        <f t="shared" ref="F1471:F1472" si="551">D1471*E1471</f>
        <v>807</v>
      </c>
      <c r="G1471" s="17">
        <v>0.2</v>
      </c>
      <c r="H1471" s="17">
        <v>0.15</v>
      </c>
      <c r="I1471" s="17"/>
      <c r="J1471" s="17">
        <v>0</v>
      </c>
      <c r="K1471" s="17">
        <f t="shared" ref="K1471:K1472" si="552">SUM(F1471:J1471)</f>
        <v>807.35</v>
      </c>
      <c r="L1471" s="17"/>
      <c r="M1471" s="17"/>
      <c r="N1471" s="17"/>
      <c r="O1471" s="17"/>
      <c r="P1471" s="17"/>
      <c r="Q1471" s="17">
        <f t="shared" si="532"/>
        <v>1169.3300000000054</v>
      </c>
      <c r="R1471" s="2"/>
    </row>
    <row r="1472" spans="1:19" x14ac:dyDescent="0.25">
      <c r="A1472" s="26">
        <v>44195</v>
      </c>
      <c r="B1472" s="17"/>
      <c r="C1472" s="7" t="s">
        <v>520</v>
      </c>
      <c r="D1472" s="36">
        <v>42</v>
      </c>
      <c r="E1472" s="17">
        <v>29.8</v>
      </c>
      <c r="F1472" s="17">
        <f t="shared" si="551"/>
        <v>1251.6000000000001</v>
      </c>
      <c r="G1472" s="17">
        <v>0.36</v>
      </c>
      <c r="H1472" s="17">
        <v>0.15</v>
      </c>
      <c r="I1472" s="17"/>
      <c r="J1472" s="17">
        <v>2.4900000000000002</v>
      </c>
      <c r="K1472" s="17">
        <f t="shared" si="552"/>
        <v>1254.6000000000001</v>
      </c>
      <c r="L1472" s="17"/>
      <c r="M1472" s="17"/>
      <c r="N1472" s="17"/>
      <c r="O1472" s="17"/>
      <c r="P1472" s="17"/>
      <c r="Q1472" s="17">
        <f t="shared" si="532"/>
        <v>-85.269999999994752</v>
      </c>
      <c r="R1472" s="118"/>
    </row>
    <row r="1473" spans="1:21" x14ac:dyDescent="0.25">
      <c r="A1473" s="26">
        <v>44200</v>
      </c>
      <c r="B1473" s="17"/>
      <c r="C1473" s="7" t="s">
        <v>85</v>
      </c>
      <c r="D1473" s="36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>
        <v>65.8</v>
      </c>
      <c r="P1473" s="17"/>
      <c r="Q1473" s="17">
        <f t="shared" si="532"/>
        <v>-19.469999999994755</v>
      </c>
      <c r="R1473" s="2"/>
    </row>
    <row r="1474" spans="1:21" x14ac:dyDescent="0.25">
      <c r="A1474" s="26">
        <v>44200</v>
      </c>
      <c r="B1474" s="17"/>
      <c r="C1474" s="7" t="s">
        <v>240</v>
      </c>
      <c r="D1474" s="36"/>
      <c r="E1474" s="17"/>
      <c r="F1474" s="17"/>
      <c r="G1474" s="17"/>
      <c r="H1474" s="17"/>
      <c r="I1474" s="17"/>
      <c r="J1474" s="17"/>
      <c r="K1474" s="17"/>
      <c r="L1474" s="17">
        <v>19.510000000000002</v>
      </c>
      <c r="M1474" s="17"/>
      <c r="N1474" s="17">
        <v>565.54</v>
      </c>
      <c r="O1474" s="17"/>
      <c r="P1474" s="17"/>
      <c r="Q1474" s="17">
        <f t="shared" si="532"/>
        <v>526.56000000000518</v>
      </c>
      <c r="R1474" s="2"/>
      <c r="T1474" t="s">
        <v>160</v>
      </c>
      <c r="U1474" t="s">
        <v>416</v>
      </c>
    </row>
    <row r="1475" spans="1:21" x14ac:dyDescent="0.25">
      <c r="A1475" s="26">
        <v>44201</v>
      </c>
      <c r="B1475" s="17">
        <v>1000</v>
      </c>
      <c r="D1475" s="36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>
        <v>1628.8</v>
      </c>
      <c r="R1475" s="14" t="s">
        <v>522</v>
      </c>
      <c r="T1475" s="20">
        <v>24.59</v>
      </c>
      <c r="U1475" s="20">
        <v>3.76</v>
      </c>
    </row>
    <row r="1476" spans="1:21" x14ac:dyDescent="0.25">
      <c r="A1476" s="26">
        <v>44201</v>
      </c>
      <c r="B1476" s="17"/>
      <c r="C1476" s="7" t="s">
        <v>520</v>
      </c>
      <c r="D1476" s="36">
        <v>55</v>
      </c>
      <c r="E1476" s="17">
        <v>28.65</v>
      </c>
      <c r="F1476" s="17">
        <f t="shared" ref="F1476" si="553">D1476*E1476</f>
        <v>1575.75</v>
      </c>
      <c r="G1476" s="17">
        <v>0.43</v>
      </c>
      <c r="H1476" s="17">
        <v>0.04</v>
      </c>
      <c r="I1476" s="17">
        <v>0.19</v>
      </c>
      <c r="J1476" s="17">
        <v>1.99</v>
      </c>
      <c r="K1476" s="17">
        <f t="shared" ref="K1476" si="554">SUM(F1476:J1476)</f>
        <v>1578.4</v>
      </c>
      <c r="L1476" s="17"/>
      <c r="M1476" s="17"/>
      <c r="N1476" s="17"/>
      <c r="O1476" s="17"/>
      <c r="P1476" s="17"/>
      <c r="Q1476" s="17">
        <f t="shared" si="532"/>
        <v>50.399999999999864</v>
      </c>
      <c r="R1476" s="2"/>
      <c r="T1476" s="20">
        <v>26.48</v>
      </c>
      <c r="U1476" s="20">
        <v>2.98</v>
      </c>
    </row>
    <row r="1477" spans="1:21" x14ac:dyDescent="0.25">
      <c r="A1477" s="26">
        <v>44204</v>
      </c>
      <c r="B1477" s="17"/>
      <c r="C1477" s="7" t="s">
        <v>186</v>
      </c>
      <c r="D1477" s="36"/>
      <c r="E1477" s="17"/>
      <c r="F1477" s="17"/>
      <c r="G1477" s="17"/>
      <c r="H1477" s="17"/>
      <c r="I1477" s="17"/>
      <c r="J1477" s="17"/>
      <c r="K1477" s="17"/>
      <c r="L1477" s="17"/>
      <c r="M1477" s="17"/>
      <c r="N1477" s="17">
        <f>39+124</f>
        <v>163</v>
      </c>
      <c r="O1477" s="17"/>
      <c r="P1477" s="17"/>
      <c r="Q1477" s="17">
        <f t="shared" si="532"/>
        <v>213.39999999999986</v>
      </c>
      <c r="R1477" s="2"/>
      <c r="T1477" s="20">
        <v>26.48</v>
      </c>
      <c r="U1477" s="20">
        <v>6.81</v>
      </c>
    </row>
    <row r="1478" spans="1:21" x14ac:dyDescent="0.25">
      <c r="A1478" s="26">
        <v>44204</v>
      </c>
      <c r="B1478" s="17"/>
      <c r="C1478" s="7" t="s">
        <v>222</v>
      </c>
      <c r="D1478" s="36"/>
      <c r="E1478" s="17"/>
      <c r="F1478" s="17"/>
      <c r="G1478" s="17"/>
      <c r="H1478" s="17"/>
      <c r="I1478" s="17"/>
      <c r="J1478" s="17"/>
      <c r="K1478" s="17"/>
      <c r="L1478" s="17"/>
      <c r="M1478" s="17"/>
      <c r="N1478" s="17">
        <v>122.55</v>
      </c>
      <c r="O1478" s="17"/>
      <c r="P1478" s="17"/>
      <c r="Q1478" s="17">
        <f t="shared" si="532"/>
        <v>335.94999999999987</v>
      </c>
      <c r="R1478" s="2"/>
      <c r="T1478" s="20">
        <v>26.95</v>
      </c>
      <c r="U1478" s="20">
        <v>4.63</v>
      </c>
    </row>
    <row r="1479" spans="1:21" x14ac:dyDescent="0.25">
      <c r="A1479" s="26">
        <v>44204</v>
      </c>
      <c r="B1479" s="17"/>
      <c r="C1479" s="7" t="s">
        <v>509</v>
      </c>
      <c r="D1479" s="36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>
        <v>30.9</v>
      </c>
      <c r="O1479" s="17"/>
      <c r="P1479" s="17"/>
      <c r="Q1479" s="17">
        <f t="shared" si="532"/>
        <v>366.84999999999985</v>
      </c>
      <c r="R1479" s="2"/>
      <c r="T1479" s="20">
        <v>45.38</v>
      </c>
      <c r="U1479" s="20">
        <v>3.9</v>
      </c>
    </row>
    <row r="1480" spans="1:21" x14ac:dyDescent="0.25">
      <c r="A1480" s="26">
        <v>44207</v>
      </c>
      <c r="B1480" s="17"/>
      <c r="C1480" s="7" t="s">
        <v>234</v>
      </c>
      <c r="D1480" s="36"/>
      <c r="E1480" s="17"/>
      <c r="F1480" s="17"/>
      <c r="G1480" s="17"/>
      <c r="H1480" s="17"/>
      <c r="I1480" s="17"/>
      <c r="J1480" s="17"/>
      <c r="K1480" s="17"/>
      <c r="L1480" s="17"/>
      <c r="M1480" s="17"/>
      <c r="N1480" s="17">
        <v>28</v>
      </c>
      <c r="O1480" s="17"/>
      <c r="P1480" s="17"/>
      <c r="Q1480" s="17">
        <f t="shared" si="532"/>
        <v>394.84999999999985</v>
      </c>
      <c r="R1480" s="2"/>
      <c r="T1480" s="20">
        <v>25.05</v>
      </c>
      <c r="U1480" s="20">
        <v>2.4700000000000002</v>
      </c>
    </row>
    <row r="1481" spans="1:21" x14ac:dyDescent="0.25">
      <c r="A1481" s="26">
        <v>44209</v>
      </c>
      <c r="B1481" s="17">
        <v>1000</v>
      </c>
      <c r="D1481" s="36"/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>
        <f t="shared" si="532"/>
        <v>1394.85</v>
      </c>
      <c r="R1481" s="2"/>
      <c r="T1481" s="20">
        <v>28.37</v>
      </c>
      <c r="U1481" s="20">
        <v>2.12</v>
      </c>
    </row>
    <row r="1482" spans="1:21" x14ac:dyDescent="0.25">
      <c r="A1482" s="26">
        <v>44211</v>
      </c>
      <c r="B1482" s="17"/>
      <c r="C1482" s="7" t="s">
        <v>184</v>
      </c>
      <c r="D1482" s="36"/>
      <c r="E1482" s="17"/>
      <c r="F1482" s="17"/>
      <c r="G1482" s="17"/>
      <c r="H1482" s="17"/>
      <c r="I1482" s="17"/>
      <c r="J1482" s="17"/>
      <c r="K1482" s="17"/>
      <c r="L1482" s="17"/>
      <c r="M1482" s="17"/>
      <c r="N1482" s="17">
        <v>84</v>
      </c>
      <c r="O1482" s="17"/>
      <c r="P1482" s="17"/>
      <c r="Q1482" s="17">
        <f t="shared" si="532"/>
        <v>1478.85</v>
      </c>
      <c r="R1482" s="2"/>
      <c r="T1482" s="20">
        <v>20.8</v>
      </c>
      <c r="U1482" s="20">
        <v>3.55</v>
      </c>
    </row>
    <row r="1483" spans="1:21" x14ac:dyDescent="0.25">
      <c r="A1483" s="26">
        <v>44211</v>
      </c>
      <c r="B1483" s="17"/>
      <c r="C1483" s="7" t="s">
        <v>173</v>
      </c>
      <c r="D1483" s="36"/>
      <c r="E1483" s="17"/>
      <c r="F1483" s="17"/>
      <c r="G1483" s="17"/>
      <c r="H1483" s="17"/>
      <c r="I1483" s="17"/>
      <c r="J1483" s="17"/>
      <c r="K1483" s="17"/>
      <c r="L1483" s="17"/>
      <c r="M1483" s="17"/>
      <c r="N1483" s="17">
        <v>325.95</v>
      </c>
      <c r="O1483" s="17"/>
      <c r="P1483" s="17"/>
      <c r="Q1483" s="17">
        <f t="shared" si="532"/>
        <v>1804.8</v>
      </c>
      <c r="R1483" s="2"/>
      <c r="T1483" s="20">
        <v>7.1</v>
      </c>
      <c r="U1483" s="20">
        <v>3.8</v>
      </c>
    </row>
    <row r="1484" spans="1:21" x14ac:dyDescent="0.25">
      <c r="A1484" s="26">
        <v>44211</v>
      </c>
      <c r="B1484" s="17"/>
      <c r="C1484" s="7" t="s">
        <v>181</v>
      </c>
      <c r="D1484" s="36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>
        <v>63</v>
      </c>
      <c r="O1484" s="17"/>
      <c r="P1484" s="17"/>
      <c r="Q1484" s="17">
        <f t="shared" si="532"/>
        <v>1867.8</v>
      </c>
      <c r="R1484" s="2"/>
      <c r="T1484" s="20">
        <v>17.02</v>
      </c>
      <c r="U1484" s="20">
        <v>1.07</v>
      </c>
    </row>
    <row r="1485" spans="1:21" x14ac:dyDescent="0.25">
      <c r="A1485" s="26">
        <v>44211</v>
      </c>
      <c r="B1485" s="17"/>
      <c r="C1485" s="7" t="s">
        <v>495</v>
      </c>
      <c r="D1485" s="36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>
        <v>247.02</v>
      </c>
      <c r="O1485" s="17"/>
      <c r="P1485" s="17"/>
      <c r="Q1485" s="17">
        <f t="shared" si="532"/>
        <v>2114.8200000000002</v>
      </c>
      <c r="R1485" s="2"/>
      <c r="T1485" s="20">
        <v>26</v>
      </c>
      <c r="U1485" s="20">
        <v>2.41</v>
      </c>
    </row>
    <row r="1486" spans="1:21" x14ac:dyDescent="0.25">
      <c r="A1486" s="26">
        <v>44211</v>
      </c>
      <c r="B1486" s="17"/>
      <c r="C1486" s="7" t="s">
        <v>377</v>
      </c>
      <c r="D1486" s="36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>
        <v>35.96</v>
      </c>
      <c r="O1486" s="17"/>
      <c r="P1486" s="17"/>
      <c r="Q1486" s="17">
        <f t="shared" si="532"/>
        <v>2150.7800000000002</v>
      </c>
      <c r="R1486" s="2"/>
      <c r="T1486" s="20">
        <v>23.76</v>
      </c>
      <c r="U1486" s="20">
        <v>3.69</v>
      </c>
    </row>
    <row r="1487" spans="1:21" x14ac:dyDescent="0.25">
      <c r="A1487" s="26">
        <v>44211</v>
      </c>
      <c r="B1487" s="17"/>
      <c r="C1487" s="7" t="s">
        <v>217</v>
      </c>
      <c r="D1487" s="36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>
        <v>91.8</v>
      </c>
      <c r="O1487" s="17"/>
      <c r="P1487" s="17"/>
      <c r="Q1487" s="17">
        <f t="shared" si="532"/>
        <v>2242.5800000000004</v>
      </c>
      <c r="R1487" s="2"/>
      <c r="T1487" s="20">
        <v>60.33</v>
      </c>
      <c r="U1487" s="20">
        <v>3.4</v>
      </c>
    </row>
    <row r="1488" spans="1:21" x14ac:dyDescent="0.25">
      <c r="A1488" s="26">
        <v>44211</v>
      </c>
      <c r="B1488" s="17"/>
      <c r="C1488" s="7" t="s">
        <v>169</v>
      </c>
      <c r="D1488" s="36"/>
      <c r="E1488" s="17"/>
      <c r="F1488" s="17"/>
      <c r="G1488" s="17"/>
      <c r="H1488" s="17"/>
      <c r="I1488" s="17"/>
      <c r="J1488" s="17"/>
      <c r="K1488" s="17"/>
      <c r="L1488" s="17"/>
      <c r="M1488" s="17"/>
      <c r="N1488" s="17">
        <v>84.15</v>
      </c>
      <c r="O1488" s="17"/>
      <c r="P1488" s="17"/>
      <c r="Q1488" s="17">
        <f t="shared" si="532"/>
        <v>2326.7300000000005</v>
      </c>
      <c r="R1488" s="2"/>
      <c r="T1488" s="20">
        <v>23.76</v>
      </c>
      <c r="U1488" s="20">
        <v>4.63</v>
      </c>
    </row>
    <row r="1489" spans="1:21" x14ac:dyDescent="0.25">
      <c r="A1489" s="26">
        <v>44211</v>
      </c>
      <c r="B1489" s="17"/>
      <c r="C1489" s="7" t="s">
        <v>408</v>
      </c>
      <c r="D1489" s="36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>
        <v>42</v>
      </c>
      <c r="O1489" s="17"/>
      <c r="P1489" s="17"/>
      <c r="Q1489" s="17">
        <f t="shared" si="532"/>
        <v>2368.7300000000005</v>
      </c>
      <c r="R1489" s="2"/>
      <c r="T1489" s="20">
        <v>23.76</v>
      </c>
      <c r="U1489" s="20">
        <v>3.12</v>
      </c>
    </row>
    <row r="1490" spans="1:21" x14ac:dyDescent="0.25">
      <c r="A1490" s="26">
        <v>44211</v>
      </c>
      <c r="B1490" s="17"/>
      <c r="C1490" s="7" t="s">
        <v>183</v>
      </c>
      <c r="D1490" s="36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>
        <v>32.36</v>
      </c>
      <c r="O1490" s="17"/>
      <c r="P1490" s="17"/>
      <c r="Q1490" s="17">
        <f t="shared" si="532"/>
        <v>2401.0900000000006</v>
      </c>
      <c r="R1490" s="2"/>
      <c r="T1490" s="20">
        <v>23.16</v>
      </c>
      <c r="U1490" s="20">
        <v>3.97</v>
      </c>
    </row>
    <row r="1491" spans="1:21" x14ac:dyDescent="0.25">
      <c r="A1491" s="26">
        <v>44211</v>
      </c>
      <c r="B1491" s="17"/>
      <c r="C1491" s="7" t="s">
        <v>267</v>
      </c>
      <c r="D1491" s="36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>
        <v>21.6</v>
      </c>
      <c r="O1491" s="17"/>
      <c r="P1491" s="17"/>
      <c r="Q1491" s="17">
        <f t="shared" si="532"/>
        <v>2422.6900000000005</v>
      </c>
      <c r="R1491" s="2"/>
      <c r="T1491" s="20">
        <v>19.95</v>
      </c>
      <c r="U1491" s="20">
        <v>4.26</v>
      </c>
    </row>
    <row r="1492" spans="1:21" x14ac:dyDescent="0.25">
      <c r="A1492" s="26">
        <v>44211</v>
      </c>
      <c r="B1492" s="17"/>
      <c r="C1492" s="7" t="s">
        <v>221</v>
      </c>
      <c r="D1492" s="36"/>
      <c r="E1492" s="17"/>
      <c r="F1492" s="17"/>
      <c r="G1492" s="17"/>
      <c r="H1492" s="17"/>
      <c r="I1492" s="17"/>
      <c r="J1492" s="17"/>
      <c r="K1492" s="17"/>
      <c r="L1492" s="17"/>
      <c r="M1492" s="17"/>
      <c r="N1492" s="17">
        <v>167.44</v>
      </c>
      <c r="O1492" s="17"/>
      <c r="P1492" s="17"/>
      <c r="Q1492" s="17">
        <f t="shared" si="532"/>
        <v>2590.1300000000006</v>
      </c>
      <c r="R1492" s="2"/>
      <c r="T1492" s="20">
        <v>23.76</v>
      </c>
      <c r="U1492" s="20">
        <v>4.04</v>
      </c>
    </row>
    <row r="1493" spans="1:21" x14ac:dyDescent="0.25">
      <c r="A1493" s="26">
        <v>44211</v>
      </c>
      <c r="B1493" s="17"/>
      <c r="C1493" s="7" t="s">
        <v>374</v>
      </c>
      <c r="D1493" s="36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>
        <v>85.8</v>
      </c>
      <c r="O1493" s="17"/>
      <c r="P1493" s="17"/>
      <c r="Q1493" s="17">
        <f t="shared" si="532"/>
        <v>2675.9300000000007</v>
      </c>
      <c r="R1493" s="2"/>
      <c r="T1493" s="20">
        <v>23.64</v>
      </c>
      <c r="U1493" s="20">
        <v>3.47</v>
      </c>
    </row>
    <row r="1494" spans="1:21" x14ac:dyDescent="0.25">
      <c r="A1494" s="26">
        <v>44211</v>
      </c>
      <c r="B1494" s="17"/>
      <c r="C1494" s="7" t="s">
        <v>520</v>
      </c>
      <c r="D1494" s="36">
        <v>53</v>
      </c>
      <c r="E1494" s="17">
        <v>29.54</v>
      </c>
      <c r="F1494" s="17">
        <f t="shared" ref="F1494" si="555">D1494*E1494</f>
        <v>1565.62</v>
      </c>
      <c r="G1494" s="17">
        <v>0.43</v>
      </c>
      <c r="H1494" s="17">
        <f>0.04+0.13</f>
        <v>0.17</v>
      </c>
      <c r="I1494" s="17"/>
      <c r="J1494" s="17">
        <v>1.99</v>
      </c>
      <c r="K1494" s="17">
        <f t="shared" ref="K1494" si="556">SUM(F1494:J1494)</f>
        <v>1568.21</v>
      </c>
      <c r="L1494" s="17"/>
      <c r="M1494" s="17"/>
      <c r="N1494" s="17"/>
      <c r="O1494" s="17"/>
      <c r="P1494" s="17"/>
      <c r="Q1494" s="17">
        <f t="shared" si="532"/>
        <v>1107.7200000000007</v>
      </c>
      <c r="R1494" s="2"/>
      <c r="T1494" s="20">
        <v>40.86</v>
      </c>
      <c r="U1494" s="20">
        <v>8.17</v>
      </c>
    </row>
    <row r="1495" spans="1:21" x14ac:dyDescent="0.25">
      <c r="A1495" s="26">
        <v>43848</v>
      </c>
      <c r="B1495" s="17"/>
      <c r="C1495" s="7" t="s">
        <v>509</v>
      </c>
      <c r="D1495" s="36">
        <v>10</v>
      </c>
      <c r="E1495" s="17">
        <v>103.49</v>
      </c>
      <c r="F1495" s="17">
        <f t="shared" ref="F1495" si="557">D1495*E1495</f>
        <v>1034.8999999999999</v>
      </c>
      <c r="G1495" s="17">
        <v>0.28000000000000003</v>
      </c>
      <c r="H1495" s="17">
        <v>0.03</v>
      </c>
      <c r="I1495" s="17"/>
      <c r="J1495" s="17">
        <v>0</v>
      </c>
      <c r="K1495" s="17">
        <f t="shared" ref="K1495" si="558">SUM(F1495:J1495)</f>
        <v>1035.2099999999998</v>
      </c>
      <c r="L1495" s="17"/>
      <c r="M1495" s="17"/>
      <c r="N1495" s="17"/>
      <c r="O1495" s="17"/>
      <c r="P1495" s="17"/>
      <c r="Q1495" s="17">
        <f t="shared" si="532"/>
        <v>72.5100000000009</v>
      </c>
      <c r="R1495" s="2"/>
      <c r="T1495" s="20">
        <v>23.76</v>
      </c>
      <c r="U1495" s="20">
        <v>2.65</v>
      </c>
    </row>
    <row r="1496" spans="1:21" x14ac:dyDescent="0.25">
      <c r="A1496" s="26">
        <v>44215</v>
      </c>
      <c r="B1496" s="17"/>
      <c r="C1496" s="7" t="s">
        <v>220</v>
      </c>
      <c r="D1496" s="36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>
        <v>36</v>
      </c>
      <c r="O1496" s="17"/>
      <c r="P1496" s="17"/>
      <c r="Q1496" s="17">
        <f t="shared" si="532"/>
        <v>108.5100000000009</v>
      </c>
      <c r="R1496" s="2"/>
      <c r="T1496" s="20">
        <v>19.010000000000002</v>
      </c>
      <c r="U1496" s="20">
        <v>4.75</v>
      </c>
    </row>
    <row r="1497" spans="1:21" x14ac:dyDescent="0.25">
      <c r="A1497" s="26">
        <v>44216</v>
      </c>
      <c r="B1497" s="17"/>
      <c r="C1497" s="7" t="s">
        <v>355</v>
      </c>
      <c r="D1497" s="36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>
        <v>57.64</v>
      </c>
      <c r="O1497" s="17"/>
      <c r="P1497" s="17"/>
      <c r="Q1497" s="17">
        <f t="shared" si="532"/>
        <v>166.15000000000089</v>
      </c>
      <c r="R1497" s="2"/>
      <c r="T1497" s="20">
        <v>26.48</v>
      </c>
      <c r="U1497" s="20">
        <v>12.07</v>
      </c>
    </row>
    <row r="1498" spans="1:21" x14ac:dyDescent="0.25">
      <c r="A1498" s="26">
        <v>44216</v>
      </c>
      <c r="B1498" s="17"/>
      <c r="C1498" s="7" t="s">
        <v>405</v>
      </c>
      <c r="D1498" s="36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>
        <f>84.13+52.59</f>
        <v>136.72</v>
      </c>
      <c r="Q1498" s="17">
        <f t="shared" si="532"/>
        <v>302.87000000000091</v>
      </c>
      <c r="R1498" s="2"/>
      <c r="T1498" s="20">
        <v>27.08</v>
      </c>
      <c r="U1498" s="20">
        <v>5.42</v>
      </c>
    </row>
    <row r="1499" spans="1:21" x14ac:dyDescent="0.25">
      <c r="A1499" s="26">
        <v>44218</v>
      </c>
      <c r="B1499" s="17"/>
      <c r="C1499" s="7" t="s">
        <v>270</v>
      </c>
      <c r="D1499" s="36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>
        <v>52.22</v>
      </c>
      <c r="O1499" s="17"/>
      <c r="P1499" s="17"/>
      <c r="Q1499" s="17">
        <f t="shared" si="532"/>
        <v>355.09000000000094</v>
      </c>
      <c r="R1499" s="2"/>
      <c r="T1499" s="20">
        <v>22.69</v>
      </c>
      <c r="U1499" s="20">
        <v>3.8</v>
      </c>
    </row>
    <row r="1500" spans="1:21" x14ac:dyDescent="0.25">
      <c r="A1500" s="26">
        <v>44218</v>
      </c>
      <c r="B1500" s="17"/>
      <c r="C1500" s="7" t="s">
        <v>383</v>
      </c>
      <c r="D1500" s="36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>
        <v>82.85</v>
      </c>
      <c r="O1500" s="17"/>
      <c r="P1500" s="17"/>
      <c r="Q1500" s="17">
        <f t="shared" si="532"/>
        <v>437.94000000000096</v>
      </c>
      <c r="R1500" s="2"/>
      <c r="T1500" s="20"/>
      <c r="U1500" s="20"/>
    </row>
    <row r="1501" spans="1:21" x14ac:dyDescent="0.25">
      <c r="A1501" s="26">
        <v>44224</v>
      </c>
      <c r="B1501" s="17">
        <v>1000</v>
      </c>
      <c r="D1501" s="36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>
        <f t="shared" ref="Q1501:Q1564" si="559">Q1500+B1501-K1501-L1501-M1501+N1501+O1501+P1501</f>
        <v>1437.940000000001</v>
      </c>
      <c r="R1501" s="2"/>
      <c r="T1501" s="20"/>
      <c r="U1501" s="20"/>
    </row>
    <row r="1502" spans="1:21" x14ac:dyDescent="0.25">
      <c r="A1502" s="26">
        <v>44225</v>
      </c>
      <c r="B1502" s="17"/>
      <c r="C1502" s="7" t="s">
        <v>180</v>
      </c>
      <c r="D1502" s="36"/>
      <c r="E1502" s="17"/>
      <c r="F1502" s="17"/>
      <c r="G1502" s="17"/>
      <c r="H1502" s="17"/>
      <c r="I1502" s="17"/>
      <c r="J1502" s="17"/>
      <c r="K1502" s="17"/>
      <c r="L1502" s="17"/>
      <c r="M1502" s="17"/>
      <c r="N1502" s="17">
        <v>25.58</v>
      </c>
      <c r="O1502" s="17"/>
      <c r="P1502" s="17"/>
      <c r="Q1502" s="17">
        <f t="shared" si="559"/>
        <v>1463.5200000000009</v>
      </c>
      <c r="R1502" s="2"/>
      <c r="T1502" s="20"/>
      <c r="U1502" s="20"/>
    </row>
    <row r="1503" spans="1:21" x14ac:dyDescent="0.25">
      <c r="A1503" s="26">
        <v>44229</v>
      </c>
      <c r="B1503" s="17"/>
      <c r="C1503" s="7" t="s">
        <v>408</v>
      </c>
      <c r="D1503" s="36">
        <v>10</v>
      </c>
      <c r="E1503" s="17">
        <v>63.15</v>
      </c>
      <c r="F1503" s="17">
        <f t="shared" ref="F1503" si="560">D1503*E1503</f>
        <v>631.5</v>
      </c>
      <c r="G1503" s="17">
        <v>0.15</v>
      </c>
      <c r="H1503" s="17">
        <v>0.03</v>
      </c>
      <c r="I1503" s="17"/>
      <c r="J1503" s="17">
        <v>0</v>
      </c>
      <c r="K1503" s="17">
        <f t="shared" ref="K1503" si="561">SUM(F1503:J1503)</f>
        <v>631.67999999999995</v>
      </c>
      <c r="L1503" s="17"/>
      <c r="M1503" s="17"/>
      <c r="N1503" s="17"/>
      <c r="O1503" s="17"/>
      <c r="P1503" s="17"/>
      <c r="Q1503" s="17">
        <f t="shared" si="559"/>
        <v>831.84000000000094</v>
      </c>
      <c r="R1503" s="2"/>
      <c r="T1503" s="20"/>
      <c r="U1503" s="20"/>
    </row>
    <row r="1504" spans="1:21" x14ac:dyDescent="0.25">
      <c r="A1504" s="26">
        <v>44230</v>
      </c>
      <c r="B1504" s="17"/>
      <c r="C1504" s="7" t="s">
        <v>222</v>
      </c>
      <c r="D1504" s="36">
        <v>10</v>
      </c>
      <c r="E1504" s="17">
        <v>79.900000000000006</v>
      </c>
      <c r="F1504" s="17">
        <f t="shared" ref="F1504" si="562">D1504*E1504</f>
        <v>799</v>
      </c>
      <c r="G1504" s="17">
        <v>0</v>
      </c>
      <c r="H1504" s="17">
        <v>0</v>
      </c>
      <c r="I1504" s="17"/>
      <c r="J1504" s="17">
        <v>0</v>
      </c>
      <c r="K1504" s="17">
        <f t="shared" ref="K1504" si="563">SUM(F1504:J1504)</f>
        <v>799</v>
      </c>
      <c r="L1504" s="17"/>
      <c r="M1504" s="17"/>
      <c r="N1504" s="17"/>
      <c r="O1504" s="17"/>
      <c r="P1504" s="17"/>
      <c r="Q1504" s="17">
        <f t="shared" si="559"/>
        <v>32.840000000000941</v>
      </c>
      <c r="R1504" s="2"/>
      <c r="T1504" s="20"/>
      <c r="U1504" s="20"/>
    </row>
    <row r="1505" spans="1:21" x14ac:dyDescent="0.25">
      <c r="A1505" s="26">
        <v>44230</v>
      </c>
      <c r="B1505" s="17">
        <v>1000</v>
      </c>
      <c r="D1505" s="36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>
        <f t="shared" si="559"/>
        <v>1032.8400000000011</v>
      </c>
      <c r="R1505" s="2"/>
      <c r="T1505" s="20"/>
      <c r="U1505" s="20"/>
    </row>
    <row r="1506" spans="1:21" x14ac:dyDescent="0.25">
      <c r="A1506" s="26">
        <v>44232</v>
      </c>
      <c r="B1506" s="17"/>
      <c r="C1506" s="7" t="s">
        <v>222</v>
      </c>
      <c r="D1506" s="36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>
        <v>122.55</v>
      </c>
      <c r="O1506" s="17"/>
      <c r="P1506" s="17"/>
      <c r="Q1506" s="17">
        <f t="shared" si="559"/>
        <v>1155.390000000001</v>
      </c>
      <c r="R1506" s="2"/>
      <c r="T1506" s="20"/>
      <c r="U1506" s="20"/>
    </row>
    <row r="1507" spans="1:21" x14ac:dyDescent="0.25">
      <c r="A1507" s="26">
        <v>44232</v>
      </c>
      <c r="B1507" s="17"/>
      <c r="C1507" s="7" t="s">
        <v>509</v>
      </c>
      <c r="D1507" s="36"/>
      <c r="E1507" s="17"/>
      <c r="F1507" s="17"/>
      <c r="G1507" s="17"/>
      <c r="H1507" s="17"/>
      <c r="I1507" s="17"/>
      <c r="J1507" s="17"/>
      <c r="K1507" s="17"/>
      <c r="L1507" s="17"/>
      <c r="M1507" s="17"/>
      <c r="N1507" s="17">
        <v>32.4</v>
      </c>
      <c r="O1507" s="17"/>
      <c r="P1507" s="17"/>
      <c r="Q1507" s="17">
        <f t="shared" si="559"/>
        <v>1187.7900000000011</v>
      </c>
      <c r="R1507" s="2"/>
      <c r="T1507" s="20"/>
      <c r="U1507" s="20"/>
    </row>
    <row r="1508" spans="1:21" x14ac:dyDescent="0.25">
      <c r="A1508" s="26">
        <v>44235</v>
      </c>
      <c r="B1508" s="17"/>
      <c r="C1508" s="7" t="s">
        <v>186</v>
      </c>
      <c r="D1508" s="36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>
        <f>86+55</f>
        <v>141</v>
      </c>
      <c r="O1508" s="17"/>
      <c r="P1508" s="17"/>
      <c r="Q1508" s="17">
        <f t="shared" si="559"/>
        <v>1328.7900000000011</v>
      </c>
      <c r="R1508" s="2"/>
      <c r="T1508" s="20"/>
      <c r="U1508" s="20"/>
    </row>
    <row r="1509" spans="1:21" x14ac:dyDescent="0.25">
      <c r="A1509" s="26">
        <v>44236</v>
      </c>
      <c r="B1509" s="17"/>
      <c r="C1509" s="7" t="s">
        <v>234</v>
      </c>
      <c r="D1509" s="36"/>
      <c r="E1509" s="17"/>
      <c r="F1509" s="17"/>
      <c r="G1509" s="17"/>
      <c r="H1509" s="17"/>
      <c r="I1509" s="17"/>
      <c r="J1509" s="17"/>
      <c r="K1509" s="17"/>
      <c r="L1509" s="17"/>
      <c r="M1509" s="17"/>
      <c r="N1509" s="17">
        <v>38.799999999999997</v>
      </c>
      <c r="O1509" s="17"/>
      <c r="P1509" s="17"/>
      <c r="Q1509" s="17">
        <f t="shared" si="559"/>
        <v>1367.5900000000011</v>
      </c>
      <c r="R1509" s="2"/>
      <c r="T1509" s="20"/>
      <c r="U1509" s="20"/>
    </row>
    <row r="1510" spans="1:21" x14ac:dyDescent="0.25">
      <c r="A1510" s="26">
        <v>44237</v>
      </c>
      <c r="B1510" s="17">
        <v>5000</v>
      </c>
      <c r="D1510" s="36"/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>
        <f t="shared" si="559"/>
        <v>6367.5900000000011</v>
      </c>
      <c r="R1510" s="2"/>
      <c r="T1510" s="20"/>
      <c r="U1510" s="20"/>
    </row>
    <row r="1511" spans="1:21" x14ac:dyDescent="0.25">
      <c r="A1511" s="26">
        <v>44239</v>
      </c>
      <c r="B1511" s="17"/>
      <c r="C1511" s="7" t="s">
        <v>181</v>
      </c>
      <c r="D1511" s="36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>
        <v>63</v>
      </c>
      <c r="O1511" s="17"/>
      <c r="P1511" s="17"/>
      <c r="Q1511" s="17">
        <f t="shared" si="559"/>
        <v>6430.5900000000011</v>
      </c>
      <c r="R1511" s="2"/>
      <c r="T1511" s="20"/>
      <c r="U1511" s="20"/>
    </row>
    <row r="1512" spans="1:21" x14ac:dyDescent="0.25">
      <c r="A1512" s="26">
        <v>44239</v>
      </c>
      <c r="B1512" s="17"/>
      <c r="C1512" s="7" t="s">
        <v>183</v>
      </c>
      <c r="D1512" s="36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>
        <v>29.97</v>
      </c>
      <c r="O1512" s="17"/>
      <c r="P1512" s="17"/>
      <c r="Q1512" s="17">
        <f t="shared" si="559"/>
        <v>6460.5600000000013</v>
      </c>
      <c r="R1512" s="2"/>
      <c r="T1512" s="20"/>
      <c r="U1512" s="20"/>
    </row>
    <row r="1513" spans="1:21" x14ac:dyDescent="0.25">
      <c r="A1513" s="26">
        <v>44239</v>
      </c>
      <c r="B1513" s="17"/>
      <c r="C1513" s="7" t="s">
        <v>217</v>
      </c>
      <c r="D1513" s="36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>
        <v>88.74</v>
      </c>
      <c r="O1513" s="17"/>
      <c r="P1513" s="17"/>
      <c r="Q1513" s="17">
        <f t="shared" si="559"/>
        <v>6549.3000000000011</v>
      </c>
      <c r="R1513" s="2"/>
      <c r="T1513" s="20"/>
      <c r="U1513" s="20"/>
    </row>
    <row r="1514" spans="1:21" x14ac:dyDescent="0.25">
      <c r="A1514" s="26">
        <v>44239</v>
      </c>
      <c r="B1514" s="17"/>
      <c r="C1514" s="7" t="s">
        <v>173</v>
      </c>
      <c r="D1514" s="36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>
        <v>344.4</v>
      </c>
      <c r="O1514" s="17"/>
      <c r="P1514" s="17"/>
      <c r="Q1514" s="17">
        <f t="shared" si="559"/>
        <v>6893.7000000000007</v>
      </c>
      <c r="R1514" s="2"/>
      <c r="T1514" s="20"/>
      <c r="U1514" s="20"/>
    </row>
    <row r="1515" spans="1:21" x14ac:dyDescent="0.25">
      <c r="A1515" s="26">
        <v>44239</v>
      </c>
      <c r="B1515" s="17"/>
      <c r="C1515" s="7" t="s">
        <v>221</v>
      </c>
      <c r="D1515" s="36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>
        <v>191.36</v>
      </c>
      <c r="O1515" s="17"/>
      <c r="P1515" s="17"/>
      <c r="Q1515" s="17">
        <f t="shared" si="559"/>
        <v>7085.06</v>
      </c>
      <c r="R1515" s="2"/>
      <c r="T1515" s="20"/>
      <c r="U1515" s="20"/>
    </row>
    <row r="1516" spans="1:21" x14ac:dyDescent="0.25">
      <c r="A1516" s="26">
        <v>44239</v>
      </c>
      <c r="B1516" s="17"/>
      <c r="C1516" s="7" t="s">
        <v>267</v>
      </c>
      <c r="D1516" s="36"/>
      <c r="E1516" s="17"/>
      <c r="F1516" s="17"/>
      <c r="G1516" s="17"/>
      <c r="H1516" s="17"/>
      <c r="I1516" s="17"/>
      <c r="J1516" s="17"/>
      <c r="K1516" s="17"/>
      <c r="L1516" s="17"/>
      <c r="M1516" s="17"/>
      <c r="N1516" s="17">
        <v>20.399999999999999</v>
      </c>
      <c r="O1516" s="17"/>
      <c r="P1516" s="17"/>
      <c r="Q1516" s="17">
        <f t="shared" si="559"/>
        <v>7105.46</v>
      </c>
      <c r="R1516" s="2"/>
      <c r="T1516" s="20"/>
      <c r="U1516" s="20"/>
    </row>
    <row r="1517" spans="1:21" x14ac:dyDescent="0.25">
      <c r="A1517" s="26">
        <v>44239</v>
      </c>
      <c r="B1517" s="17"/>
      <c r="C1517" s="7" t="s">
        <v>374</v>
      </c>
      <c r="D1517" s="36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>
        <v>78</v>
      </c>
      <c r="O1517" s="17"/>
      <c r="P1517" s="17"/>
      <c r="Q1517" s="17">
        <f t="shared" si="559"/>
        <v>7183.46</v>
      </c>
      <c r="R1517" s="2"/>
      <c r="T1517" s="20"/>
      <c r="U1517" s="20"/>
    </row>
    <row r="1518" spans="1:21" x14ac:dyDescent="0.25">
      <c r="A1518" s="26">
        <v>44239</v>
      </c>
      <c r="B1518" s="17"/>
      <c r="C1518" s="7" t="s">
        <v>220</v>
      </c>
      <c r="D1518" s="36"/>
      <c r="E1518" s="17"/>
      <c r="F1518" s="17"/>
      <c r="G1518" s="17"/>
      <c r="H1518" s="17"/>
      <c r="I1518" s="17"/>
      <c r="J1518" s="17"/>
      <c r="K1518" s="17"/>
      <c r="L1518" s="17"/>
      <c r="M1518" s="17"/>
      <c r="N1518" s="17">
        <v>36</v>
      </c>
      <c r="O1518" s="17"/>
      <c r="P1518" s="17"/>
      <c r="Q1518" s="17">
        <f t="shared" si="559"/>
        <v>7219.46</v>
      </c>
      <c r="R1518" s="2"/>
      <c r="T1518" s="20"/>
      <c r="U1518" s="20"/>
    </row>
    <row r="1519" spans="1:21" x14ac:dyDescent="0.25">
      <c r="A1519" s="26">
        <v>44239</v>
      </c>
      <c r="B1519" s="17"/>
      <c r="C1519" s="7" t="s">
        <v>495</v>
      </c>
      <c r="D1519" s="36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>
        <v>210.16</v>
      </c>
      <c r="O1519" s="17"/>
      <c r="P1519" s="17"/>
      <c r="Q1519" s="17">
        <f t="shared" si="559"/>
        <v>7429.62</v>
      </c>
      <c r="R1519" s="2"/>
      <c r="T1519" s="20"/>
      <c r="U1519" s="20"/>
    </row>
    <row r="1520" spans="1:21" x14ac:dyDescent="0.25">
      <c r="A1520" s="26">
        <v>44239</v>
      </c>
      <c r="B1520" s="17"/>
      <c r="C1520" s="7" t="s">
        <v>169</v>
      </c>
      <c r="D1520" s="36"/>
      <c r="E1520" s="17"/>
      <c r="F1520" s="17"/>
      <c r="G1520" s="17"/>
      <c r="H1520" s="17"/>
      <c r="I1520" s="17"/>
      <c r="J1520" s="17"/>
      <c r="K1520" s="17"/>
      <c r="L1520" s="17"/>
      <c r="M1520" s="17"/>
      <c r="N1520" s="17">
        <v>91.8</v>
      </c>
      <c r="O1520" s="17"/>
      <c r="P1520" s="17"/>
      <c r="Q1520" s="17">
        <f t="shared" si="559"/>
        <v>7521.42</v>
      </c>
      <c r="R1520" s="2"/>
      <c r="T1520" s="20"/>
      <c r="U1520" s="20"/>
    </row>
    <row r="1521" spans="1:22" x14ac:dyDescent="0.25">
      <c r="A1521" s="26">
        <v>44239</v>
      </c>
      <c r="B1521" s="17"/>
      <c r="C1521" s="7" t="s">
        <v>377</v>
      </c>
      <c r="D1521" s="36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>
        <v>35.96</v>
      </c>
      <c r="O1521" s="17"/>
      <c r="P1521" s="17"/>
      <c r="Q1521" s="17">
        <f t="shared" si="559"/>
        <v>7557.38</v>
      </c>
      <c r="R1521" s="2"/>
      <c r="T1521" s="20"/>
      <c r="U1521" s="20"/>
    </row>
    <row r="1522" spans="1:22" x14ac:dyDescent="0.25">
      <c r="A1522" s="26">
        <v>44239</v>
      </c>
      <c r="B1522" s="17"/>
      <c r="C1522" s="7" t="s">
        <v>408</v>
      </c>
      <c r="D1522" s="36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>
        <v>45</v>
      </c>
      <c r="O1522" s="17"/>
      <c r="P1522" s="17"/>
      <c r="Q1522" s="17">
        <f t="shared" si="559"/>
        <v>7602.38</v>
      </c>
      <c r="R1522" s="2"/>
      <c r="T1522" s="20"/>
      <c r="U1522" s="20"/>
    </row>
    <row r="1523" spans="1:22" x14ac:dyDescent="0.25">
      <c r="A1523" s="26">
        <v>44239</v>
      </c>
      <c r="B1523" s="17"/>
      <c r="C1523" s="7" t="s">
        <v>184</v>
      </c>
      <c r="D1523" s="36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>
        <v>60.9</v>
      </c>
      <c r="O1523" s="17"/>
      <c r="P1523" s="17"/>
      <c r="Q1523" s="17">
        <f t="shared" si="559"/>
        <v>7663.28</v>
      </c>
      <c r="R1523" s="2"/>
      <c r="T1523" s="20"/>
      <c r="U1523" s="20"/>
    </row>
    <row r="1524" spans="1:22" x14ac:dyDescent="0.25">
      <c r="A1524" s="26">
        <v>44244</v>
      </c>
      <c r="B1524" s="17"/>
      <c r="C1524" s="7" t="s">
        <v>494</v>
      </c>
      <c r="D1524" s="36"/>
      <c r="E1524" s="17"/>
      <c r="F1524" s="17"/>
      <c r="G1524" s="17"/>
      <c r="H1524" s="17"/>
      <c r="I1524" s="17"/>
      <c r="J1524" s="17"/>
      <c r="K1524" s="17"/>
      <c r="L1524" s="17"/>
      <c r="M1524" s="17"/>
      <c r="N1524" s="17">
        <v>453.64</v>
      </c>
      <c r="O1524" s="17"/>
      <c r="P1524" s="17"/>
      <c r="Q1524" s="17">
        <f t="shared" si="559"/>
        <v>8116.92</v>
      </c>
      <c r="R1524" s="2"/>
      <c r="U1524" t="s">
        <v>160</v>
      </c>
      <c r="V1524" s="20" t="s">
        <v>73</v>
      </c>
    </row>
    <row r="1525" spans="1:22" x14ac:dyDescent="0.25">
      <c r="A1525" s="26">
        <v>44245</v>
      </c>
      <c r="B1525" s="17"/>
      <c r="C1525" s="7" t="s">
        <v>171</v>
      </c>
      <c r="D1525" s="36"/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>
        <v>247.48</v>
      </c>
      <c r="Q1525" s="17">
        <f t="shared" si="559"/>
        <v>8364.4</v>
      </c>
      <c r="R1525" s="2"/>
      <c r="U1525">
        <v>25.18</v>
      </c>
      <c r="V1525" s="20">
        <v>3.02</v>
      </c>
    </row>
    <row r="1526" spans="1:22" x14ac:dyDescent="0.25">
      <c r="A1526" s="26">
        <v>44245</v>
      </c>
      <c r="B1526" s="17"/>
      <c r="C1526" s="7" t="s">
        <v>528</v>
      </c>
      <c r="D1526" s="36">
        <v>20</v>
      </c>
      <c r="E1526" s="17">
        <v>12.016500000000001</v>
      </c>
      <c r="F1526" s="17">
        <f t="shared" ref="F1526" si="564">D1526*E1526</f>
        <v>240.33</v>
      </c>
      <c r="G1526" s="17">
        <v>0</v>
      </c>
      <c r="H1526" s="17">
        <v>0</v>
      </c>
      <c r="I1526" s="17"/>
      <c r="J1526" s="17">
        <v>0</v>
      </c>
      <c r="K1526" s="17">
        <f t="shared" ref="K1526" si="565">SUM(F1526:J1526)</f>
        <v>240.33</v>
      </c>
      <c r="L1526" s="17"/>
      <c r="M1526" s="17"/>
      <c r="N1526" s="17"/>
      <c r="O1526" s="17"/>
      <c r="P1526" s="17"/>
      <c r="Q1526" s="17">
        <f t="shared" si="559"/>
        <v>8124.07</v>
      </c>
      <c r="R1526" s="2"/>
      <c r="U1526">
        <v>15.1</v>
      </c>
      <c r="V1526" s="20">
        <v>2.12</v>
      </c>
    </row>
    <row r="1527" spans="1:22" x14ac:dyDescent="0.25">
      <c r="A1527" s="26">
        <v>44245</v>
      </c>
      <c r="B1527" s="17"/>
      <c r="C1527" s="7" t="s">
        <v>509</v>
      </c>
      <c r="D1527" s="36">
        <v>10</v>
      </c>
      <c r="E1527" s="17">
        <v>103.49</v>
      </c>
      <c r="F1527" s="17">
        <f t="shared" ref="F1527" si="566">D1527*E1527</f>
        <v>1034.8999999999999</v>
      </c>
      <c r="G1527" s="17">
        <v>0</v>
      </c>
      <c r="H1527" s="17">
        <v>0</v>
      </c>
      <c r="I1527" s="17"/>
      <c r="J1527" s="17">
        <v>0</v>
      </c>
      <c r="K1527" s="17">
        <f t="shared" ref="K1527" si="567">SUM(F1527:J1527)</f>
        <v>1034.8999999999999</v>
      </c>
      <c r="L1527" s="17"/>
      <c r="M1527" s="17"/>
      <c r="N1527" s="17"/>
      <c r="O1527" s="17"/>
      <c r="P1527" s="17"/>
      <c r="Q1527" s="17">
        <f t="shared" si="559"/>
        <v>7089.17</v>
      </c>
      <c r="R1527" s="2"/>
      <c r="U1527">
        <v>24.17</v>
      </c>
      <c r="V1527" s="20">
        <v>2.57</v>
      </c>
    </row>
    <row r="1528" spans="1:22" x14ac:dyDescent="0.25">
      <c r="A1528" s="26">
        <v>44245</v>
      </c>
      <c r="B1528" s="17"/>
      <c r="C1528" s="7" t="s">
        <v>383</v>
      </c>
      <c r="D1528" s="36">
        <v>10</v>
      </c>
      <c r="E1528" s="17">
        <v>85.8</v>
      </c>
      <c r="F1528" s="17">
        <f t="shared" ref="F1528" si="568">D1528*E1528</f>
        <v>858</v>
      </c>
      <c r="G1528" s="17">
        <v>0</v>
      </c>
      <c r="H1528" s="17">
        <v>0</v>
      </c>
      <c r="I1528" s="17"/>
      <c r="J1528" s="17">
        <v>0</v>
      </c>
      <c r="K1528" s="17">
        <f t="shared" ref="K1528" si="569">SUM(F1528:J1528)</f>
        <v>858</v>
      </c>
      <c r="L1528" s="17"/>
      <c r="M1528" s="17"/>
      <c r="N1528" s="17"/>
      <c r="O1528" s="17"/>
      <c r="P1528" s="17"/>
      <c r="Q1528" s="17">
        <f t="shared" si="559"/>
        <v>6231.17</v>
      </c>
      <c r="R1528" s="2"/>
      <c r="U1528">
        <v>16.12</v>
      </c>
      <c r="V1528" s="20">
        <v>1.06</v>
      </c>
    </row>
    <row r="1529" spans="1:22" x14ac:dyDescent="0.25">
      <c r="A1529" s="26">
        <v>44245</v>
      </c>
      <c r="B1529" s="17"/>
      <c r="C1529" s="7" t="s">
        <v>222</v>
      </c>
      <c r="D1529" s="36">
        <v>10</v>
      </c>
      <c r="E1529" s="17">
        <v>80.45</v>
      </c>
      <c r="F1529" s="17">
        <f t="shared" ref="F1529" si="570">D1529*E1529</f>
        <v>804.5</v>
      </c>
      <c r="G1529" s="17">
        <v>0</v>
      </c>
      <c r="H1529" s="17">
        <v>0</v>
      </c>
      <c r="I1529" s="17"/>
      <c r="J1529" s="17">
        <v>0</v>
      </c>
      <c r="K1529" s="17">
        <f t="shared" ref="K1529" si="571">SUM(F1529:J1529)</f>
        <v>804.5</v>
      </c>
      <c r="L1529" s="17"/>
      <c r="M1529" s="17"/>
      <c r="N1529" s="17"/>
      <c r="O1529" s="17"/>
      <c r="P1529" s="17"/>
      <c r="Q1529" s="17">
        <f t="shared" si="559"/>
        <v>5426.67</v>
      </c>
      <c r="R1529" s="2"/>
      <c r="U1529">
        <v>11.08</v>
      </c>
      <c r="V1529" s="20">
        <v>2.27</v>
      </c>
    </row>
    <row r="1530" spans="1:22" x14ac:dyDescent="0.25">
      <c r="A1530" s="26">
        <v>44248</v>
      </c>
      <c r="B1530" s="17"/>
      <c r="C1530" s="7" t="s">
        <v>355</v>
      </c>
      <c r="D1530" s="36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>
        <v>51.75</v>
      </c>
      <c r="O1530" s="17"/>
      <c r="P1530" s="17"/>
      <c r="Q1530" s="17">
        <f t="shared" si="559"/>
        <v>5478.42</v>
      </c>
      <c r="R1530" s="2"/>
      <c r="U1530">
        <v>15.1</v>
      </c>
      <c r="V1530" s="20">
        <v>3.02</v>
      </c>
    </row>
    <row r="1531" spans="1:22" x14ac:dyDescent="0.25">
      <c r="A1531" s="26">
        <v>44249</v>
      </c>
      <c r="B1531" s="17"/>
      <c r="C1531" s="7" t="s">
        <v>520</v>
      </c>
      <c r="D1531" s="36">
        <v>50</v>
      </c>
      <c r="E1531" s="17">
        <v>26.59</v>
      </c>
      <c r="F1531" s="17">
        <f t="shared" ref="F1531:F1534" si="572">D1531*E1531</f>
        <v>1329.5</v>
      </c>
      <c r="G1531" s="17">
        <v>0.5</v>
      </c>
      <c r="H1531" s="17">
        <v>0.35</v>
      </c>
      <c r="I1531" s="17"/>
      <c r="J1531" s="17">
        <v>1.99</v>
      </c>
      <c r="K1531" s="17">
        <f t="shared" ref="K1531:K1534" si="573">SUM(F1531:J1531)</f>
        <v>1332.34</v>
      </c>
      <c r="L1531" s="17"/>
      <c r="M1531" s="17"/>
      <c r="N1531" s="17"/>
      <c r="O1531" s="17"/>
      <c r="P1531" s="17"/>
      <c r="Q1531" s="17">
        <f t="shared" si="559"/>
        <v>4146.08</v>
      </c>
      <c r="R1531" s="2"/>
      <c r="U1531">
        <v>20.14</v>
      </c>
      <c r="V1531" s="20">
        <v>3.63</v>
      </c>
    </row>
    <row r="1532" spans="1:22" x14ac:dyDescent="0.25">
      <c r="A1532" s="26">
        <v>44249</v>
      </c>
      <c r="B1532" s="17"/>
      <c r="C1532" s="7" t="s">
        <v>5</v>
      </c>
      <c r="D1532" s="36">
        <v>50</v>
      </c>
      <c r="E1532" s="17">
        <v>29.54</v>
      </c>
      <c r="F1532" s="17">
        <f t="shared" si="572"/>
        <v>1477</v>
      </c>
      <c r="G1532" s="17">
        <v>0.5</v>
      </c>
      <c r="H1532" s="17">
        <v>0.35</v>
      </c>
      <c r="I1532" s="17"/>
      <c r="J1532" s="17">
        <v>1.99</v>
      </c>
      <c r="K1532" s="17">
        <f t="shared" si="573"/>
        <v>1479.84</v>
      </c>
      <c r="L1532" s="17"/>
      <c r="M1532" s="17"/>
      <c r="N1532" s="17"/>
      <c r="O1532" s="17"/>
      <c r="P1532" s="17"/>
      <c r="Q1532" s="17">
        <f t="shared" si="559"/>
        <v>2666.24</v>
      </c>
      <c r="R1532" s="2"/>
      <c r="U1532">
        <v>15.1</v>
      </c>
      <c r="V1532" s="20">
        <v>2.27</v>
      </c>
    </row>
    <row r="1533" spans="1:22" x14ac:dyDescent="0.25">
      <c r="A1533" s="26">
        <v>44249</v>
      </c>
      <c r="B1533" s="17"/>
      <c r="C1533" s="7" t="s">
        <v>5</v>
      </c>
      <c r="D1533" s="36">
        <v>50</v>
      </c>
      <c r="E1533" s="17">
        <v>28.82</v>
      </c>
      <c r="F1533" s="17">
        <f t="shared" si="572"/>
        <v>1441</v>
      </c>
      <c r="G1533" s="17">
        <v>0.31</v>
      </c>
      <c r="H1533" s="17">
        <v>0.13</v>
      </c>
      <c r="I1533" s="17"/>
      <c r="J1533" s="17">
        <v>1.99</v>
      </c>
      <c r="K1533" s="17">
        <f t="shared" si="573"/>
        <v>1443.43</v>
      </c>
      <c r="L1533" s="17"/>
      <c r="M1533" s="17"/>
      <c r="N1533" s="17"/>
      <c r="O1533" s="17"/>
      <c r="P1533" s="17"/>
      <c r="Q1533" s="17">
        <f t="shared" si="559"/>
        <v>1222.8099999999997</v>
      </c>
      <c r="R1533" s="2"/>
      <c r="S1533" s="20"/>
      <c r="U1533">
        <v>35.25</v>
      </c>
      <c r="V1533" s="20">
        <v>3.02</v>
      </c>
    </row>
    <row r="1534" spans="1:22" x14ac:dyDescent="0.25">
      <c r="A1534" s="26">
        <v>44249</v>
      </c>
      <c r="B1534" s="17"/>
      <c r="C1534" s="7" t="s">
        <v>509</v>
      </c>
      <c r="D1534" s="36">
        <v>10</v>
      </c>
      <c r="E1534" s="17">
        <v>102.8</v>
      </c>
      <c r="F1534" s="17">
        <f t="shared" si="572"/>
        <v>1028</v>
      </c>
      <c r="G1534" s="17">
        <v>0</v>
      </c>
      <c r="H1534" s="17">
        <v>0</v>
      </c>
      <c r="I1534" s="17"/>
      <c r="J1534" s="17">
        <v>0</v>
      </c>
      <c r="K1534" s="17">
        <f t="shared" si="573"/>
        <v>1028</v>
      </c>
      <c r="L1534" s="17"/>
      <c r="M1534" s="17"/>
      <c r="N1534" s="17"/>
      <c r="O1534" s="17"/>
      <c r="P1534" s="17"/>
      <c r="Q1534" s="17">
        <f t="shared" si="559"/>
        <v>194.80999999999972</v>
      </c>
      <c r="R1534" s="118"/>
      <c r="U1534">
        <v>15.1</v>
      </c>
      <c r="V1534" s="20">
        <v>1.66</v>
      </c>
    </row>
    <row r="1535" spans="1:22" x14ac:dyDescent="0.25">
      <c r="A1535" s="26">
        <v>44249</v>
      </c>
      <c r="B1535" s="17">
        <v>2000</v>
      </c>
      <c r="D1535" s="36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>
        <f t="shared" si="559"/>
        <v>2194.8099999999995</v>
      </c>
      <c r="R1535" s="2"/>
      <c r="U1535">
        <v>15.1</v>
      </c>
      <c r="V1535" s="20">
        <v>4.53</v>
      </c>
    </row>
    <row r="1536" spans="1:22" x14ac:dyDescent="0.25">
      <c r="A1536" s="26">
        <v>44250</v>
      </c>
      <c r="B1536" s="17"/>
      <c r="C1536" s="7" t="s">
        <v>383</v>
      </c>
      <c r="D1536" s="36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>
        <v>52.2</v>
      </c>
      <c r="O1536" s="17"/>
      <c r="P1536" s="17"/>
      <c r="Q1536" s="17">
        <f t="shared" si="559"/>
        <v>2247.0099999999993</v>
      </c>
      <c r="R1536" s="2"/>
      <c r="U1536">
        <v>30.21</v>
      </c>
      <c r="V1536" s="20">
        <v>3.02</v>
      </c>
    </row>
    <row r="1537" spans="1:22" x14ac:dyDescent="0.25">
      <c r="A1537" s="26">
        <v>44252</v>
      </c>
      <c r="B1537" s="17"/>
      <c r="C1537" s="7" t="s">
        <v>270</v>
      </c>
      <c r="D1537" s="36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>
        <v>26.95</v>
      </c>
      <c r="O1537" s="17"/>
      <c r="P1537" s="17"/>
      <c r="Q1537" s="17">
        <f t="shared" si="559"/>
        <v>2273.9599999999991</v>
      </c>
      <c r="R1537" s="2"/>
      <c r="U1537">
        <v>35.25</v>
      </c>
      <c r="V1537" s="20">
        <v>5.59</v>
      </c>
    </row>
    <row r="1538" spans="1:22" x14ac:dyDescent="0.25">
      <c r="A1538" s="26">
        <v>44252</v>
      </c>
      <c r="B1538" s="17"/>
      <c r="C1538" s="7" t="s">
        <v>520</v>
      </c>
      <c r="D1538" s="36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>
        <f>71.22+0.15</f>
        <v>71.37</v>
      </c>
      <c r="P1538" s="17"/>
      <c r="Q1538" s="17">
        <f t="shared" si="559"/>
        <v>2345.329999999999</v>
      </c>
      <c r="R1538" s="2"/>
      <c r="U1538">
        <v>37.270000000000003</v>
      </c>
      <c r="V1538" s="20">
        <v>3.02</v>
      </c>
    </row>
    <row r="1539" spans="1:22" x14ac:dyDescent="0.25">
      <c r="A1539" s="26">
        <v>44253</v>
      </c>
      <c r="B1539" s="17"/>
      <c r="C1539" s="7" t="s">
        <v>180</v>
      </c>
      <c r="D1539" s="36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>
        <v>15.76</v>
      </c>
      <c r="O1539" s="17"/>
      <c r="P1539" s="17"/>
      <c r="Q1539" s="17">
        <f t="shared" si="559"/>
        <v>2361.0899999999992</v>
      </c>
      <c r="R1539" s="2"/>
      <c r="U1539">
        <v>13.09</v>
      </c>
      <c r="V1539" s="20">
        <v>2.27</v>
      </c>
    </row>
    <row r="1540" spans="1:22" x14ac:dyDescent="0.25">
      <c r="A1540" s="26">
        <v>44253</v>
      </c>
      <c r="B1540" s="17">
        <v>2000</v>
      </c>
      <c r="D1540" s="36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>
        <f t="shared" si="559"/>
        <v>4361.0899999999992</v>
      </c>
      <c r="R1540" s="2"/>
      <c r="U1540">
        <v>9.06</v>
      </c>
      <c r="V1540" s="20">
        <v>5.29</v>
      </c>
    </row>
    <row r="1541" spans="1:22" x14ac:dyDescent="0.25">
      <c r="A1541" s="26">
        <v>44253</v>
      </c>
      <c r="B1541" s="17"/>
      <c r="C1541" s="7" t="s">
        <v>222</v>
      </c>
      <c r="D1541" s="36">
        <v>10</v>
      </c>
      <c r="E1541" s="17">
        <v>78.8</v>
      </c>
      <c r="F1541" s="17">
        <f t="shared" ref="F1541" si="574">D1541*E1541</f>
        <v>788</v>
      </c>
      <c r="G1541" s="17">
        <v>0</v>
      </c>
      <c r="H1541" s="17">
        <v>0</v>
      </c>
      <c r="I1541" s="17"/>
      <c r="J1541" s="17">
        <v>0</v>
      </c>
      <c r="K1541" s="17">
        <f t="shared" ref="K1541" si="575">SUM(F1541:J1541)</f>
        <v>788</v>
      </c>
      <c r="L1541" s="17"/>
      <c r="M1541" s="17"/>
      <c r="N1541" s="17"/>
      <c r="O1541" s="17"/>
      <c r="P1541" s="17"/>
      <c r="Q1541" s="17">
        <f t="shared" si="559"/>
        <v>3573.0899999999992</v>
      </c>
      <c r="R1541" s="2"/>
      <c r="U1541">
        <v>20.14</v>
      </c>
      <c r="V1541" s="20">
        <v>3.02</v>
      </c>
    </row>
    <row r="1542" spans="1:22" x14ac:dyDescent="0.25">
      <c r="A1542" s="26">
        <v>44253</v>
      </c>
      <c r="B1542" s="17"/>
      <c r="C1542" s="7" t="s">
        <v>520</v>
      </c>
      <c r="D1542" s="36">
        <v>100</v>
      </c>
      <c r="E1542" s="17">
        <v>28.21</v>
      </c>
      <c r="F1542" s="17">
        <f t="shared" ref="F1542" si="576">D1542*E1542</f>
        <v>2821</v>
      </c>
      <c r="G1542" s="17">
        <v>0.9</v>
      </c>
      <c r="H1542" s="17">
        <v>0.38</v>
      </c>
      <c r="I1542" s="17"/>
      <c r="J1542" s="17">
        <v>1.99</v>
      </c>
      <c r="K1542" s="17">
        <f t="shared" ref="K1542" si="577">SUM(F1542:J1542)</f>
        <v>2824.27</v>
      </c>
      <c r="L1542" s="17"/>
      <c r="M1542" s="17"/>
      <c r="N1542" s="17"/>
      <c r="O1542" s="17"/>
      <c r="P1542" s="17"/>
      <c r="Q1542" s="17">
        <f t="shared" si="559"/>
        <v>748.81999999999925</v>
      </c>
      <c r="R1542" s="2"/>
      <c r="U1542">
        <v>20.14</v>
      </c>
      <c r="V1542" s="20">
        <v>1.51</v>
      </c>
    </row>
    <row r="1543" spans="1:22" x14ac:dyDescent="0.25">
      <c r="A1543" s="26">
        <v>44253</v>
      </c>
      <c r="B1543" s="17"/>
      <c r="C1543" s="7" t="s">
        <v>529</v>
      </c>
      <c r="D1543" s="36">
        <v>-20</v>
      </c>
      <c r="E1543" s="17">
        <v>15.12</v>
      </c>
      <c r="F1543" s="17">
        <f t="shared" ref="F1543" si="578">D1543*E1543</f>
        <v>-302.39999999999998</v>
      </c>
      <c r="G1543" s="17">
        <v>0.08</v>
      </c>
      <c r="H1543" s="17">
        <v>0.19</v>
      </c>
      <c r="I1543" s="17"/>
      <c r="J1543" s="17">
        <v>1.99</v>
      </c>
      <c r="K1543" s="17">
        <f t="shared" ref="K1543" si="579">SUM(F1543:J1543)</f>
        <v>-300.14</v>
      </c>
      <c r="L1543" s="17"/>
      <c r="M1543" s="17"/>
      <c r="N1543" s="17"/>
      <c r="O1543" s="17"/>
      <c r="P1543" s="17"/>
      <c r="Q1543" s="17">
        <f t="shared" si="559"/>
        <v>1048.9599999999991</v>
      </c>
      <c r="R1543" s="118"/>
      <c r="S1543" s="20"/>
      <c r="U1543">
        <v>20.14</v>
      </c>
      <c r="V1543" s="20">
        <v>5.29</v>
      </c>
    </row>
    <row r="1544" spans="1:22" x14ac:dyDescent="0.25">
      <c r="A1544" s="26">
        <v>44256</v>
      </c>
      <c r="B1544" s="17">
        <v>2000</v>
      </c>
      <c r="D1544" s="36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>
        <f t="shared" si="559"/>
        <v>3048.9599999999991</v>
      </c>
      <c r="R1544" s="2"/>
      <c r="U1544">
        <v>20.14</v>
      </c>
      <c r="V1544" s="20">
        <v>3.02</v>
      </c>
    </row>
    <row r="1545" spans="1:22" x14ac:dyDescent="0.25">
      <c r="A1545" s="26">
        <v>44256</v>
      </c>
      <c r="B1545" s="17"/>
      <c r="C1545" s="7" t="s">
        <v>520</v>
      </c>
      <c r="D1545" s="36">
        <v>100</v>
      </c>
      <c r="E1545" s="17">
        <v>25.26</v>
      </c>
      <c r="F1545" s="17">
        <f t="shared" ref="F1545" si="580">D1545*E1545</f>
        <v>2526</v>
      </c>
      <c r="G1545" s="17">
        <v>0.63</v>
      </c>
      <c r="H1545" s="17">
        <f>0.12+0.19</f>
        <v>0.31</v>
      </c>
      <c r="I1545" s="17"/>
      <c r="J1545" s="17">
        <v>1.99</v>
      </c>
      <c r="K1545" s="17">
        <f t="shared" ref="K1545" si="581">SUM(F1545:J1545)</f>
        <v>2528.9299999999998</v>
      </c>
      <c r="L1545" s="17"/>
      <c r="M1545" s="17"/>
      <c r="N1545" s="17"/>
      <c r="O1545" s="17"/>
      <c r="P1545" s="17"/>
      <c r="Q1545" s="17">
        <f t="shared" si="559"/>
        <v>520.02999999999929</v>
      </c>
      <c r="R1545" s="2"/>
      <c r="U1545">
        <v>17.13</v>
      </c>
      <c r="V1545" s="20">
        <v>3.78</v>
      </c>
    </row>
    <row r="1546" spans="1:22" x14ac:dyDescent="0.25">
      <c r="A1546" s="26">
        <v>44257</v>
      </c>
      <c r="B1546" s="17">
        <v>3000</v>
      </c>
      <c r="D1546" s="36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>
        <f t="shared" si="559"/>
        <v>3520.0299999999993</v>
      </c>
      <c r="R1546" s="2"/>
      <c r="U1546">
        <v>20.14</v>
      </c>
      <c r="V1546" s="20">
        <v>1.96</v>
      </c>
    </row>
    <row r="1547" spans="1:22" x14ac:dyDescent="0.25">
      <c r="A1547" s="26">
        <v>44257</v>
      </c>
      <c r="B1547" s="17"/>
      <c r="C1547" s="7" t="s">
        <v>530</v>
      </c>
      <c r="D1547" s="36"/>
      <c r="E1547" s="17"/>
      <c r="F1547" s="17"/>
      <c r="G1547" s="17"/>
      <c r="H1547" s="17"/>
      <c r="I1547" s="17"/>
      <c r="J1547" s="17"/>
      <c r="K1547" s="17">
        <v>1090.8499999999999</v>
      </c>
      <c r="L1547" s="17"/>
      <c r="M1547" s="17"/>
      <c r="N1547" s="17"/>
      <c r="O1547" s="17"/>
      <c r="P1547" s="17"/>
      <c r="Q1547" s="17">
        <f t="shared" si="559"/>
        <v>2429.1799999999994</v>
      </c>
      <c r="R1547" s="2"/>
      <c r="U1547">
        <v>20.14</v>
      </c>
      <c r="V1547" s="20">
        <v>1.36</v>
      </c>
    </row>
    <row r="1548" spans="1:22" x14ac:dyDescent="0.25">
      <c r="A1548" s="26">
        <v>44257</v>
      </c>
      <c r="B1548" s="17"/>
      <c r="C1548" s="7" t="s">
        <v>5</v>
      </c>
      <c r="D1548" s="36">
        <v>66</v>
      </c>
      <c r="E1548" s="17">
        <v>27.7</v>
      </c>
      <c r="F1548" s="17">
        <f t="shared" ref="F1548" si="582">D1548*E1548</f>
        <v>1828.2</v>
      </c>
      <c r="G1548" s="17">
        <v>0.45</v>
      </c>
      <c r="H1548" s="17">
        <f>0.09+0.19</f>
        <v>0.28000000000000003</v>
      </c>
      <c r="I1548" s="17"/>
      <c r="J1548" s="17">
        <v>1.99</v>
      </c>
      <c r="K1548" s="17">
        <f t="shared" ref="K1548" si="583">SUM(F1548:J1548)</f>
        <v>1830.92</v>
      </c>
      <c r="L1548" s="17"/>
      <c r="M1548" s="17"/>
      <c r="N1548" s="17"/>
      <c r="O1548" s="17"/>
      <c r="P1548" s="17"/>
      <c r="Q1548" s="17">
        <f t="shared" si="559"/>
        <v>598.25999999999931</v>
      </c>
      <c r="R1548" s="2"/>
      <c r="U1548">
        <v>10.07</v>
      </c>
      <c r="V1548" s="20">
        <v>2.27</v>
      </c>
    </row>
    <row r="1549" spans="1:22" x14ac:dyDescent="0.25">
      <c r="A1549" s="26">
        <v>44258</v>
      </c>
      <c r="B1549" s="17">
        <v>3000</v>
      </c>
      <c r="D1549" s="36"/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>
        <f t="shared" si="559"/>
        <v>3598.2599999999993</v>
      </c>
      <c r="R1549" s="2"/>
      <c r="U1549">
        <v>12.08</v>
      </c>
      <c r="V1549" s="20">
        <v>3.02</v>
      </c>
    </row>
    <row r="1550" spans="1:22" x14ac:dyDescent="0.25">
      <c r="A1550" s="26">
        <v>44258</v>
      </c>
      <c r="B1550" s="17"/>
      <c r="C1550" s="7" t="s">
        <v>5</v>
      </c>
      <c r="D1550" s="36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>
        <f>86.43+0.25</f>
        <v>86.68</v>
      </c>
      <c r="Q1550" s="17">
        <f t="shared" si="559"/>
        <v>3684.9399999999991</v>
      </c>
      <c r="R1550" s="2"/>
      <c r="U1550">
        <v>20.14</v>
      </c>
      <c r="V1550" s="20">
        <v>1.81</v>
      </c>
    </row>
    <row r="1551" spans="1:22" x14ac:dyDescent="0.25">
      <c r="A1551" s="26">
        <v>44258</v>
      </c>
      <c r="B1551" s="17"/>
      <c r="C1551" s="7" t="s">
        <v>531</v>
      </c>
      <c r="D1551" s="36">
        <v>200</v>
      </c>
      <c r="E1551" s="17">
        <v>14.4</v>
      </c>
      <c r="F1551" s="17">
        <f t="shared" ref="F1551" si="584">D1551*E1551</f>
        <v>2880</v>
      </c>
      <c r="G1551" s="17">
        <v>0.72</v>
      </c>
      <c r="H1551" s="17">
        <f>0.14+0.19</f>
        <v>0.33</v>
      </c>
      <c r="I1551" s="17"/>
      <c r="J1551" s="17">
        <v>1.99</v>
      </c>
      <c r="K1551" s="17">
        <f t="shared" ref="K1551" si="585">SUM(F1551:J1551)</f>
        <v>2883.0399999999995</v>
      </c>
      <c r="L1551" s="17"/>
      <c r="M1551" s="17"/>
      <c r="N1551" s="17"/>
      <c r="O1551" s="17"/>
      <c r="P1551" s="17"/>
      <c r="Q1551" s="17">
        <f t="shared" si="559"/>
        <v>801.89999999999964</v>
      </c>
      <c r="R1551" s="14" t="s">
        <v>607</v>
      </c>
      <c r="U1551">
        <v>14.1</v>
      </c>
      <c r="V1551" s="20">
        <v>2.27</v>
      </c>
    </row>
    <row r="1552" spans="1:22" x14ac:dyDescent="0.25">
      <c r="A1552" s="26">
        <v>44260</v>
      </c>
      <c r="B1552" s="17"/>
      <c r="C1552" s="7" t="s">
        <v>184</v>
      </c>
      <c r="D1552" s="36">
        <v>10</v>
      </c>
      <c r="E1552" s="17">
        <v>59.28</v>
      </c>
      <c r="F1552" s="17">
        <f t="shared" ref="F1552" si="586">D1552*E1552</f>
        <v>592.79999999999995</v>
      </c>
      <c r="G1552" s="17">
        <v>0.14000000000000001</v>
      </c>
      <c r="H1552" s="17">
        <v>0.02</v>
      </c>
      <c r="I1552" s="17"/>
      <c r="J1552" s="17">
        <v>0</v>
      </c>
      <c r="K1552" s="17">
        <f t="shared" ref="K1552" si="587">SUM(F1552:J1552)</f>
        <v>592.95999999999992</v>
      </c>
      <c r="L1552" s="17"/>
      <c r="M1552" s="17"/>
      <c r="N1552" s="17"/>
      <c r="O1552" s="17"/>
      <c r="P1552" s="17"/>
      <c r="Q1552" s="17">
        <f t="shared" si="559"/>
        <v>208.93999999999971</v>
      </c>
      <c r="S1552" s="20"/>
      <c r="U1552">
        <v>7.05</v>
      </c>
      <c r="V1552" s="20">
        <v>2.42</v>
      </c>
    </row>
    <row r="1553" spans="1:22" x14ac:dyDescent="0.25">
      <c r="A1553" s="26">
        <v>44260</v>
      </c>
      <c r="B1553" s="17"/>
      <c r="C1553" s="7" t="s">
        <v>219</v>
      </c>
      <c r="D1553" s="36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>
        <v>290.26</v>
      </c>
      <c r="Q1553" s="17">
        <f t="shared" si="559"/>
        <v>499.1999999999997</v>
      </c>
      <c r="V1553" s="20"/>
    </row>
    <row r="1554" spans="1:22" x14ac:dyDescent="0.25">
      <c r="A1554" s="26">
        <v>44260</v>
      </c>
      <c r="B1554" s="17"/>
      <c r="C1554" s="7" t="s">
        <v>222</v>
      </c>
      <c r="D1554" s="36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>
        <v>139.65</v>
      </c>
      <c r="O1554" s="17"/>
      <c r="P1554" s="17"/>
      <c r="Q1554" s="17">
        <f t="shared" si="559"/>
        <v>638.84999999999968</v>
      </c>
      <c r="R1554" s="14" t="s">
        <v>608</v>
      </c>
      <c r="V1554" s="20"/>
    </row>
    <row r="1555" spans="1:22" x14ac:dyDescent="0.25">
      <c r="A1555" s="26">
        <v>44260</v>
      </c>
      <c r="B1555" s="17"/>
      <c r="C1555" s="7" t="s">
        <v>509</v>
      </c>
      <c r="D1555" s="36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>
        <v>50.4</v>
      </c>
      <c r="O1555" s="17"/>
      <c r="P1555" s="17"/>
      <c r="Q1555" s="17">
        <f t="shared" si="559"/>
        <v>689.24999999999966</v>
      </c>
      <c r="R1555" s="14"/>
      <c r="V1555" s="20"/>
    </row>
    <row r="1556" spans="1:22" x14ac:dyDescent="0.25">
      <c r="A1556" s="26">
        <v>44263</v>
      </c>
      <c r="B1556" s="17">
        <v>1000</v>
      </c>
      <c r="D1556" s="36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>
        <f t="shared" si="559"/>
        <v>1689.2499999999995</v>
      </c>
      <c r="R1556" s="14"/>
      <c r="V1556" s="20"/>
    </row>
    <row r="1557" spans="1:22" x14ac:dyDescent="0.25">
      <c r="A1557" s="26">
        <v>44263</v>
      </c>
      <c r="B1557" s="17"/>
      <c r="C1557" s="7" t="s">
        <v>15</v>
      </c>
      <c r="D1557" s="36">
        <v>500</v>
      </c>
      <c r="E1557" s="17">
        <v>1.9</v>
      </c>
      <c r="F1557" s="17">
        <f t="shared" ref="F1557" si="588">D1557*E1557</f>
        <v>950</v>
      </c>
      <c r="G1557" s="17">
        <v>0.23</v>
      </c>
      <c r="H1557" s="17">
        <f>0.04+0.19</f>
        <v>0.23</v>
      </c>
      <c r="I1557" s="17"/>
      <c r="J1557" s="17">
        <v>1.99</v>
      </c>
      <c r="K1557" s="17">
        <f t="shared" ref="K1557" si="589">SUM(F1557:J1557)</f>
        <v>952.45</v>
      </c>
      <c r="L1557" s="17"/>
      <c r="M1557" s="17"/>
      <c r="N1557" s="17"/>
      <c r="O1557" s="17"/>
      <c r="P1557" s="17"/>
      <c r="Q1557" s="17">
        <f t="shared" si="559"/>
        <v>736.7999999999995</v>
      </c>
      <c r="R1557" s="14"/>
      <c r="V1557" s="20"/>
    </row>
    <row r="1558" spans="1:22" x14ac:dyDescent="0.25">
      <c r="A1558" s="26">
        <v>44263</v>
      </c>
      <c r="B1558" s="17"/>
      <c r="C1558" s="7" t="s">
        <v>234</v>
      </c>
      <c r="D1558" s="36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>
        <v>24</v>
      </c>
      <c r="O1558" s="17"/>
      <c r="P1558" s="17"/>
      <c r="Q1558" s="17">
        <f t="shared" si="559"/>
        <v>760.7999999999995</v>
      </c>
      <c r="R1558" s="14"/>
      <c r="V1558" s="20"/>
    </row>
    <row r="1559" spans="1:22" x14ac:dyDescent="0.25">
      <c r="A1559" s="26">
        <v>44263</v>
      </c>
      <c r="B1559" s="17"/>
      <c r="C1559" s="7" t="s">
        <v>186</v>
      </c>
      <c r="D1559" s="36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>
        <f>55+88</f>
        <v>143</v>
      </c>
      <c r="O1559" s="17"/>
      <c r="P1559" s="17"/>
      <c r="Q1559" s="17">
        <f t="shared" si="559"/>
        <v>903.7999999999995</v>
      </c>
      <c r="R1559" s="14"/>
      <c r="V1559" s="20"/>
    </row>
    <row r="1560" spans="1:22" x14ac:dyDescent="0.25">
      <c r="A1560" s="26">
        <v>44264</v>
      </c>
      <c r="B1560" s="17">
        <v>2000</v>
      </c>
      <c r="D1560" s="36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>
        <f t="shared" si="559"/>
        <v>2903.7999999999993</v>
      </c>
      <c r="R1560" s="14"/>
      <c r="V1560" s="20"/>
    </row>
    <row r="1561" spans="1:22" x14ac:dyDescent="0.25">
      <c r="A1561" s="26">
        <v>44266</v>
      </c>
      <c r="B1561" s="17"/>
      <c r="C1561" s="7" t="s">
        <v>531</v>
      </c>
      <c r="D1561" s="36">
        <v>-200</v>
      </c>
      <c r="E1561" s="17">
        <v>16.600000000000001</v>
      </c>
      <c r="F1561" s="17">
        <f t="shared" ref="F1561:F1563" si="590">D1561*E1561</f>
        <v>-3320.0000000000005</v>
      </c>
      <c r="G1561" s="17">
        <v>0.83</v>
      </c>
      <c r="H1561" s="17">
        <f>0.16+0.19</f>
        <v>0.35</v>
      </c>
      <c r="I1561" s="17"/>
      <c r="J1561" s="17">
        <v>1.99</v>
      </c>
      <c r="K1561" s="17">
        <f t="shared" ref="K1561:K1563" si="591">SUM(F1561:J1561)</f>
        <v>-3316.8300000000008</v>
      </c>
      <c r="L1561" s="17"/>
      <c r="M1561" s="17"/>
      <c r="N1561" s="17"/>
      <c r="O1561" s="17"/>
      <c r="P1561" s="17"/>
      <c r="Q1561" s="17">
        <f t="shared" si="559"/>
        <v>6220.63</v>
      </c>
      <c r="R1561" s="14"/>
      <c r="V1561" s="20"/>
    </row>
    <row r="1562" spans="1:22" x14ac:dyDescent="0.25">
      <c r="A1562" s="26">
        <v>44267</v>
      </c>
      <c r="B1562" s="17"/>
      <c r="C1562" s="7" t="s">
        <v>520</v>
      </c>
      <c r="D1562" s="36">
        <v>50</v>
      </c>
      <c r="E1562" s="17">
        <v>23.94</v>
      </c>
      <c r="F1562" s="17">
        <f t="shared" si="590"/>
        <v>1197</v>
      </c>
      <c r="G1562" s="17">
        <v>0.3</v>
      </c>
      <c r="H1562" s="17">
        <v>0.19</v>
      </c>
      <c r="I1562" s="17"/>
      <c r="J1562" s="17">
        <v>1.99</v>
      </c>
      <c r="K1562" s="17">
        <f t="shared" si="591"/>
        <v>1199.48</v>
      </c>
      <c r="L1562" s="17"/>
      <c r="M1562" s="17"/>
      <c r="N1562" s="17"/>
      <c r="O1562" s="17"/>
      <c r="P1562" s="17"/>
      <c r="Q1562" s="17">
        <f t="shared" si="559"/>
        <v>5021.1499999999996</v>
      </c>
      <c r="R1562" s="14"/>
      <c r="V1562" s="20"/>
    </row>
    <row r="1563" spans="1:22" x14ac:dyDescent="0.25">
      <c r="A1563" s="26">
        <v>44267</v>
      </c>
      <c r="B1563" s="17"/>
      <c r="C1563" s="7" t="s">
        <v>355</v>
      </c>
      <c r="D1563" s="36">
        <v>10</v>
      </c>
      <c r="E1563" s="17">
        <v>90.62</v>
      </c>
      <c r="F1563" s="17">
        <f t="shared" si="590"/>
        <v>906.2</v>
      </c>
      <c r="G1563" s="17">
        <v>0.22</v>
      </c>
      <c r="H1563" s="17">
        <v>0.1</v>
      </c>
      <c r="I1563" s="17"/>
      <c r="J1563" s="17">
        <v>0</v>
      </c>
      <c r="K1563" s="17">
        <f t="shared" si="591"/>
        <v>906.5200000000001</v>
      </c>
      <c r="L1563" s="17"/>
      <c r="M1563" s="17"/>
      <c r="N1563" s="17"/>
      <c r="O1563" s="17"/>
      <c r="P1563" s="17"/>
      <c r="Q1563" s="17">
        <f t="shared" si="559"/>
        <v>4114.6299999999992</v>
      </c>
      <c r="R1563" s="14"/>
      <c r="V1563" s="20"/>
    </row>
    <row r="1564" spans="1:22" x14ac:dyDescent="0.25">
      <c r="A1564" s="26">
        <v>44267</v>
      </c>
      <c r="B1564" s="17"/>
      <c r="C1564" s="7" t="s">
        <v>85</v>
      </c>
      <c r="D1564" s="36"/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>
        <f>58.17+284.26</f>
        <v>342.43</v>
      </c>
      <c r="Q1564" s="17">
        <f t="shared" si="559"/>
        <v>4457.0599999999995</v>
      </c>
      <c r="R1564" s="14"/>
      <c r="V1564" s="20"/>
    </row>
    <row r="1565" spans="1:22" x14ac:dyDescent="0.25">
      <c r="A1565" s="26">
        <v>44267</v>
      </c>
      <c r="B1565" s="17"/>
      <c r="C1565" s="7" t="s">
        <v>183</v>
      </c>
      <c r="D1565" s="36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>
        <v>21.33</v>
      </c>
      <c r="O1565" s="17"/>
      <c r="P1565" s="17"/>
      <c r="Q1565" s="17">
        <f t="shared" ref="Q1565:Q1603" si="592">Q1564+B1565-K1565-L1565-M1565+N1565+O1565+P1565</f>
        <v>4478.3899999999994</v>
      </c>
      <c r="R1565" s="14"/>
      <c r="V1565" s="20"/>
    </row>
    <row r="1566" spans="1:22" x14ac:dyDescent="0.25">
      <c r="A1566" s="26">
        <v>44267</v>
      </c>
      <c r="B1566" s="17"/>
      <c r="C1566" s="7" t="s">
        <v>173</v>
      </c>
      <c r="D1566" s="36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>
        <v>344.4</v>
      </c>
      <c r="O1566" s="17"/>
      <c r="P1566" s="17"/>
      <c r="Q1566" s="17">
        <f t="shared" si="592"/>
        <v>4822.7899999999991</v>
      </c>
      <c r="R1566" s="14"/>
      <c r="V1566" s="20"/>
    </row>
    <row r="1567" spans="1:22" x14ac:dyDescent="0.25">
      <c r="A1567" s="26">
        <v>44267</v>
      </c>
      <c r="B1567" s="17"/>
      <c r="C1567" s="7" t="s">
        <v>377</v>
      </c>
      <c r="D1567" s="36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>
        <v>34.799999999999997</v>
      </c>
      <c r="O1567" s="17"/>
      <c r="P1567" s="17"/>
      <c r="Q1567" s="17">
        <f t="shared" si="592"/>
        <v>4857.5899999999992</v>
      </c>
      <c r="R1567" s="14"/>
      <c r="V1567" s="20"/>
    </row>
    <row r="1568" spans="1:22" x14ac:dyDescent="0.25">
      <c r="A1568" s="26">
        <v>44267</v>
      </c>
      <c r="B1568" s="17"/>
      <c r="C1568" s="7" t="s">
        <v>267</v>
      </c>
      <c r="D1568" s="36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>
        <v>20.399999999999999</v>
      </c>
      <c r="O1568" s="17"/>
      <c r="P1568" s="17"/>
      <c r="Q1568" s="17">
        <f t="shared" si="592"/>
        <v>4877.9899999999989</v>
      </c>
      <c r="R1568" s="14"/>
      <c r="V1568" s="20"/>
    </row>
    <row r="1569" spans="1:22" x14ac:dyDescent="0.25">
      <c r="A1569" s="26">
        <v>44267</v>
      </c>
      <c r="B1569" s="17"/>
      <c r="C1569" s="7" t="s">
        <v>221</v>
      </c>
      <c r="D1569" s="36"/>
      <c r="E1569" s="17"/>
      <c r="F1569" s="17"/>
      <c r="G1569" s="17"/>
      <c r="H1569" s="17"/>
      <c r="I1569" s="17"/>
      <c r="J1569" s="17"/>
      <c r="K1569" s="17"/>
      <c r="L1569" s="17"/>
      <c r="M1569" s="17"/>
      <c r="N1569" s="17">
        <v>191.36</v>
      </c>
      <c r="O1569" s="17"/>
      <c r="P1569" s="17"/>
      <c r="Q1569" s="17">
        <f t="shared" si="592"/>
        <v>5069.3499999999985</v>
      </c>
      <c r="R1569" s="14"/>
      <c r="V1569" s="20"/>
    </row>
    <row r="1570" spans="1:22" x14ac:dyDescent="0.25">
      <c r="A1570" s="26">
        <v>44267</v>
      </c>
      <c r="B1570" s="17"/>
      <c r="C1570" s="7" t="s">
        <v>495</v>
      </c>
      <c r="D1570" s="36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>
        <v>148</v>
      </c>
      <c r="O1570" s="17"/>
      <c r="P1570" s="17"/>
      <c r="Q1570" s="17">
        <f t="shared" si="592"/>
        <v>5217.3499999999985</v>
      </c>
      <c r="R1570" s="14"/>
      <c r="V1570" s="20"/>
    </row>
    <row r="1571" spans="1:22" x14ac:dyDescent="0.25">
      <c r="A1571" s="26">
        <v>44267</v>
      </c>
      <c r="B1571" s="17"/>
      <c r="C1571" s="7" t="s">
        <v>184</v>
      </c>
      <c r="D1571" s="36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>
        <v>60.9</v>
      </c>
      <c r="O1571" s="17"/>
      <c r="P1571" s="17"/>
      <c r="Q1571" s="17">
        <f t="shared" si="592"/>
        <v>5278.2499999999982</v>
      </c>
      <c r="R1571" s="14"/>
      <c r="V1571" s="20"/>
    </row>
    <row r="1572" spans="1:22" x14ac:dyDescent="0.25">
      <c r="A1572" s="26">
        <v>44267</v>
      </c>
      <c r="B1572" s="17"/>
      <c r="C1572" s="7" t="s">
        <v>408</v>
      </c>
      <c r="D1572" s="36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>
        <v>49.5</v>
      </c>
      <c r="O1572" s="17"/>
      <c r="P1572" s="17"/>
      <c r="Q1572" s="17">
        <f t="shared" si="592"/>
        <v>5327.7499999999982</v>
      </c>
      <c r="R1572" s="14"/>
      <c r="V1572" s="20"/>
    </row>
    <row r="1573" spans="1:22" x14ac:dyDescent="0.25">
      <c r="A1573" s="26">
        <v>44267</v>
      </c>
      <c r="B1573" s="17"/>
      <c r="C1573" s="7" t="s">
        <v>169</v>
      </c>
      <c r="D1573" s="36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>
        <v>84.15</v>
      </c>
      <c r="O1573" s="17"/>
      <c r="P1573" s="17"/>
      <c r="Q1573" s="17">
        <f t="shared" si="592"/>
        <v>5411.8999999999978</v>
      </c>
      <c r="R1573" s="14"/>
      <c r="V1573" s="20"/>
    </row>
    <row r="1574" spans="1:22" x14ac:dyDescent="0.25">
      <c r="A1574" s="26">
        <v>44267</v>
      </c>
      <c r="B1574" s="17"/>
      <c r="C1574" s="7" t="s">
        <v>217</v>
      </c>
      <c r="D1574" s="36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>
        <v>88.74</v>
      </c>
      <c r="O1574" s="17"/>
      <c r="P1574" s="17"/>
      <c r="Q1574" s="17">
        <f t="shared" si="592"/>
        <v>5500.6399999999976</v>
      </c>
      <c r="R1574" s="14"/>
      <c r="V1574" s="20"/>
    </row>
    <row r="1575" spans="1:22" x14ac:dyDescent="0.25">
      <c r="A1575" s="26">
        <v>44270</v>
      </c>
      <c r="B1575" s="17"/>
      <c r="C1575" s="7" t="s">
        <v>374</v>
      </c>
      <c r="D1575" s="36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>
        <v>56.16</v>
      </c>
      <c r="O1575" s="17"/>
      <c r="P1575" s="17"/>
      <c r="Q1575" s="17">
        <f t="shared" si="592"/>
        <v>5556.7999999999975</v>
      </c>
      <c r="R1575" s="14"/>
      <c r="V1575" s="20"/>
    </row>
    <row r="1576" spans="1:22" x14ac:dyDescent="0.25">
      <c r="A1576" s="26">
        <v>44270</v>
      </c>
      <c r="B1576" s="17"/>
      <c r="C1576" s="7" t="s">
        <v>181</v>
      </c>
      <c r="D1576" s="36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>
        <v>63</v>
      </c>
      <c r="O1576" s="17"/>
      <c r="P1576" s="17"/>
      <c r="Q1576" s="17">
        <f t="shared" si="592"/>
        <v>5619.7999999999975</v>
      </c>
      <c r="R1576" s="2"/>
      <c r="U1576">
        <f>SUM(U1525:U1552)</f>
        <v>533.72999999999979</v>
      </c>
      <c r="V1576">
        <f>SUM(V1525:V1552)</f>
        <v>80.089999999999989</v>
      </c>
    </row>
    <row r="1577" spans="1:22" x14ac:dyDescent="0.25">
      <c r="A1577" s="26">
        <v>44271</v>
      </c>
      <c r="B1577" s="17"/>
      <c r="C1577" s="7" t="s">
        <v>220</v>
      </c>
      <c r="D1577" s="36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>
        <v>37.200000000000003</v>
      </c>
      <c r="O1577" s="17"/>
      <c r="P1577" s="17"/>
      <c r="Q1577" s="17">
        <f t="shared" si="592"/>
        <v>5656.9999999999973</v>
      </c>
      <c r="R1577" s="2"/>
    </row>
    <row r="1578" spans="1:22" x14ac:dyDescent="0.25">
      <c r="A1578" s="26">
        <v>44272</v>
      </c>
      <c r="B1578" s="17"/>
      <c r="C1578" s="7" t="s">
        <v>355</v>
      </c>
      <c r="D1578" s="36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>
        <v>51.75</v>
      </c>
      <c r="O1578" s="17"/>
      <c r="P1578" s="17"/>
      <c r="Q1578" s="17">
        <f t="shared" si="592"/>
        <v>5708.7499999999973</v>
      </c>
      <c r="R1578" s="2"/>
    </row>
    <row r="1579" spans="1:22" x14ac:dyDescent="0.25">
      <c r="A1579" s="26">
        <v>44273</v>
      </c>
      <c r="B1579" s="17"/>
      <c r="C1579" s="7" t="s">
        <v>405</v>
      </c>
      <c r="D1579" s="36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>
        <v>244.64</v>
      </c>
      <c r="Q1579" s="17">
        <f t="shared" si="592"/>
        <v>5953.3899999999976</v>
      </c>
      <c r="R1579" s="2"/>
    </row>
    <row r="1580" spans="1:22" x14ac:dyDescent="0.25">
      <c r="A1580" s="26">
        <v>44274</v>
      </c>
      <c r="B1580" s="17"/>
      <c r="C1580" s="7" t="s">
        <v>496</v>
      </c>
      <c r="D1580" s="36">
        <v>-190</v>
      </c>
      <c r="E1580" s="17">
        <v>0.59</v>
      </c>
      <c r="F1580" s="17">
        <f t="shared" ref="F1580" si="593">D1580*E1580</f>
        <v>-112.1</v>
      </c>
      <c r="G1580" s="17">
        <v>0.02</v>
      </c>
      <c r="H1580" s="17">
        <v>0</v>
      </c>
      <c r="I1580" s="17"/>
      <c r="J1580" s="17">
        <v>0</v>
      </c>
      <c r="K1580" s="17">
        <f t="shared" ref="K1580" si="594">SUM(F1580:J1580)</f>
        <v>-112.08</v>
      </c>
      <c r="L1580" s="17"/>
      <c r="M1580" s="17"/>
      <c r="N1580" s="17"/>
      <c r="O1580" s="17"/>
      <c r="P1580" s="17"/>
      <c r="Q1580" s="17">
        <f t="shared" si="592"/>
        <v>6065.4699999999975</v>
      </c>
      <c r="R1580" s="2"/>
    </row>
    <row r="1581" spans="1:22" x14ac:dyDescent="0.25">
      <c r="A1581" s="26">
        <v>44274</v>
      </c>
      <c r="B1581" s="17"/>
      <c r="C1581" s="7" t="s">
        <v>383</v>
      </c>
      <c r="D1581" s="36"/>
      <c r="E1581" s="17"/>
      <c r="F1581" s="17"/>
      <c r="G1581" s="17"/>
      <c r="H1581" s="17"/>
      <c r="I1581" s="17"/>
      <c r="J1581" s="17"/>
      <c r="K1581" s="17"/>
      <c r="L1581" s="17"/>
      <c r="M1581" s="17"/>
      <c r="N1581" s="17">
        <v>60</v>
      </c>
      <c r="O1581" s="17"/>
      <c r="P1581" s="17"/>
      <c r="Q1581" s="17">
        <f t="shared" si="592"/>
        <v>6125.4699999999975</v>
      </c>
      <c r="R1581" s="2"/>
    </row>
    <row r="1582" spans="1:22" x14ac:dyDescent="0.25">
      <c r="A1582" s="26">
        <v>44279</v>
      </c>
      <c r="B1582" s="17"/>
      <c r="C1582" s="7" t="s">
        <v>415</v>
      </c>
      <c r="D1582" s="36"/>
      <c r="E1582" s="17"/>
      <c r="F1582" s="17"/>
      <c r="G1582" s="17"/>
      <c r="H1582" s="17"/>
      <c r="I1582" s="17"/>
      <c r="J1582" s="17"/>
      <c r="K1582" s="17">
        <v>538.37</v>
      </c>
      <c r="L1582" s="17"/>
      <c r="M1582" s="17"/>
      <c r="N1582" s="17"/>
      <c r="O1582" s="17"/>
      <c r="P1582" s="17"/>
      <c r="Q1582" s="17">
        <f t="shared" si="592"/>
        <v>5587.0999999999976</v>
      </c>
      <c r="R1582" s="2"/>
    </row>
    <row r="1583" spans="1:22" x14ac:dyDescent="0.25">
      <c r="A1583" s="26">
        <v>44279</v>
      </c>
      <c r="B1583" s="17"/>
      <c r="C1583" s="7" t="s">
        <v>173</v>
      </c>
      <c r="D1583" s="36">
        <v>7</v>
      </c>
      <c r="E1583" s="17">
        <v>86.9</v>
      </c>
      <c r="F1583" s="17">
        <f t="shared" ref="F1583" si="595">D1583*E1583</f>
        <v>608.30000000000007</v>
      </c>
      <c r="G1583" s="17">
        <v>0.15</v>
      </c>
      <c r="H1583" s="17">
        <v>0.03</v>
      </c>
      <c r="I1583" s="17"/>
      <c r="J1583" s="17">
        <v>0</v>
      </c>
      <c r="K1583" s="17">
        <f t="shared" ref="K1583" si="596">SUM(F1583:J1583)</f>
        <v>608.48</v>
      </c>
      <c r="L1583" s="17"/>
      <c r="M1583" s="17"/>
      <c r="N1583" s="17"/>
      <c r="O1583" s="17"/>
      <c r="P1583" s="17"/>
      <c r="Q1583" s="17">
        <f t="shared" si="592"/>
        <v>4978.6199999999972</v>
      </c>
      <c r="R1583" s="2"/>
    </row>
    <row r="1584" spans="1:22" x14ac:dyDescent="0.25">
      <c r="A1584" s="26">
        <v>44280</v>
      </c>
      <c r="B1584" s="17"/>
      <c r="C1584" s="7" t="s">
        <v>270</v>
      </c>
      <c r="D1584" s="36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>
        <v>19.25</v>
      </c>
      <c r="O1584" s="17"/>
      <c r="P1584" s="17"/>
      <c r="Q1584" s="17">
        <f t="shared" si="592"/>
        <v>4997.8699999999972</v>
      </c>
    </row>
    <row r="1585" spans="1:18" x14ac:dyDescent="0.25">
      <c r="A1585" s="26">
        <v>44280</v>
      </c>
      <c r="B1585" s="17"/>
      <c r="C1585" s="7" t="s">
        <v>384</v>
      </c>
      <c r="D1585" s="36">
        <v>200</v>
      </c>
      <c r="E1585" s="17">
        <v>10.15</v>
      </c>
      <c r="F1585" s="17">
        <f t="shared" ref="F1585" si="597">D1585*E1585</f>
        <v>2030</v>
      </c>
      <c r="G1585" s="17">
        <v>0</v>
      </c>
      <c r="H1585" s="17">
        <v>0</v>
      </c>
      <c r="I1585" s="17"/>
      <c r="J1585" s="17">
        <v>0</v>
      </c>
      <c r="K1585" s="17">
        <f t="shared" ref="K1585" si="598">SUM(F1585:J1585)</f>
        <v>2030</v>
      </c>
      <c r="L1585" s="17"/>
      <c r="M1585" s="17"/>
      <c r="N1585" s="17"/>
      <c r="O1585" s="17"/>
      <c r="P1585" s="17"/>
      <c r="Q1585" s="17">
        <f t="shared" si="592"/>
        <v>2967.8699999999972</v>
      </c>
      <c r="R1585" s="2" t="s">
        <v>411</v>
      </c>
    </row>
    <row r="1586" spans="1:18" x14ac:dyDescent="0.25">
      <c r="A1586" s="26">
        <v>44281</v>
      </c>
      <c r="B1586" s="17"/>
      <c r="C1586" s="7" t="s">
        <v>15</v>
      </c>
      <c r="D1586" s="36">
        <v>500</v>
      </c>
      <c r="E1586" s="17">
        <v>1.82</v>
      </c>
      <c r="F1586" s="17">
        <f t="shared" ref="F1586" si="599">D1586*E1586</f>
        <v>910</v>
      </c>
      <c r="G1586" s="17">
        <v>0.22</v>
      </c>
      <c r="H1586" s="17">
        <f>0.04+0.19</f>
        <v>0.23</v>
      </c>
      <c r="I1586" s="17"/>
      <c r="J1586" s="17">
        <v>1.99</v>
      </c>
      <c r="K1586" s="17">
        <f t="shared" ref="K1586" si="600">SUM(F1586:J1586)</f>
        <v>912.44</v>
      </c>
      <c r="L1586" s="17"/>
      <c r="M1586" s="17"/>
      <c r="N1586" s="17"/>
      <c r="O1586" s="17"/>
      <c r="P1586" s="17"/>
      <c r="Q1586" s="17">
        <f t="shared" si="592"/>
        <v>2055.4299999999971</v>
      </c>
      <c r="R1586" s="2"/>
    </row>
    <row r="1587" spans="1:18" x14ac:dyDescent="0.25">
      <c r="A1587" s="26">
        <v>44286</v>
      </c>
      <c r="B1587" s="17"/>
      <c r="C1587" s="7" t="s">
        <v>5</v>
      </c>
      <c r="D1587" s="36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>
        <v>49.54</v>
      </c>
      <c r="Q1587" s="17">
        <f t="shared" si="592"/>
        <v>2104.9699999999971</v>
      </c>
      <c r="R1587" s="2"/>
    </row>
    <row r="1588" spans="1:18" x14ac:dyDescent="0.25">
      <c r="A1588" s="26">
        <v>44286</v>
      </c>
      <c r="B1588" s="17"/>
      <c r="C1588" s="7" t="s">
        <v>180</v>
      </c>
      <c r="D1588" s="36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>
        <v>17.260000000000002</v>
      </c>
      <c r="O1588" s="17"/>
      <c r="P1588" s="17"/>
      <c r="Q1588" s="17">
        <f t="shared" si="592"/>
        <v>2122.2299999999973</v>
      </c>
      <c r="R1588" s="2"/>
    </row>
    <row r="1589" spans="1:18" x14ac:dyDescent="0.25">
      <c r="A1589" s="26">
        <v>44287</v>
      </c>
      <c r="B1589" s="17"/>
      <c r="C1589" s="7" t="s">
        <v>85</v>
      </c>
      <c r="D1589" s="36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>
        <v>65.8</v>
      </c>
      <c r="P1589" s="17"/>
      <c r="Q1589" s="17">
        <f t="shared" si="592"/>
        <v>2188.0299999999975</v>
      </c>
      <c r="R1589" s="2"/>
    </row>
    <row r="1590" spans="1:18" x14ac:dyDescent="0.25">
      <c r="A1590" s="26">
        <v>44291</v>
      </c>
      <c r="B1590" s="17"/>
      <c r="C1590" s="7" t="s">
        <v>184</v>
      </c>
      <c r="D1590" s="36">
        <v>10</v>
      </c>
      <c r="E1590" s="17">
        <v>58.45</v>
      </c>
      <c r="F1590" s="17">
        <f t="shared" ref="F1590" si="601">D1590*E1590</f>
        <v>584.5</v>
      </c>
      <c r="G1590" s="17">
        <v>0.14000000000000001</v>
      </c>
      <c r="H1590" s="17">
        <v>0.02</v>
      </c>
      <c r="I1590" s="17"/>
      <c r="J1590" s="17">
        <v>0</v>
      </c>
      <c r="K1590" s="17">
        <f t="shared" ref="K1590:K1591" si="602">SUM(F1590:J1590)</f>
        <v>584.66</v>
      </c>
      <c r="L1590" s="17"/>
      <c r="M1590" s="17"/>
      <c r="N1590" s="17"/>
      <c r="O1590" s="17"/>
      <c r="P1590" s="17"/>
      <c r="Q1590" s="17">
        <f t="shared" si="592"/>
        <v>1603.3699999999976</v>
      </c>
      <c r="R1590" s="2"/>
    </row>
    <row r="1591" spans="1:18" x14ac:dyDescent="0.25">
      <c r="A1591" s="26">
        <v>44292</v>
      </c>
      <c r="B1591" s="17"/>
      <c r="C1591" s="7" t="s">
        <v>15</v>
      </c>
      <c r="D1591" s="36">
        <v>500</v>
      </c>
      <c r="E1591" s="17">
        <v>1.89</v>
      </c>
      <c r="F1591" s="17">
        <f t="shared" ref="F1591" si="603">D1591*E1591</f>
        <v>945</v>
      </c>
      <c r="G1591" s="17">
        <v>0.23</v>
      </c>
      <c r="H1591" s="17">
        <f>0.04+0.19</f>
        <v>0.23</v>
      </c>
      <c r="I1591" s="17"/>
      <c r="J1591" s="17">
        <v>1.99</v>
      </c>
      <c r="K1591" s="17">
        <f t="shared" si="602"/>
        <v>947.45</v>
      </c>
      <c r="L1591" s="17"/>
      <c r="M1591" s="17"/>
      <c r="N1591" s="17"/>
      <c r="O1591" s="17"/>
      <c r="P1591" s="17"/>
      <c r="Q1591" s="17">
        <f t="shared" si="592"/>
        <v>655.91999999999757</v>
      </c>
      <c r="R1591" s="2"/>
    </row>
    <row r="1592" spans="1:18" x14ac:dyDescent="0.25">
      <c r="A1592" s="26">
        <v>44293</v>
      </c>
      <c r="B1592" s="17"/>
      <c r="C1592" s="7" t="s">
        <v>415</v>
      </c>
      <c r="D1592" s="36"/>
      <c r="E1592" s="17"/>
      <c r="F1592" s="17"/>
      <c r="G1592" s="17"/>
      <c r="H1592" s="17"/>
      <c r="I1592" s="17"/>
      <c r="J1592" s="17"/>
      <c r="K1592" s="17">
        <v>636.41</v>
      </c>
      <c r="L1592" s="17"/>
      <c r="M1592" s="17"/>
      <c r="N1592" s="17"/>
      <c r="O1592" s="17"/>
      <c r="P1592" s="17"/>
      <c r="Q1592" s="17">
        <f t="shared" si="592"/>
        <v>19.509999999997603</v>
      </c>
      <c r="R1592" s="2"/>
    </row>
    <row r="1593" spans="1:18" x14ac:dyDescent="0.25">
      <c r="A1593" s="26">
        <v>44294</v>
      </c>
      <c r="B1593" s="17">
        <v>2000</v>
      </c>
      <c r="D1593" s="36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>
        <f t="shared" si="592"/>
        <v>2019.5099999999975</v>
      </c>
      <c r="R1593" s="2"/>
    </row>
    <row r="1594" spans="1:18" x14ac:dyDescent="0.25">
      <c r="A1594" s="26">
        <v>44294</v>
      </c>
      <c r="B1594" s="17"/>
      <c r="C1594" s="7" t="s">
        <v>173</v>
      </c>
      <c r="D1594" s="36">
        <v>10</v>
      </c>
      <c r="E1594" s="17">
        <v>85.82</v>
      </c>
      <c r="F1594" s="17">
        <f t="shared" ref="F1594" si="604">D1594*E1594</f>
        <v>858.19999999999993</v>
      </c>
      <c r="G1594" s="17">
        <v>0</v>
      </c>
      <c r="H1594" s="17">
        <v>0</v>
      </c>
      <c r="I1594" s="17"/>
      <c r="J1594" s="17">
        <v>0</v>
      </c>
      <c r="K1594" s="17">
        <f t="shared" ref="K1594" si="605">SUM(F1594:J1594)</f>
        <v>858.19999999999993</v>
      </c>
      <c r="L1594" s="17"/>
      <c r="M1594" s="17"/>
      <c r="N1594" s="17"/>
      <c r="O1594" s="17"/>
      <c r="P1594" s="17"/>
      <c r="Q1594" s="17">
        <f t="shared" si="592"/>
        <v>1161.3099999999977</v>
      </c>
      <c r="R1594" s="2"/>
    </row>
    <row r="1595" spans="1:18" x14ac:dyDescent="0.25">
      <c r="A1595" s="26">
        <v>44294</v>
      </c>
      <c r="B1595" s="17"/>
      <c r="C1595" s="7" t="s">
        <v>186</v>
      </c>
      <c r="D1595" s="36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>
        <f>1070+515</f>
        <v>1585</v>
      </c>
      <c r="O1595" s="17"/>
      <c r="P1595" s="17"/>
      <c r="Q1595" s="17">
        <f t="shared" si="592"/>
        <v>2746.3099999999977</v>
      </c>
      <c r="R1595" s="2"/>
    </row>
    <row r="1596" spans="1:18" x14ac:dyDescent="0.25">
      <c r="A1596" s="26">
        <v>44294</v>
      </c>
      <c r="B1596" s="17"/>
      <c r="C1596" s="7" t="s">
        <v>509</v>
      </c>
      <c r="D1596" s="36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>
        <v>51.6</v>
      </c>
      <c r="O1596" s="17"/>
      <c r="P1596" s="17"/>
      <c r="Q1596" s="17">
        <f t="shared" si="592"/>
        <v>2797.9099999999976</v>
      </c>
      <c r="R1596" s="2"/>
    </row>
    <row r="1597" spans="1:18" x14ac:dyDescent="0.25">
      <c r="A1597" s="26"/>
      <c r="B1597" s="17"/>
      <c r="D1597" s="36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>
        <f t="shared" si="592"/>
        <v>2797.9099999999976</v>
      </c>
      <c r="R1597" s="2"/>
    </row>
    <row r="1598" spans="1:18" x14ac:dyDescent="0.25">
      <c r="A1598" s="26"/>
      <c r="B1598" s="17"/>
      <c r="D1598" s="36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>
        <f t="shared" si="592"/>
        <v>2797.9099999999976</v>
      </c>
      <c r="R1598" s="2"/>
    </row>
    <row r="1599" spans="1:18" x14ac:dyDescent="0.25">
      <c r="A1599" s="26"/>
      <c r="B1599" s="17"/>
      <c r="D1599" s="36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>
        <f t="shared" si="592"/>
        <v>2797.9099999999976</v>
      </c>
      <c r="R1599" s="2"/>
    </row>
    <row r="1600" spans="1:18" x14ac:dyDescent="0.25">
      <c r="A1600" s="26"/>
      <c r="B1600" s="17"/>
      <c r="D1600" s="36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>
        <f t="shared" si="592"/>
        <v>2797.9099999999976</v>
      </c>
      <c r="R1600" s="2"/>
    </row>
    <row r="1601" spans="1:22" x14ac:dyDescent="0.25">
      <c r="A1601" s="26"/>
      <c r="B1601" s="17"/>
      <c r="D1601" s="36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>
        <f>Q1594+B1601-K1601-L1601-M1601+N1601+O1601+P1601</f>
        <v>1161.3099999999977</v>
      </c>
      <c r="R1601" s="2"/>
    </row>
    <row r="1602" spans="1:22" x14ac:dyDescent="0.25">
      <c r="A1602" s="26"/>
      <c r="B1602" s="17"/>
      <c r="D1602" s="36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>
        <f t="shared" si="592"/>
        <v>1161.3099999999977</v>
      </c>
      <c r="R1602" s="2"/>
    </row>
    <row r="1603" spans="1:22" x14ac:dyDescent="0.25">
      <c r="A1603" s="26"/>
      <c r="B1603" s="17"/>
      <c r="D1603" s="36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>
        <f t="shared" si="592"/>
        <v>1161.3099999999977</v>
      </c>
      <c r="R1603" s="2"/>
    </row>
    <row r="1604" spans="1:22" x14ac:dyDescent="0.25">
      <c r="A1604" s="23" t="s">
        <v>4</v>
      </c>
      <c r="B1604" s="53">
        <f>SUM(B36:B1603)</f>
        <v>347985.1</v>
      </c>
      <c r="C1604" s="24"/>
      <c r="D1604" s="53">
        <f t="shared" ref="D1604:P1604" si="606">SUM(D36:D1603)</f>
        <v>33835.4</v>
      </c>
      <c r="E1604" s="53">
        <f t="shared" si="606"/>
        <v>26533.813166666641</v>
      </c>
      <c r="F1604" s="53">
        <f t="shared" si="606"/>
        <v>378092.39</v>
      </c>
      <c r="G1604" s="53">
        <f t="shared" si="606"/>
        <v>116.12000000000005</v>
      </c>
      <c r="H1604" s="53">
        <f t="shared" si="606"/>
        <v>26.249999999999947</v>
      </c>
      <c r="I1604" s="53"/>
      <c r="J1604" s="53">
        <f t="shared" si="606"/>
        <v>767.52000000000112</v>
      </c>
      <c r="K1604" s="53">
        <f t="shared" si="606"/>
        <v>414461.96999999991</v>
      </c>
      <c r="L1604" s="53">
        <f t="shared" si="606"/>
        <v>237.70999999999998</v>
      </c>
      <c r="M1604" s="53">
        <f t="shared" si="606"/>
        <v>0</v>
      </c>
      <c r="N1604" s="53">
        <f t="shared" si="606"/>
        <v>44940.380000000056</v>
      </c>
      <c r="O1604" s="53">
        <f t="shared" si="606"/>
        <v>13273.509999999995</v>
      </c>
      <c r="P1604" s="53">
        <f t="shared" si="606"/>
        <v>10809.710000000005</v>
      </c>
      <c r="Q1604" s="40"/>
      <c r="V1604" s="20">
        <f>U1576-V1576</f>
        <v>453.63999999999982</v>
      </c>
    </row>
    <row r="1605" spans="1:22" x14ac:dyDescent="0.25">
      <c r="A1605" s="6"/>
      <c r="C1605" s="11"/>
      <c r="H1605" s="43"/>
      <c r="I1605" s="43"/>
      <c r="V1605" s="20"/>
    </row>
    <row r="1606" spans="1:22" x14ac:dyDescent="0.25">
      <c r="A1606" s="6" t="s">
        <v>172</v>
      </c>
      <c r="B1606" s="97">
        <v>497182.43</v>
      </c>
      <c r="C1606" s="11"/>
      <c r="H1606" s="43"/>
      <c r="I1606" s="43"/>
    </row>
    <row r="1607" spans="1:22" x14ac:dyDescent="0.25">
      <c r="A1607" s="2" t="s">
        <v>525</v>
      </c>
      <c r="B1607" s="88">
        <f>B1606/B1604-1</f>
        <v>0.42874631701184907</v>
      </c>
      <c r="C1607" s="11"/>
    </row>
    <row r="1608" spans="1:22" x14ac:dyDescent="0.25">
      <c r="A1608" s="81" t="s">
        <v>525</v>
      </c>
      <c r="B1608" s="7">
        <f>B1606-B1604</f>
        <v>149197.33000000002</v>
      </c>
      <c r="D1608" s="36"/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R1608" s="2"/>
      <c r="U1608" s="8"/>
    </row>
    <row r="1609" spans="1:22" x14ac:dyDescent="0.25">
      <c r="A1609" s="81"/>
      <c r="C1609" s="11"/>
    </row>
    <row r="1610" spans="1:22" x14ac:dyDescent="0.25">
      <c r="A1610" s="81"/>
      <c r="C1610" s="11"/>
    </row>
    <row r="1611" spans="1:22" x14ac:dyDescent="0.25">
      <c r="A1611" s="81"/>
      <c r="C1611" s="11"/>
    </row>
    <row r="1612" spans="1:22" x14ac:dyDescent="0.25">
      <c r="A1612" s="81"/>
      <c r="C1612" s="11"/>
    </row>
    <row r="1613" spans="1:22" x14ac:dyDescent="0.25">
      <c r="A1613" s="81"/>
      <c r="C1613" s="11"/>
    </row>
    <row r="1614" spans="1:22" x14ac:dyDescent="0.25">
      <c r="A1614" s="81"/>
      <c r="C1614" s="11"/>
      <c r="F1614" s="12"/>
    </row>
    <row r="1615" spans="1:22" x14ac:dyDescent="0.25">
      <c r="A1615" s="81"/>
      <c r="C1615" s="11"/>
    </row>
    <row r="1616" spans="1:22" x14ac:dyDescent="0.25">
      <c r="A1616" s="81"/>
      <c r="C1616" s="11"/>
      <c r="V1616" s="5"/>
    </row>
    <row r="1617" spans="1:25" x14ac:dyDescent="0.25">
      <c r="A1617" s="81"/>
      <c r="C1617" s="11"/>
    </row>
    <row r="1618" spans="1:25" x14ac:dyDescent="0.25">
      <c r="A1618" s="81"/>
      <c r="C1618" s="11"/>
    </row>
    <row r="1619" spans="1:25" x14ac:dyDescent="0.25">
      <c r="A1619" s="81"/>
      <c r="C1619" s="11"/>
    </row>
    <row r="1620" spans="1:25" x14ac:dyDescent="0.25">
      <c r="A1620" s="81"/>
      <c r="C1620" s="11"/>
    </row>
    <row r="1621" spans="1:25" x14ac:dyDescent="0.25">
      <c r="A1621" s="81"/>
      <c r="C1621" s="11"/>
    </row>
    <row r="1622" spans="1:25" x14ac:dyDescent="0.25">
      <c r="A1622" s="81"/>
      <c r="C1622" s="11"/>
    </row>
    <row r="1623" spans="1:25" x14ac:dyDescent="0.25">
      <c r="A1623" s="81"/>
      <c r="C1623" s="11"/>
    </row>
    <row r="1624" spans="1:25" x14ac:dyDescent="0.25">
      <c r="A1624" s="81"/>
      <c r="C1624" s="11"/>
    </row>
    <row r="1625" spans="1:25" x14ac:dyDescent="0.25">
      <c r="A1625" s="6"/>
      <c r="B1625" s="99"/>
      <c r="C1625" s="11"/>
    </row>
    <row r="1626" spans="1:25" x14ac:dyDescent="0.25">
      <c r="A1626" s="6"/>
      <c r="B1626" s="80"/>
      <c r="C1626" s="11"/>
    </row>
    <row r="1627" spans="1:25" x14ac:dyDescent="0.25">
      <c r="A1627" s="14"/>
      <c r="B1627" s="112"/>
      <c r="C1627" s="112"/>
      <c r="D1627"/>
      <c r="E1627" s="111"/>
      <c r="F1627" s="111"/>
    </row>
    <row r="1628" spans="1:25" x14ac:dyDescent="0.25">
      <c r="B1628" s="113"/>
      <c r="C1628" s="112"/>
      <c r="D1628"/>
      <c r="E1628" s="111"/>
      <c r="F1628" s="111"/>
    </row>
    <row r="1629" spans="1:25" x14ac:dyDescent="0.25">
      <c r="B1629" s="111"/>
      <c r="C1629" s="112"/>
      <c r="D1629"/>
      <c r="E1629" s="111"/>
      <c r="F1629" s="111"/>
      <c r="Y1629" s="82"/>
    </row>
    <row r="1630" spans="1:25" x14ac:dyDescent="0.25">
      <c r="B1630" s="67"/>
      <c r="C1630" s="112"/>
      <c r="D1630"/>
      <c r="E1630" s="111"/>
      <c r="F1630" s="111"/>
      <c r="Y1630" s="82"/>
    </row>
    <row r="1631" spans="1:25" x14ac:dyDescent="0.25">
      <c r="B1631" s="111"/>
      <c r="C1631" s="112"/>
      <c r="D1631"/>
      <c r="E1631" s="111"/>
      <c r="F1631" s="111"/>
      <c r="Y1631" s="52"/>
    </row>
    <row r="1632" spans="1:25" x14ac:dyDescent="0.25">
      <c r="B1632" s="111"/>
      <c r="C1632" s="112"/>
      <c r="D1632"/>
      <c r="E1632" s="111"/>
      <c r="F1632" s="111"/>
    </row>
    <row r="1633" spans="2:25" x14ac:dyDescent="0.25">
      <c r="B1633" s="111"/>
      <c r="C1633" s="112"/>
      <c r="D1633"/>
      <c r="E1633" s="111"/>
      <c r="F1633" s="111"/>
      <c r="Y1633" s="82"/>
    </row>
    <row r="1634" spans="2:25" x14ac:dyDescent="0.25">
      <c r="B1634" s="111"/>
      <c r="C1634" s="112"/>
      <c r="D1634"/>
      <c r="E1634" s="111"/>
      <c r="F1634" s="111"/>
      <c r="Y1634" s="82"/>
    </row>
    <row r="1635" spans="2:25" x14ac:dyDescent="0.25">
      <c r="B1635" s="111"/>
      <c r="C1635" s="112"/>
      <c r="D1635"/>
      <c r="E1635" s="111"/>
      <c r="F1635" s="111"/>
      <c r="Y1635" s="52"/>
    </row>
    <row r="1636" spans="2:25" x14ac:dyDescent="0.25">
      <c r="B1636" s="111"/>
      <c r="C1636" s="112"/>
      <c r="D1636"/>
      <c r="E1636" s="111"/>
      <c r="F1636" s="111"/>
    </row>
    <row r="1637" spans="2:25" x14ac:dyDescent="0.25">
      <c r="B1637" s="3"/>
      <c r="Y1637" s="82"/>
    </row>
    <row r="1638" spans="2:25" x14ac:dyDescent="0.25">
      <c r="Y1638" s="82"/>
    </row>
    <row r="1639" spans="2:25" x14ac:dyDescent="0.25">
      <c r="Y1639" s="52"/>
    </row>
    <row r="1641" spans="2:25" x14ac:dyDescent="0.25">
      <c r="Y1641" s="82"/>
    </row>
    <row r="1642" spans="2:25" x14ac:dyDescent="0.25">
      <c r="Y1642" s="82"/>
    </row>
    <row r="1643" spans="2:25" x14ac:dyDescent="0.25">
      <c r="Y1643" s="52"/>
    </row>
    <row r="1645" spans="2:25" x14ac:dyDescent="0.25">
      <c r="Y1645" s="82"/>
    </row>
    <row r="1646" spans="2:25" x14ac:dyDescent="0.25">
      <c r="Y1646" s="82"/>
    </row>
    <row r="1647" spans="2:25" x14ac:dyDescent="0.25">
      <c r="Y1647" s="52"/>
    </row>
    <row r="1649" spans="25:25" x14ac:dyDescent="0.25">
      <c r="Y1649" s="82"/>
    </row>
    <row r="1650" spans="25:25" x14ac:dyDescent="0.25">
      <c r="Y1650" s="82"/>
    </row>
    <row r="1651" spans="25:25" x14ac:dyDescent="0.25">
      <c r="Y1651" s="52"/>
    </row>
    <row r="1653" spans="25:25" x14ac:dyDescent="0.25">
      <c r="Y1653" s="82"/>
    </row>
    <row r="1654" spans="25:25" x14ac:dyDescent="0.25">
      <c r="Y1654" s="82"/>
    </row>
    <row r="1655" spans="25:25" x14ac:dyDescent="0.25">
      <c r="Y1655" s="52"/>
    </row>
    <row r="1657" spans="25:25" x14ac:dyDescent="0.25">
      <c r="Y1657" s="82"/>
    </row>
    <row r="1658" spans="25:25" x14ac:dyDescent="0.25">
      <c r="Y1658" s="82"/>
    </row>
    <row r="1659" spans="25:25" x14ac:dyDescent="0.25">
      <c r="Y1659" s="52"/>
    </row>
    <row r="1661" spans="25:25" x14ac:dyDescent="0.25">
      <c r="Y1661" s="82"/>
    </row>
    <row r="1662" spans="25:25" x14ac:dyDescent="0.25">
      <c r="Y1662" s="82"/>
    </row>
    <row r="1663" spans="25:25" x14ac:dyDescent="0.25">
      <c r="Y1663" s="52"/>
    </row>
    <row r="1665" spans="25:25" x14ac:dyDescent="0.25">
      <c r="Y1665" s="82"/>
    </row>
    <row r="1666" spans="25:25" x14ac:dyDescent="0.25">
      <c r="Y1666" s="82"/>
    </row>
    <row r="1667" spans="25:25" x14ac:dyDescent="0.25">
      <c r="Y1667" s="52"/>
    </row>
    <row r="1669" spans="25:25" x14ac:dyDescent="0.25">
      <c r="Y1669" s="82"/>
    </row>
    <row r="1670" spans="25:25" x14ac:dyDescent="0.25">
      <c r="Y1670" s="82"/>
    </row>
    <row r="1671" spans="25:25" x14ac:dyDescent="0.25">
      <c r="Y1671" s="52"/>
    </row>
    <row r="1673" spans="25:25" x14ac:dyDescent="0.25">
      <c r="Y1673" s="82"/>
    </row>
    <row r="1674" spans="25:25" x14ac:dyDescent="0.25">
      <c r="Y1674" s="82"/>
    </row>
    <row r="1675" spans="25:25" x14ac:dyDescent="0.25">
      <c r="Y1675" s="52"/>
    </row>
    <row r="1677" spans="25:25" x14ac:dyDescent="0.25">
      <c r="Y1677" s="82"/>
    </row>
    <row r="1678" spans="25:25" x14ac:dyDescent="0.25">
      <c r="Y1678" s="82"/>
    </row>
    <row r="1679" spans="25:25" x14ac:dyDescent="0.25">
      <c r="Y1679" s="52"/>
    </row>
    <row r="1681" spans="25:25" x14ac:dyDescent="0.25">
      <c r="Y1681" s="82"/>
    </row>
    <row r="1682" spans="25:25" x14ac:dyDescent="0.25">
      <c r="Y1682" s="82"/>
    </row>
    <row r="1683" spans="25:25" x14ac:dyDescent="0.25">
      <c r="Y1683" s="52"/>
    </row>
    <row r="1685" spans="25:25" x14ac:dyDescent="0.25">
      <c r="Y1685" s="82"/>
    </row>
    <row r="1686" spans="25:25" x14ac:dyDescent="0.25">
      <c r="Y1686" s="82"/>
    </row>
    <row r="1687" spans="25:25" x14ac:dyDescent="0.25">
      <c r="Y1687" s="52"/>
    </row>
    <row r="1689" spans="25:25" x14ac:dyDescent="0.25">
      <c r="Y1689" s="82"/>
    </row>
    <row r="1690" spans="25:25" x14ac:dyDescent="0.25">
      <c r="Y1690" s="82"/>
    </row>
    <row r="1691" spans="25:25" x14ac:dyDescent="0.25">
      <c r="Y1691" s="52"/>
    </row>
    <row r="1693" spans="25:25" x14ac:dyDescent="0.25">
      <c r="Y1693" s="82"/>
    </row>
    <row r="1694" spans="25:25" x14ac:dyDescent="0.25">
      <c r="Y1694" s="82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9EDF-6506-4127-A9D6-074FA51BF552}">
  <dimension ref="A1:AC618"/>
  <sheetViews>
    <sheetView topLeftCell="A513" zoomScale="90" zoomScaleNormal="90" workbookViewId="0">
      <selection activeCell="A537" sqref="A537"/>
    </sheetView>
  </sheetViews>
  <sheetFormatPr defaultRowHeight="15" x14ac:dyDescent="0.25"/>
  <cols>
    <col min="1" max="1" width="13.42578125" customWidth="1"/>
    <col min="2" max="14" width="10.7109375" customWidth="1"/>
    <col min="16" max="16" width="11.42578125" customWidth="1"/>
    <col min="17" max="17" width="11.5703125" customWidth="1"/>
    <col min="18" max="18" width="6" customWidth="1"/>
    <col min="19" max="19" width="10" bestFit="1" customWidth="1"/>
    <col min="21" max="21" width="9.5703125" bestFit="1" customWidth="1"/>
  </cols>
  <sheetData>
    <row r="1" spans="1:27" ht="15.75" x14ac:dyDescent="0.25">
      <c r="A1" s="51" t="s">
        <v>238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27" x14ac:dyDescent="0.25">
      <c r="A2" s="108" t="s">
        <v>1</v>
      </c>
      <c r="B2" s="102" t="s">
        <v>42</v>
      </c>
      <c r="C2" s="102" t="s">
        <v>43</v>
      </c>
      <c r="D2" s="102" t="s">
        <v>44</v>
      </c>
      <c r="E2" s="102" t="s">
        <v>45</v>
      </c>
      <c r="F2" s="102" t="s">
        <v>46</v>
      </c>
      <c r="G2" s="102" t="s">
        <v>20</v>
      </c>
      <c r="H2" s="102" t="s">
        <v>21</v>
      </c>
      <c r="I2" s="102" t="s">
        <v>22</v>
      </c>
      <c r="J2" s="102" t="s">
        <v>23</v>
      </c>
      <c r="K2" s="102" t="s">
        <v>24</v>
      </c>
      <c r="L2" s="102" t="s">
        <v>25</v>
      </c>
      <c r="M2" s="102" t="s">
        <v>26</v>
      </c>
      <c r="N2" s="49" t="s">
        <v>4</v>
      </c>
    </row>
    <row r="3" spans="1:27" x14ac:dyDescent="0.25">
      <c r="A3" s="103" t="s">
        <v>99</v>
      </c>
      <c r="B3" s="104"/>
      <c r="C3" s="104"/>
      <c r="D3" s="104"/>
      <c r="E3" s="104"/>
      <c r="F3" s="104"/>
      <c r="G3" s="104"/>
      <c r="H3" s="104"/>
      <c r="I3" s="104"/>
      <c r="J3" s="105"/>
      <c r="K3" s="104"/>
      <c r="L3" s="104"/>
      <c r="M3" s="104"/>
      <c r="N3" s="104"/>
      <c r="R3" s="20"/>
      <c r="S3" s="20"/>
    </row>
    <row r="4" spans="1:27" x14ac:dyDescent="0.25">
      <c r="A4" t="s">
        <v>171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>
        <f>SUM(B4:M4)</f>
        <v>0</v>
      </c>
      <c r="P4" s="9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spans="1:27" x14ac:dyDescent="0.25">
      <c r="A5" s="9" t="s">
        <v>5</v>
      </c>
      <c r="B5" s="41"/>
      <c r="C5" s="41"/>
      <c r="D5" s="41"/>
      <c r="E5" s="41"/>
      <c r="F5" s="41"/>
      <c r="G5" s="41"/>
      <c r="H5" s="41"/>
      <c r="I5" s="41">
        <v>155.66999999999999</v>
      </c>
      <c r="J5" s="41">
        <v>53.34</v>
      </c>
      <c r="K5" s="41"/>
      <c r="L5" s="41">
        <v>13.32</v>
      </c>
      <c r="M5" s="41">
        <v>52.65</v>
      </c>
      <c r="N5" s="41">
        <f>SUM(B5:M5)</f>
        <v>274.97999999999996</v>
      </c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spans="1:27" x14ac:dyDescent="0.25">
      <c r="A6" t="s">
        <v>16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>
        <v>11.83</v>
      </c>
      <c r="M6" s="41"/>
      <c r="N6" s="41">
        <f t="shared" ref="N6:N26" si="0">SUM(B6:M6)</f>
        <v>11.83</v>
      </c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27" x14ac:dyDescent="0.25">
      <c r="A7" t="s">
        <v>17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>
        <v>47.09</v>
      </c>
      <c r="N7" s="41">
        <f t="shared" si="0"/>
        <v>47.09</v>
      </c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27" x14ac:dyDescent="0.25">
      <c r="A8" t="s">
        <v>30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>
        <f t="shared" si="0"/>
        <v>0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7" x14ac:dyDescent="0.25">
      <c r="A9" t="s">
        <v>182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>
        <f t="shared" si="0"/>
        <v>0</v>
      </c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27" x14ac:dyDescent="0.25">
      <c r="A10" t="s">
        <v>12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>
        <f t="shared" si="0"/>
        <v>0</v>
      </c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27" x14ac:dyDescent="0.25">
      <c r="A11" t="s">
        <v>28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>
        <f t="shared" si="0"/>
        <v>0</v>
      </c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27" x14ac:dyDescent="0.25">
      <c r="A12" t="s">
        <v>35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>
        <f t="shared" si="0"/>
        <v>0</v>
      </c>
      <c r="P12" s="9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27" x14ac:dyDescent="0.25">
      <c r="A13" t="s">
        <v>96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>
        <f t="shared" si="0"/>
        <v>0</v>
      </c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27" x14ac:dyDescent="0.25">
      <c r="A14" t="s">
        <v>85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>
        <f t="shared" si="0"/>
        <v>0</v>
      </c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7" x14ac:dyDescent="0.25">
      <c r="A15" t="s">
        <v>88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>
        <f t="shared" si="0"/>
        <v>0</v>
      </c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7" x14ac:dyDescent="0.25">
      <c r="A16" t="s">
        <v>13</v>
      </c>
      <c r="B16" s="41"/>
      <c r="C16" s="41"/>
      <c r="D16" s="41"/>
      <c r="E16" s="41"/>
      <c r="F16" s="41"/>
      <c r="G16" s="41"/>
      <c r="H16" s="41"/>
      <c r="I16" s="41"/>
      <c r="J16" s="41">
        <v>5.87</v>
      </c>
      <c r="K16" s="41"/>
      <c r="L16" s="41">
        <v>1.52</v>
      </c>
      <c r="M16" s="41">
        <v>6.31</v>
      </c>
      <c r="N16" s="41">
        <f t="shared" si="0"/>
        <v>13.7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x14ac:dyDescent="0.25">
      <c r="A17" s="9" t="s">
        <v>15</v>
      </c>
      <c r="B17" s="41"/>
      <c r="C17" s="41"/>
      <c r="D17" s="41"/>
      <c r="E17" s="41"/>
      <c r="F17" s="41"/>
      <c r="G17" s="41"/>
      <c r="H17" s="41"/>
      <c r="I17" s="41"/>
      <c r="J17" s="41"/>
      <c r="K17" s="41">
        <v>152.43</v>
      </c>
      <c r="L17" s="41"/>
      <c r="M17" s="41"/>
      <c r="N17" s="41">
        <f t="shared" si="0"/>
        <v>152.43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x14ac:dyDescent="0.25">
      <c r="A18" t="s">
        <v>29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>
        <f t="shared" si="0"/>
        <v>0</v>
      </c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x14ac:dyDescent="0.25">
      <c r="A19" t="s">
        <v>82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>
        <f t="shared" si="0"/>
        <v>0</v>
      </c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 x14ac:dyDescent="0.25">
      <c r="A20" t="s">
        <v>6</v>
      </c>
      <c r="B20" s="41"/>
      <c r="C20" s="41"/>
      <c r="D20" s="41"/>
      <c r="E20" s="41"/>
      <c r="F20" s="41"/>
      <c r="G20" s="41"/>
      <c r="H20" s="41"/>
      <c r="I20" s="41">
        <v>3.6</v>
      </c>
      <c r="J20" s="41"/>
      <c r="K20" s="41"/>
      <c r="L20" s="41">
        <v>3.6</v>
      </c>
      <c r="M20" s="41">
        <v>7.63</v>
      </c>
      <c r="N20" s="41">
        <f t="shared" si="0"/>
        <v>14.83</v>
      </c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x14ac:dyDescent="0.25">
      <c r="A21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>
        <f t="shared" si="0"/>
        <v>0</v>
      </c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x14ac:dyDescent="0.25">
      <c r="A22" t="s">
        <v>170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>
        <f t="shared" si="0"/>
        <v>0</v>
      </c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x14ac:dyDescent="0.25">
      <c r="A23" t="s">
        <v>218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>
        <f t="shared" si="0"/>
        <v>0</v>
      </c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x14ac:dyDescent="0.25">
      <c r="A24" t="s">
        <v>41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>
        <f t="shared" si="0"/>
        <v>0</v>
      </c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x14ac:dyDescent="0.25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>
        <f t="shared" si="0"/>
        <v>0</v>
      </c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x14ac:dyDescent="0.25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>
        <f t="shared" si="0"/>
        <v>0</v>
      </c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x14ac:dyDescent="0.25">
      <c r="A27" s="46" t="s">
        <v>47</v>
      </c>
      <c r="B27" s="106">
        <f>SUM(B4:B26)</f>
        <v>0</v>
      </c>
      <c r="C27" s="106">
        <f t="shared" ref="C27" si="1">SUM(C4:C26)</f>
        <v>0</v>
      </c>
      <c r="D27" s="106">
        <f t="shared" ref="D27" si="2">SUM(D4:D26)</f>
        <v>0</v>
      </c>
      <c r="E27" s="106">
        <f t="shared" ref="E27" si="3">SUM(E4:E26)</f>
        <v>0</v>
      </c>
      <c r="F27" s="106">
        <f t="shared" ref="F27" si="4">SUM(F4:F26)</f>
        <v>0</v>
      </c>
      <c r="G27" s="106">
        <f t="shared" ref="G27" si="5">SUM(G4:G26)</f>
        <v>0</v>
      </c>
      <c r="H27" s="106">
        <f t="shared" ref="H27" si="6">SUM(H4:H26)</f>
        <v>0</v>
      </c>
      <c r="I27" s="106">
        <f t="shared" ref="I27" si="7">SUM(I4:I26)</f>
        <v>159.26999999999998</v>
      </c>
      <c r="J27" s="106">
        <f t="shared" ref="J27" si="8">SUM(J4:J26)</f>
        <v>59.21</v>
      </c>
      <c r="K27" s="106">
        <f t="shared" ref="K27" si="9">SUM(K4:K26)</f>
        <v>152.43</v>
      </c>
      <c r="L27" s="106">
        <f t="shared" ref="L27" si="10">SUM(L4:L26)</f>
        <v>30.27</v>
      </c>
      <c r="M27" s="106">
        <f t="shared" ref="M27" si="11">SUM(M4:M26)</f>
        <v>113.68</v>
      </c>
      <c r="N27" s="106">
        <f>SUM(N4:N26)</f>
        <v>514.86</v>
      </c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27" x14ac:dyDescent="0.25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>
        <f t="shared" ref="N28" si="12">SUM(B28:M28)</f>
        <v>0</v>
      </c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27" x14ac:dyDescent="0.25">
      <c r="A29" s="107" t="s">
        <v>188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x14ac:dyDescent="0.25">
      <c r="A30" t="s">
        <v>173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>
        <f t="shared" ref="N30" si="13">SUM(B30:M30)</f>
        <v>0</v>
      </c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x14ac:dyDescent="0.25">
      <c r="A31" t="s">
        <v>222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>
        <f>SUM(B31:M31)</f>
        <v>0</v>
      </c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x14ac:dyDescent="0.25">
      <c r="A32" t="s">
        <v>180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>
        <f t="shared" ref="N32:N46" si="14">SUM(B32:M32)</f>
        <v>0</v>
      </c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x14ac:dyDescent="0.25">
      <c r="A33" t="s">
        <v>184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>
        <f t="shared" si="14"/>
        <v>0</v>
      </c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spans="1:27" x14ac:dyDescent="0.25">
      <c r="A34" t="s">
        <v>234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>
        <f t="shared" si="14"/>
        <v>0</v>
      </c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1:27" x14ac:dyDescent="0.25">
      <c r="A35" t="s">
        <v>221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>
        <f t="shared" si="14"/>
        <v>0</v>
      </c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1:27" x14ac:dyDescent="0.25">
      <c r="A36" t="s">
        <v>183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>
        <f t="shared" si="14"/>
        <v>0</v>
      </c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spans="1:27" x14ac:dyDescent="0.25">
      <c r="A37" t="s">
        <v>220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>
        <f t="shared" si="14"/>
        <v>0</v>
      </c>
      <c r="R37" s="20"/>
      <c r="S37" s="20"/>
    </row>
    <row r="38" spans="1:27" x14ac:dyDescent="0.25">
      <c r="A38" t="s">
        <v>181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>
        <f t="shared" si="14"/>
        <v>0</v>
      </c>
      <c r="R38" s="20"/>
      <c r="S38" s="20"/>
    </row>
    <row r="39" spans="1:27" x14ac:dyDescent="0.25">
      <c r="A39" t="s">
        <v>186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>
        <f t="shared" si="14"/>
        <v>0</v>
      </c>
      <c r="R39" s="20"/>
      <c r="S39" s="20"/>
    </row>
    <row r="40" spans="1:27" x14ac:dyDescent="0.25">
      <c r="A40" t="s">
        <v>169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>
        <f t="shared" si="14"/>
        <v>0</v>
      </c>
      <c r="R40" s="20"/>
      <c r="S40" s="20"/>
    </row>
    <row r="41" spans="1:27" x14ac:dyDescent="0.25">
      <c r="A41" t="s">
        <v>217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>
        <f t="shared" si="14"/>
        <v>0</v>
      </c>
      <c r="R41" s="20"/>
      <c r="S41" s="20"/>
    </row>
    <row r="42" spans="1:27" x14ac:dyDescent="0.25">
      <c r="A42" t="s">
        <v>267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>
        <f t="shared" si="14"/>
        <v>0</v>
      </c>
      <c r="R42" s="20"/>
      <c r="S42" s="20"/>
    </row>
    <row r="43" spans="1:27" x14ac:dyDescent="0.25">
      <c r="A43" t="s">
        <v>270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R43" s="20"/>
      <c r="S43" s="20"/>
    </row>
    <row r="44" spans="1:27" x14ac:dyDescent="0.25">
      <c r="A44" t="s">
        <v>276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R44" s="20"/>
      <c r="S44" s="20"/>
    </row>
    <row r="45" spans="1:27" x14ac:dyDescent="0.2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R45" s="20"/>
      <c r="S45" s="20"/>
    </row>
    <row r="46" spans="1:27" x14ac:dyDescent="0.2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>
        <f t="shared" si="14"/>
        <v>0</v>
      </c>
      <c r="R46" s="20"/>
      <c r="S46" s="20"/>
    </row>
    <row r="47" spans="1:27" x14ac:dyDescent="0.25">
      <c r="A47" s="46" t="s">
        <v>47</v>
      </c>
      <c r="B47" s="106">
        <f>SUM(B30:B46)</f>
        <v>0</v>
      </c>
      <c r="C47" s="106">
        <f t="shared" ref="C47" si="15">SUM(C30:C46)</f>
        <v>0</v>
      </c>
      <c r="D47" s="106">
        <f t="shared" ref="D47" si="16">SUM(D30:D46)</f>
        <v>0</v>
      </c>
      <c r="E47" s="106">
        <f t="shared" ref="E47" si="17">SUM(E30:E46)</f>
        <v>0</v>
      </c>
      <c r="F47" s="106">
        <f t="shared" ref="F47" si="18">SUM(F30:F46)</f>
        <v>0</v>
      </c>
      <c r="G47" s="106">
        <f t="shared" ref="G47" si="19">SUM(G30:G46)</f>
        <v>0</v>
      </c>
      <c r="H47" s="106">
        <f t="shared" ref="H47" si="20">SUM(H30:H46)</f>
        <v>0</v>
      </c>
      <c r="I47" s="106">
        <f t="shared" ref="I47" si="21">SUM(I30:I46)</f>
        <v>0</v>
      </c>
      <c r="J47" s="106">
        <f t="shared" ref="J47" si="22">SUM(J30:J46)</f>
        <v>0</v>
      </c>
      <c r="K47" s="106">
        <f t="shared" ref="K47" si="23">SUM(K30:K46)</f>
        <v>0</v>
      </c>
      <c r="L47" s="106">
        <f t="shared" ref="L47" si="24">SUM(L30:L46)</f>
        <v>0</v>
      </c>
      <c r="M47" s="106">
        <f t="shared" ref="M47" si="25">SUM(M30:M46)</f>
        <v>0</v>
      </c>
      <c r="N47" s="106">
        <f t="shared" ref="N47" si="26">SUM(N30:N46)</f>
        <v>0</v>
      </c>
      <c r="R47" s="20"/>
      <c r="S47" s="20"/>
    </row>
    <row r="48" spans="1:27" x14ac:dyDescent="0.2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>
        <f t="shared" ref="N48" si="27">SUM(B48:M48)</f>
        <v>0</v>
      </c>
      <c r="R48" s="20"/>
      <c r="S48" s="20"/>
    </row>
    <row r="49" spans="1:27" x14ac:dyDescent="0.25">
      <c r="A49" s="107" t="s">
        <v>100</v>
      </c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R49" s="20"/>
      <c r="S49" s="20"/>
    </row>
    <row r="50" spans="1:27" x14ac:dyDescent="0.25">
      <c r="A50" t="s">
        <v>223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>
        <f t="shared" ref="N50:N52" si="28">SUM(B50:M50)</f>
        <v>0</v>
      </c>
      <c r="R50" s="20"/>
      <c r="S50" s="20"/>
    </row>
    <row r="51" spans="1:27" x14ac:dyDescent="0.25">
      <c r="A51" t="s">
        <v>240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>
        <f t="shared" si="28"/>
        <v>0</v>
      </c>
      <c r="R51" s="20"/>
      <c r="S51" s="20"/>
    </row>
    <row r="52" spans="1:27" x14ac:dyDescent="0.2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>
        <f t="shared" si="28"/>
        <v>0</v>
      </c>
      <c r="R52" s="20"/>
      <c r="S52" s="20"/>
    </row>
    <row r="53" spans="1:27" x14ac:dyDescent="0.25">
      <c r="A53" s="46" t="s">
        <v>47</v>
      </c>
      <c r="B53" s="106">
        <f>SUM(B50:B52)</f>
        <v>0</v>
      </c>
      <c r="C53" s="106">
        <f t="shared" ref="C53" si="29">SUM(C50:C52)</f>
        <v>0</v>
      </c>
      <c r="D53" s="106">
        <f t="shared" ref="D53" si="30">SUM(D50:D52)</f>
        <v>0</v>
      </c>
      <c r="E53" s="106">
        <f t="shared" ref="E53" si="31">SUM(E50:E52)</f>
        <v>0</v>
      </c>
      <c r="F53" s="106">
        <f t="shared" ref="F53" si="32">SUM(F50:F52)</f>
        <v>0</v>
      </c>
      <c r="G53" s="106">
        <f t="shared" ref="G53" si="33">SUM(G50:G52)</f>
        <v>0</v>
      </c>
      <c r="H53" s="106">
        <f t="shared" ref="H53" si="34">SUM(H50:H52)</f>
        <v>0</v>
      </c>
      <c r="I53" s="106">
        <f t="shared" ref="I53" si="35">SUM(I50:I52)</f>
        <v>0</v>
      </c>
      <c r="J53" s="106">
        <f t="shared" ref="J53" si="36">SUM(J50:J52)</f>
        <v>0</v>
      </c>
      <c r="K53" s="106">
        <f t="shared" ref="K53" si="37">SUM(K50:K52)</f>
        <v>0</v>
      </c>
      <c r="L53" s="106">
        <f t="shared" ref="L53" si="38">SUM(L50:L52)</f>
        <v>0</v>
      </c>
      <c r="M53" s="106">
        <f t="shared" ref="M53" si="39">SUM(M50:M52)</f>
        <v>0</v>
      </c>
      <c r="N53" s="106">
        <f t="shared" ref="N53" si="40">SUM(N50:N52)</f>
        <v>0</v>
      </c>
      <c r="R53" s="20"/>
      <c r="S53" s="20"/>
    </row>
    <row r="54" spans="1:27" x14ac:dyDescent="0.25">
      <c r="B54" s="76" t="s">
        <v>42</v>
      </c>
      <c r="C54" s="76" t="s">
        <v>43</v>
      </c>
      <c r="D54" s="76" t="s">
        <v>44</v>
      </c>
      <c r="E54" s="76" t="s">
        <v>45</v>
      </c>
      <c r="F54" s="76" t="s">
        <v>46</v>
      </c>
      <c r="G54" s="76" t="s">
        <v>20</v>
      </c>
      <c r="H54" s="76" t="s">
        <v>21</v>
      </c>
      <c r="I54" s="76" t="s">
        <v>22</v>
      </c>
      <c r="J54" s="76" t="s">
        <v>23</v>
      </c>
      <c r="K54" s="76" t="s">
        <v>24</v>
      </c>
      <c r="L54" s="76" t="s">
        <v>25</v>
      </c>
      <c r="M54" s="76" t="s">
        <v>26</v>
      </c>
      <c r="N54" s="41"/>
      <c r="R54" s="20"/>
      <c r="S54" s="20"/>
    </row>
    <row r="55" spans="1:27" x14ac:dyDescent="0.25">
      <c r="A55" s="46" t="s">
        <v>241</v>
      </c>
      <c r="B55" s="106">
        <f>B27+B47+B53</f>
        <v>0</v>
      </c>
      <c r="C55" s="106">
        <f t="shared" ref="C55:N55" si="41">C27+C47+C53</f>
        <v>0</v>
      </c>
      <c r="D55" s="106">
        <f t="shared" si="41"/>
        <v>0</v>
      </c>
      <c r="E55" s="106">
        <f t="shared" si="41"/>
        <v>0</v>
      </c>
      <c r="F55" s="106">
        <f t="shared" si="41"/>
        <v>0</v>
      </c>
      <c r="G55" s="106">
        <f t="shared" si="41"/>
        <v>0</v>
      </c>
      <c r="H55" s="106">
        <f t="shared" si="41"/>
        <v>0</v>
      </c>
      <c r="I55" s="106">
        <f t="shared" si="41"/>
        <v>159.26999999999998</v>
      </c>
      <c r="J55" s="106">
        <f t="shared" si="41"/>
        <v>59.21</v>
      </c>
      <c r="K55" s="106">
        <f t="shared" si="41"/>
        <v>152.43</v>
      </c>
      <c r="L55" s="106">
        <f t="shared" si="41"/>
        <v>30.27</v>
      </c>
      <c r="M55" s="106">
        <f t="shared" si="41"/>
        <v>113.68</v>
      </c>
      <c r="N55" s="106">
        <f t="shared" si="41"/>
        <v>514.86</v>
      </c>
      <c r="R55" s="20"/>
      <c r="S55" s="20"/>
    </row>
    <row r="56" spans="1:27" x14ac:dyDescent="0.25">
      <c r="B56" s="20"/>
      <c r="R56" s="20"/>
      <c r="S56" s="20"/>
    </row>
    <row r="57" spans="1:27" x14ac:dyDescent="0.25">
      <c r="B57" s="20"/>
      <c r="R57" s="20"/>
      <c r="S57" s="20"/>
    </row>
    <row r="58" spans="1:27" x14ac:dyDescent="0.25">
      <c r="R58" s="20"/>
      <c r="S58" s="20"/>
    </row>
    <row r="59" spans="1:27" ht="15.75" x14ac:dyDescent="0.25">
      <c r="A59" s="51" t="s">
        <v>245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R59" s="20"/>
      <c r="S59" s="20"/>
    </row>
    <row r="60" spans="1:27" x14ac:dyDescent="0.25">
      <c r="A60" s="108" t="s">
        <v>1</v>
      </c>
      <c r="B60" s="102" t="s">
        <v>42</v>
      </c>
      <c r="C60" s="102" t="s">
        <v>43</v>
      </c>
      <c r="D60" s="102" t="s">
        <v>44</v>
      </c>
      <c r="E60" s="102" t="s">
        <v>45</v>
      </c>
      <c r="F60" s="102" t="s">
        <v>46</v>
      </c>
      <c r="G60" s="102" t="s">
        <v>20</v>
      </c>
      <c r="H60" s="102" t="s">
        <v>21</v>
      </c>
      <c r="I60" s="102" t="s">
        <v>22</v>
      </c>
      <c r="J60" s="102" t="s">
        <v>23</v>
      </c>
      <c r="K60" s="102" t="s">
        <v>24</v>
      </c>
      <c r="L60" s="102" t="s">
        <v>25</v>
      </c>
      <c r="M60" s="102" t="s">
        <v>26</v>
      </c>
      <c r="N60" s="49" t="s">
        <v>4</v>
      </c>
      <c r="R60" s="20"/>
      <c r="S60" s="20"/>
    </row>
    <row r="61" spans="1:27" x14ac:dyDescent="0.25">
      <c r="A61" s="103" t="s">
        <v>99</v>
      </c>
      <c r="B61" s="104"/>
      <c r="C61" s="104"/>
      <c r="D61" s="104"/>
      <c r="E61" s="104"/>
      <c r="F61" s="104"/>
      <c r="G61" s="104"/>
      <c r="H61" s="104"/>
      <c r="I61" s="104"/>
      <c r="J61" s="105"/>
      <c r="K61" s="104"/>
      <c r="L61" s="104"/>
      <c r="M61" s="104"/>
      <c r="N61" s="104"/>
      <c r="P61" s="9"/>
      <c r="Q61" s="41"/>
      <c r="R61" s="41"/>
      <c r="S61" s="41"/>
      <c r="T61" s="41"/>
      <c r="U61" s="41"/>
      <c r="V61" s="41"/>
      <c r="W61" s="41"/>
      <c r="X61" s="20"/>
      <c r="Y61" s="41"/>
      <c r="Z61" s="41"/>
      <c r="AA61" s="41"/>
    </row>
    <row r="62" spans="1:27" x14ac:dyDescent="0.25">
      <c r="A62" t="s">
        <v>171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>
        <f>SUM(B62:M62)</f>
        <v>0</v>
      </c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spans="1:27" x14ac:dyDescent="0.25">
      <c r="A63" s="9" t="s">
        <v>5</v>
      </c>
      <c r="B63" s="41"/>
      <c r="C63" s="41">
        <v>39.51</v>
      </c>
      <c r="D63" s="41">
        <v>106.99</v>
      </c>
      <c r="E63" s="41"/>
      <c r="F63" s="41">
        <v>32.479999999999997</v>
      </c>
      <c r="G63" s="41">
        <v>109.17</v>
      </c>
      <c r="H63" s="41"/>
      <c r="I63" s="41">
        <v>15.69</v>
      </c>
      <c r="J63" s="20"/>
      <c r="K63" s="41"/>
      <c r="L63" s="41"/>
      <c r="M63" s="41"/>
      <c r="N63" s="41">
        <f>SUM(B63:M63)</f>
        <v>303.83999999999997</v>
      </c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1:27" x14ac:dyDescent="0.25">
      <c r="A64" t="s">
        <v>16</v>
      </c>
      <c r="B64" s="41"/>
      <c r="C64" s="41"/>
      <c r="D64" s="41"/>
      <c r="E64" s="41"/>
      <c r="F64" s="41">
        <v>11.15</v>
      </c>
      <c r="G64" s="41">
        <v>7.96</v>
      </c>
      <c r="H64" s="41"/>
      <c r="I64" s="41">
        <v>10.93</v>
      </c>
      <c r="J64" s="41"/>
      <c r="K64" s="41"/>
      <c r="L64" s="41"/>
      <c r="M64" s="41"/>
      <c r="N64" s="41">
        <f t="shared" ref="N64:N84" si="42">SUM(B64:M64)</f>
        <v>30.04</v>
      </c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spans="1:27" x14ac:dyDescent="0.25">
      <c r="A65" t="s">
        <v>17</v>
      </c>
      <c r="B65" s="41"/>
      <c r="C65" s="41"/>
      <c r="D65" s="41"/>
      <c r="E65" s="41"/>
      <c r="F65" s="41"/>
      <c r="G65" s="41">
        <v>89.2</v>
      </c>
      <c r="H65" s="41">
        <v>87.42</v>
      </c>
      <c r="I65" s="41"/>
      <c r="J65" s="41">
        <v>48</v>
      </c>
      <c r="K65" s="41"/>
      <c r="L65" s="41"/>
      <c r="M65" s="41">
        <v>349.68</v>
      </c>
      <c r="N65" s="41">
        <f t="shared" si="42"/>
        <v>574.29999999999995</v>
      </c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spans="1:27" x14ac:dyDescent="0.25">
      <c r="A66" t="s">
        <v>30</v>
      </c>
      <c r="B66" s="41"/>
      <c r="C66" s="41"/>
      <c r="D66" s="41"/>
      <c r="E66" s="41"/>
      <c r="F66" s="41"/>
      <c r="G66" s="41">
        <v>38.39</v>
      </c>
      <c r="H66" s="41">
        <v>26.22</v>
      </c>
      <c r="I66" s="41"/>
      <c r="J66" s="41">
        <v>14.4</v>
      </c>
      <c r="K66" s="41"/>
      <c r="L66" s="41"/>
      <c r="M66" s="41"/>
      <c r="N66" s="41">
        <f t="shared" si="42"/>
        <v>79.010000000000005</v>
      </c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spans="1:27" x14ac:dyDescent="0.25">
      <c r="A67" t="s">
        <v>182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>
        <f t="shared" si="42"/>
        <v>0</v>
      </c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spans="1:27" x14ac:dyDescent="0.25">
      <c r="A68" t="s">
        <v>12</v>
      </c>
      <c r="B68" s="41"/>
      <c r="C68" s="41"/>
      <c r="D68" s="41"/>
      <c r="E68" s="41"/>
      <c r="F68" s="41">
        <v>52.83</v>
      </c>
      <c r="G68" s="41"/>
      <c r="H68" s="41"/>
      <c r="I68" s="41"/>
      <c r="J68" s="41"/>
      <c r="K68" s="41"/>
      <c r="L68" s="41"/>
      <c r="M68" s="41"/>
      <c r="N68" s="41">
        <f t="shared" si="42"/>
        <v>52.83</v>
      </c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spans="1:27" x14ac:dyDescent="0.25">
      <c r="A69" t="s">
        <v>28</v>
      </c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>
        <v>171.14</v>
      </c>
      <c r="M69" s="41"/>
      <c r="N69" s="41">
        <f t="shared" si="42"/>
        <v>171.14</v>
      </c>
      <c r="P69" s="9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spans="1:27" x14ac:dyDescent="0.25">
      <c r="A70" t="s">
        <v>35</v>
      </c>
      <c r="B70" s="41"/>
      <c r="C70" s="41"/>
      <c r="D70" s="41"/>
      <c r="E70" s="41"/>
      <c r="F70" s="41"/>
      <c r="G70" s="41"/>
      <c r="H70" s="41"/>
      <c r="I70" s="41">
        <v>56.99</v>
      </c>
      <c r="J70" s="41"/>
      <c r="K70" s="41"/>
      <c r="L70" s="41">
        <v>180.46</v>
      </c>
      <c r="M70" s="41"/>
      <c r="N70" s="41">
        <f t="shared" si="42"/>
        <v>237.45000000000002</v>
      </c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spans="1:27" x14ac:dyDescent="0.25">
      <c r="A71" t="s">
        <v>96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>
        <f t="shared" si="42"/>
        <v>0</v>
      </c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spans="1:27" x14ac:dyDescent="0.25">
      <c r="A72" t="s">
        <v>85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>
        <f t="shared" si="42"/>
        <v>0</v>
      </c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spans="1:27" x14ac:dyDescent="0.25">
      <c r="A73" t="s">
        <v>88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>
        <f t="shared" si="42"/>
        <v>0</v>
      </c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spans="1:27" x14ac:dyDescent="0.25">
      <c r="A74" t="s">
        <v>13</v>
      </c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>
        <f t="shared" si="42"/>
        <v>0</v>
      </c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spans="1:27" x14ac:dyDescent="0.25">
      <c r="A75" s="9" t="s">
        <v>15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>
        <f t="shared" si="42"/>
        <v>0</v>
      </c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spans="1:27" x14ac:dyDescent="0.25">
      <c r="A76" t="s">
        <v>29</v>
      </c>
      <c r="B76" s="41"/>
      <c r="C76" s="41"/>
      <c r="D76" s="41"/>
      <c r="E76" s="41">
        <v>45.62</v>
      </c>
      <c r="F76" s="41"/>
      <c r="G76" s="41"/>
      <c r="H76" s="41"/>
      <c r="I76" s="41"/>
      <c r="J76" s="41"/>
      <c r="K76" s="41"/>
      <c r="L76" s="41"/>
      <c r="M76" s="41"/>
      <c r="N76" s="41">
        <f t="shared" si="42"/>
        <v>45.62</v>
      </c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spans="1:27" x14ac:dyDescent="0.25">
      <c r="A77" t="s">
        <v>82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>
        <f t="shared" si="42"/>
        <v>0</v>
      </c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spans="1:27" x14ac:dyDescent="0.25">
      <c r="A78" t="s">
        <v>6</v>
      </c>
      <c r="B78" s="41"/>
      <c r="C78" s="41"/>
      <c r="D78" s="41"/>
      <c r="E78" s="41">
        <v>13.98</v>
      </c>
      <c r="F78" s="41"/>
      <c r="G78" s="41"/>
      <c r="H78" s="41"/>
      <c r="I78" s="41"/>
      <c r="J78" s="41"/>
      <c r="K78" s="41"/>
      <c r="L78" s="41"/>
      <c r="M78" s="41"/>
      <c r="N78" s="41">
        <f t="shared" si="42"/>
        <v>13.98</v>
      </c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spans="1:27" x14ac:dyDescent="0.25">
      <c r="A79" t="s">
        <v>31</v>
      </c>
      <c r="B79" s="41"/>
      <c r="C79" s="41"/>
      <c r="D79" s="41"/>
      <c r="E79" s="41"/>
      <c r="F79" s="41">
        <v>23.2</v>
      </c>
      <c r="G79" s="41"/>
      <c r="H79" s="41"/>
      <c r="I79" s="41"/>
      <c r="J79" s="41"/>
      <c r="K79" s="41"/>
      <c r="L79" s="41"/>
      <c r="M79" s="41"/>
      <c r="N79" s="41">
        <f t="shared" si="42"/>
        <v>23.2</v>
      </c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spans="1:27" x14ac:dyDescent="0.25">
      <c r="A80" t="s">
        <v>170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>
        <f t="shared" si="42"/>
        <v>0</v>
      </c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spans="1:27" x14ac:dyDescent="0.25">
      <c r="A81" t="s">
        <v>218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>
        <f t="shared" si="42"/>
        <v>0</v>
      </c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spans="1:27" x14ac:dyDescent="0.25">
      <c r="A82" t="s">
        <v>41</v>
      </c>
      <c r="B82" s="41"/>
      <c r="C82" s="41"/>
      <c r="D82" s="41"/>
      <c r="E82" s="41"/>
      <c r="F82" s="41"/>
      <c r="G82" s="41"/>
      <c r="H82" s="41"/>
      <c r="I82" s="41"/>
      <c r="J82" s="41"/>
      <c r="K82" s="41">
        <v>267.98</v>
      </c>
      <c r="L82" s="41"/>
      <c r="M82" s="41"/>
      <c r="N82" s="41">
        <f t="shared" si="42"/>
        <v>267.98</v>
      </c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spans="1:27" x14ac:dyDescent="0.25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>
        <f t="shared" si="42"/>
        <v>0</v>
      </c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spans="1:27" x14ac:dyDescent="0.25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>
        <f t="shared" si="42"/>
        <v>0</v>
      </c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spans="1:27" x14ac:dyDescent="0.25">
      <c r="A85" s="46" t="s">
        <v>47</v>
      </c>
      <c r="B85" s="106">
        <f>SUM(B62:B84)</f>
        <v>0</v>
      </c>
      <c r="C85" s="106">
        <f t="shared" ref="C85" si="43">SUM(C62:C84)</f>
        <v>39.51</v>
      </c>
      <c r="D85" s="106">
        <f t="shared" ref="D85" si="44">SUM(D62:D84)</f>
        <v>106.99</v>
      </c>
      <c r="E85" s="106">
        <f t="shared" ref="E85" si="45">SUM(E62:E84)</f>
        <v>59.599999999999994</v>
      </c>
      <c r="F85" s="106">
        <f t="shared" ref="F85" si="46">SUM(F62:F84)</f>
        <v>119.66</v>
      </c>
      <c r="G85" s="106">
        <f t="shared" ref="G85" si="47">SUM(G62:G84)</f>
        <v>244.71999999999997</v>
      </c>
      <c r="H85" s="106">
        <f t="shared" ref="H85" si="48">SUM(H62:H84)</f>
        <v>113.64</v>
      </c>
      <c r="I85" s="106">
        <f t="shared" ref="I85" si="49">SUM(I62:I84)</f>
        <v>83.61</v>
      </c>
      <c r="J85" s="106">
        <f t="shared" ref="J85" si="50">SUM(J62:J84)</f>
        <v>62.4</v>
      </c>
      <c r="K85" s="106">
        <f t="shared" ref="K85" si="51">SUM(K62:K84)</f>
        <v>267.98</v>
      </c>
      <c r="L85" s="106">
        <f t="shared" ref="L85" si="52">SUM(L62:L84)</f>
        <v>351.6</v>
      </c>
      <c r="M85" s="106">
        <f t="shared" ref="M85" si="53">SUM(M62:M84)</f>
        <v>349.68</v>
      </c>
      <c r="N85" s="106">
        <f>SUM(N62:N84)</f>
        <v>1799.3899999999999</v>
      </c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spans="1:27" x14ac:dyDescent="0.25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>
        <f t="shared" ref="N86" si="54">SUM(B86:M86)</f>
        <v>0</v>
      </c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spans="1:27" x14ac:dyDescent="0.25">
      <c r="A87" s="107" t="s">
        <v>188</v>
      </c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spans="1:27" x14ac:dyDescent="0.25">
      <c r="A88" t="s">
        <v>173</v>
      </c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>
        <f t="shared" ref="N88" si="55">SUM(B88:M88)</f>
        <v>0</v>
      </c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spans="1:27" x14ac:dyDescent="0.25">
      <c r="A89" t="s">
        <v>222</v>
      </c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>
        <f>SUM(B89:M89)</f>
        <v>0</v>
      </c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spans="1:27" x14ac:dyDescent="0.25">
      <c r="A90" t="s">
        <v>180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>
        <f t="shared" ref="N90:N104" si="56">SUM(B90:M90)</f>
        <v>0</v>
      </c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spans="1:27" x14ac:dyDescent="0.25">
      <c r="A91" t="s">
        <v>184</v>
      </c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>
        <f t="shared" si="56"/>
        <v>0</v>
      </c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spans="1:27" x14ac:dyDescent="0.25">
      <c r="A92" t="s">
        <v>234</v>
      </c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>
        <f t="shared" si="56"/>
        <v>0</v>
      </c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spans="1:27" x14ac:dyDescent="0.25">
      <c r="A93" t="s">
        <v>221</v>
      </c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>
        <f t="shared" si="56"/>
        <v>0</v>
      </c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spans="1:27" x14ac:dyDescent="0.25">
      <c r="A94" t="s">
        <v>183</v>
      </c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>
        <f t="shared" si="56"/>
        <v>0</v>
      </c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spans="1:27" x14ac:dyDescent="0.25">
      <c r="A95" t="s">
        <v>220</v>
      </c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>
        <f t="shared" si="56"/>
        <v>0</v>
      </c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spans="1:27" x14ac:dyDescent="0.25">
      <c r="A96" t="s">
        <v>181</v>
      </c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>
        <f t="shared" si="56"/>
        <v>0</v>
      </c>
    </row>
    <row r="97" spans="1:14" x14ac:dyDescent="0.25">
      <c r="A97" t="s">
        <v>186</v>
      </c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>
        <f t="shared" si="56"/>
        <v>0</v>
      </c>
    </row>
    <row r="98" spans="1:14" x14ac:dyDescent="0.25">
      <c r="A98" t="s">
        <v>169</v>
      </c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>
        <f t="shared" si="56"/>
        <v>0</v>
      </c>
    </row>
    <row r="99" spans="1:14" x14ac:dyDescent="0.25">
      <c r="A99" t="s">
        <v>217</v>
      </c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>
        <f t="shared" si="56"/>
        <v>0</v>
      </c>
    </row>
    <row r="100" spans="1:14" x14ac:dyDescent="0.25">
      <c r="A100" t="s">
        <v>267</v>
      </c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>
        <f t="shared" si="56"/>
        <v>0</v>
      </c>
    </row>
    <row r="101" spans="1:14" x14ac:dyDescent="0.25">
      <c r="A101" t="s">
        <v>270</v>
      </c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</row>
    <row r="102" spans="1:14" x14ac:dyDescent="0.25">
      <c r="A102" t="s">
        <v>276</v>
      </c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</row>
    <row r="103" spans="1:14" x14ac:dyDescent="0.25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</row>
    <row r="104" spans="1:14" x14ac:dyDescent="0.25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>
        <f t="shared" si="56"/>
        <v>0</v>
      </c>
    </row>
    <row r="105" spans="1:14" x14ac:dyDescent="0.25">
      <c r="A105" s="46" t="s">
        <v>47</v>
      </c>
      <c r="B105" s="106">
        <f>SUM(B88:B104)</f>
        <v>0</v>
      </c>
      <c r="C105" s="106">
        <f t="shared" ref="C105" si="57">SUM(C88:C104)</f>
        <v>0</v>
      </c>
      <c r="D105" s="106">
        <f t="shared" ref="D105" si="58">SUM(D88:D104)</f>
        <v>0</v>
      </c>
      <c r="E105" s="106">
        <f t="shared" ref="E105" si="59">SUM(E88:E104)</f>
        <v>0</v>
      </c>
      <c r="F105" s="106">
        <f t="shared" ref="F105" si="60">SUM(F88:F104)</f>
        <v>0</v>
      </c>
      <c r="G105" s="106">
        <f t="shared" ref="G105" si="61">SUM(G88:G104)</f>
        <v>0</v>
      </c>
      <c r="H105" s="106">
        <f t="shared" ref="H105" si="62">SUM(H88:H104)</f>
        <v>0</v>
      </c>
      <c r="I105" s="106">
        <f t="shared" ref="I105" si="63">SUM(I88:I104)</f>
        <v>0</v>
      </c>
      <c r="J105" s="106">
        <f t="shared" ref="J105" si="64">SUM(J88:J104)</f>
        <v>0</v>
      </c>
      <c r="K105" s="106">
        <f t="shared" ref="K105" si="65">SUM(K88:K104)</f>
        <v>0</v>
      </c>
      <c r="L105" s="106">
        <f t="shared" ref="L105" si="66">SUM(L88:L104)</f>
        <v>0</v>
      </c>
      <c r="M105" s="106">
        <f t="shared" ref="M105" si="67">SUM(M88:M104)</f>
        <v>0</v>
      </c>
      <c r="N105" s="106">
        <f t="shared" ref="N105" si="68">SUM(N88:N104)</f>
        <v>0</v>
      </c>
    </row>
    <row r="106" spans="1:14" x14ac:dyDescent="0.25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>
        <f t="shared" ref="N106" si="69">SUM(B106:M106)</f>
        <v>0</v>
      </c>
    </row>
    <row r="107" spans="1:14" x14ac:dyDescent="0.25">
      <c r="A107" s="107" t="s">
        <v>100</v>
      </c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</row>
    <row r="108" spans="1:14" x14ac:dyDescent="0.25">
      <c r="A108" t="s">
        <v>223</v>
      </c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>
        <f t="shared" ref="N108:N110" si="70">SUM(B108:M108)</f>
        <v>0</v>
      </c>
    </row>
    <row r="109" spans="1:14" x14ac:dyDescent="0.25">
      <c r="A109" t="s">
        <v>240</v>
      </c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>
        <f t="shared" si="70"/>
        <v>0</v>
      </c>
    </row>
    <row r="110" spans="1:14" x14ac:dyDescent="0.25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>
        <f t="shared" si="70"/>
        <v>0</v>
      </c>
    </row>
    <row r="111" spans="1:14" x14ac:dyDescent="0.25">
      <c r="A111" s="46" t="s">
        <v>47</v>
      </c>
      <c r="B111" s="106">
        <f>SUM(B108:B110)</f>
        <v>0</v>
      </c>
      <c r="C111" s="106">
        <f t="shared" ref="C111" si="71">SUM(C108:C110)</f>
        <v>0</v>
      </c>
      <c r="D111" s="106">
        <f t="shared" ref="D111" si="72">SUM(D108:D110)</f>
        <v>0</v>
      </c>
      <c r="E111" s="106">
        <f t="shared" ref="E111" si="73">SUM(E108:E110)</f>
        <v>0</v>
      </c>
      <c r="F111" s="106">
        <f t="shared" ref="F111" si="74">SUM(F108:F110)</f>
        <v>0</v>
      </c>
      <c r="G111" s="106">
        <f t="shared" ref="G111" si="75">SUM(G108:G110)</f>
        <v>0</v>
      </c>
      <c r="H111" s="106">
        <f t="shared" ref="H111" si="76">SUM(H108:H110)</f>
        <v>0</v>
      </c>
      <c r="I111" s="106">
        <f t="shared" ref="I111" si="77">SUM(I108:I110)</f>
        <v>0</v>
      </c>
      <c r="J111" s="106">
        <f t="shared" ref="J111" si="78">SUM(J108:J110)</f>
        <v>0</v>
      </c>
      <c r="K111" s="106">
        <f t="shared" ref="K111" si="79">SUM(K108:K110)</f>
        <v>0</v>
      </c>
      <c r="L111" s="106">
        <f t="shared" ref="L111" si="80">SUM(L108:L110)</f>
        <v>0</v>
      </c>
      <c r="M111" s="106">
        <f t="shared" ref="M111" si="81">SUM(M108:M110)</f>
        <v>0</v>
      </c>
      <c r="N111" s="106">
        <f t="shared" ref="N111" si="82">SUM(N108:N110)</f>
        <v>0</v>
      </c>
    </row>
    <row r="112" spans="1:14" x14ac:dyDescent="0.25">
      <c r="B112" s="76" t="s">
        <v>42</v>
      </c>
      <c r="C112" s="76" t="s">
        <v>43</v>
      </c>
      <c r="D112" s="76" t="s">
        <v>44</v>
      </c>
      <c r="E112" s="76" t="s">
        <v>45</v>
      </c>
      <c r="F112" s="76" t="s">
        <v>46</v>
      </c>
      <c r="G112" s="76" t="s">
        <v>20</v>
      </c>
      <c r="H112" s="76" t="s">
        <v>21</v>
      </c>
      <c r="I112" s="76" t="s">
        <v>22</v>
      </c>
      <c r="J112" s="76" t="s">
        <v>23</v>
      </c>
      <c r="K112" s="76" t="s">
        <v>24</v>
      </c>
      <c r="L112" s="76" t="s">
        <v>25</v>
      </c>
      <c r="M112" s="76" t="s">
        <v>26</v>
      </c>
      <c r="N112" s="41"/>
    </row>
    <row r="113" spans="1:27" x14ac:dyDescent="0.25">
      <c r="A113" s="46" t="s">
        <v>241</v>
      </c>
      <c r="B113" s="106">
        <f>B85+B105+B111</f>
        <v>0</v>
      </c>
      <c r="C113" s="106">
        <f t="shared" ref="C113:N113" si="83">C85+C105+C111</f>
        <v>39.51</v>
      </c>
      <c r="D113" s="106">
        <f t="shared" si="83"/>
        <v>106.99</v>
      </c>
      <c r="E113" s="106">
        <f t="shared" si="83"/>
        <v>59.599999999999994</v>
      </c>
      <c r="F113" s="106">
        <f t="shared" si="83"/>
        <v>119.66</v>
      </c>
      <c r="G113" s="106">
        <f t="shared" si="83"/>
        <v>244.71999999999997</v>
      </c>
      <c r="H113" s="106">
        <f t="shared" si="83"/>
        <v>113.64</v>
      </c>
      <c r="I113" s="106">
        <f t="shared" si="83"/>
        <v>83.61</v>
      </c>
      <c r="J113" s="106">
        <f t="shared" si="83"/>
        <v>62.4</v>
      </c>
      <c r="K113" s="106">
        <f t="shared" si="83"/>
        <v>267.98</v>
      </c>
      <c r="L113" s="106">
        <f t="shared" si="83"/>
        <v>351.6</v>
      </c>
      <c r="M113" s="106">
        <f t="shared" si="83"/>
        <v>349.68</v>
      </c>
      <c r="N113" s="106">
        <f t="shared" si="83"/>
        <v>1799.3899999999999</v>
      </c>
    </row>
    <row r="117" spans="1:27" ht="15.75" x14ac:dyDescent="0.25">
      <c r="A117" s="51" t="s">
        <v>244</v>
      </c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</row>
    <row r="118" spans="1:27" x14ac:dyDescent="0.25">
      <c r="A118" s="108" t="s">
        <v>1</v>
      </c>
      <c r="B118" s="102" t="s">
        <v>42</v>
      </c>
      <c r="C118" s="102" t="s">
        <v>43</v>
      </c>
      <c r="D118" s="102" t="s">
        <v>44</v>
      </c>
      <c r="E118" s="102" t="s">
        <v>45</v>
      </c>
      <c r="F118" s="102" t="s">
        <v>46</v>
      </c>
      <c r="G118" s="102" t="s">
        <v>20</v>
      </c>
      <c r="H118" s="102" t="s">
        <v>21</v>
      </c>
      <c r="I118" s="102" t="s">
        <v>22</v>
      </c>
      <c r="J118" s="102" t="s">
        <v>23</v>
      </c>
      <c r="K118" s="102" t="s">
        <v>24</v>
      </c>
      <c r="L118" s="102" t="s">
        <v>25</v>
      </c>
      <c r="M118" s="102" t="s">
        <v>26</v>
      </c>
      <c r="N118" s="49" t="s">
        <v>4</v>
      </c>
    </row>
    <row r="119" spans="1:27" x14ac:dyDescent="0.25">
      <c r="A119" s="103" t="s">
        <v>99</v>
      </c>
      <c r="B119" s="104"/>
      <c r="C119" s="104"/>
      <c r="D119" s="104"/>
      <c r="E119" s="104"/>
      <c r="F119" s="104"/>
      <c r="G119" s="104"/>
      <c r="H119" s="104"/>
      <c r="I119" s="104"/>
      <c r="J119" s="105"/>
      <c r="K119" s="104"/>
      <c r="L119" s="104"/>
      <c r="M119" s="104"/>
      <c r="N119" s="104"/>
      <c r="P119" s="9"/>
      <c r="Q119" s="41"/>
      <c r="R119" s="41"/>
      <c r="S119" s="41"/>
      <c r="T119" s="41"/>
      <c r="U119" s="41"/>
      <c r="V119" s="41"/>
      <c r="W119" s="41"/>
      <c r="X119" s="20"/>
      <c r="Y119" s="41"/>
      <c r="Z119" s="41"/>
      <c r="AA119" s="41"/>
    </row>
    <row r="120" spans="1:27" x14ac:dyDescent="0.25">
      <c r="A120" t="s">
        <v>171</v>
      </c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>
        <f>SUM(B120:M120)</f>
        <v>0</v>
      </c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spans="1:27" x14ac:dyDescent="0.25">
      <c r="A121" s="9" t="s">
        <v>5</v>
      </c>
      <c r="B121" s="41"/>
      <c r="C121" s="41">
        <v>9</v>
      </c>
      <c r="D121" s="41">
        <v>32.04</v>
      </c>
      <c r="E121" s="41"/>
      <c r="F121" s="41">
        <v>45.11</v>
      </c>
      <c r="G121" s="41">
        <v>24.64</v>
      </c>
      <c r="H121" s="41"/>
      <c r="I121" s="41"/>
      <c r="J121" s="20">
        <v>34.83</v>
      </c>
      <c r="K121" s="41"/>
      <c r="L121" s="41"/>
      <c r="M121" s="41">
        <v>37.85</v>
      </c>
      <c r="N121" s="41">
        <f>SUM(B121:M121)</f>
        <v>183.47</v>
      </c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spans="1:27" x14ac:dyDescent="0.25">
      <c r="A122" t="s">
        <v>16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>
        <f t="shared" ref="N122:N142" si="84">SUM(B122:M122)</f>
        <v>0</v>
      </c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spans="1:27" x14ac:dyDescent="0.25">
      <c r="A123" t="s">
        <v>17</v>
      </c>
      <c r="B123" s="41"/>
      <c r="C123" s="41"/>
      <c r="D123" s="41"/>
      <c r="E123" s="41"/>
      <c r="F123" s="41"/>
      <c r="G123" s="41">
        <v>36.549999999999997</v>
      </c>
      <c r="H123" s="41"/>
      <c r="I123" s="41"/>
      <c r="J123" s="41"/>
      <c r="K123" s="41"/>
      <c r="L123" s="41"/>
      <c r="M123" s="41">
        <v>216.89</v>
      </c>
      <c r="N123" s="41">
        <f t="shared" si="84"/>
        <v>253.44</v>
      </c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spans="1:27" x14ac:dyDescent="0.25">
      <c r="A124" t="s">
        <v>30</v>
      </c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>
        <f t="shared" si="84"/>
        <v>0</v>
      </c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spans="1:27" x14ac:dyDescent="0.25">
      <c r="A125" t="s">
        <v>182</v>
      </c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>
        <f t="shared" si="84"/>
        <v>0</v>
      </c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spans="1:27" x14ac:dyDescent="0.25">
      <c r="A126" t="s">
        <v>12</v>
      </c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>
        <f t="shared" si="84"/>
        <v>0</v>
      </c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spans="1:27" x14ac:dyDescent="0.25">
      <c r="A127" t="s">
        <v>28</v>
      </c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>
        <f t="shared" si="84"/>
        <v>0</v>
      </c>
      <c r="P127" s="9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spans="1:27" x14ac:dyDescent="0.25">
      <c r="A128" t="s">
        <v>35</v>
      </c>
      <c r="B128" s="41"/>
      <c r="C128" s="41"/>
      <c r="D128" s="41">
        <v>168.91</v>
      </c>
      <c r="E128" s="41"/>
      <c r="F128" s="41">
        <v>200</v>
      </c>
      <c r="G128" s="41">
        <v>262.89999999999998</v>
      </c>
      <c r="H128" s="41"/>
      <c r="I128" s="41">
        <v>109.63</v>
      </c>
      <c r="J128" s="41"/>
      <c r="K128" s="41"/>
      <c r="L128" s="41">
        <v>93.5</v>
      </c>
      <c r="M128" s="41"/>
      <c r="N128" s="41">
        <f t="shared" si="84"/>
        <v>834.93999999999994</v>
      </c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spans="1:27" x14ac:dyDescent="0.25">
      <c r="A129" t="s">
        <v>96</v>
      </c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>
        <f t="shared" si="84"/>
        <v>0</v>
      </c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spans="1:27" x14ac:dyDescent="0.25">
      <c r="A130" t="s">
        <v>85</v>
      </c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>
        <f t="shared" si="84"/>
        <v>0</v>
      </c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spans="1:27" x14ac:dyDescent="0.25">
      <c r="A131" t="s">
        <v>88</v>
      </c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>
        <f t="shared" si="84"/>
        <v>0</v>
      </c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spans="1:27" x14ac:dyDescent="0.25">
      <c r="A132" t="s">
        <v>13</v>
      </c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>
        <f t="shared" si="84"/>
        <v>0</v>
      </c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spans="1:27" x14ac:dyDescent="0.25">
      <c r="A133" s="9" t="s">
        <v>15</v>
      </c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>
        <f t="shared" si="84"/>
        <v>0</v>
      </c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spans="1:27" x14ac:dyDescent="0.25">
      <c r="A134" t="s">
        <v>29</v>
      </c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>
        <f t="shared" si="84"/>
        <v>0</v>
      </c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spans="1:27" x14ac:dyDescent="0.25">
      <c r="A135" t="s">
        <v>82</v>
      </c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>
        <f t="shared" si="84"/>
        <v>0</v>
      </c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spans="1:27" x14ac:dyDescent="0.25">
      <c r="A136" t="s">
        <v>6</v>
      </c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>
        <f t="shared" si="84"/>
        <v>0</v>
      </c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spans="1:27" x14ac:dyDescent="0.25">
      <c r="A137" t="s">
        <v>31</v>
      </c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>
        <f t="shared" si="84"/>
        <v>0</v>
      </c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spans="1:27" x14ac:dyDescent="0.25">
      <c r="A138" t="s">
        <v>170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>
        <f t="shared" si="84"/>
        <v>0</v>
      </c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spans="1:27" x14ac:dyDescent="0.25">
      <c r="A139" t="s">
        <v>218</v>
      </c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>
        <f t="shared" si="84"/>
        <v>0</v>
      </c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spans="1:27" x14ac:dyDescent="0.25">
      <c r="A140" t="s">
        <v>41</v>
      </c>
      <c r="B140" s="41"/>
      <c r="C140" s="41"/>
      <c r="D140" s="41"/>
      <c r="E140" s="41">
        <v>204.6</v>
      </c>
      <c r="F140" s="41"/>
      <c r="G140" s="41"/>
      <c r="H140" s="41"/>
      <c r="I140" s="41"/>
      <c r="J140" s="41"/>
      <c r="K140" s="41"/>
      <c r="L140" s="41"/>
      <c r="M140" s="41"/>
      <c r="N140" s="41">
        <f t="shared" si="84"/>
        <v>204.6</v>
      </c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spans="1:27" x14ac:dyDescent="0.25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>
        <f t="shared" si="84"/>
        <v>0</v>
      </c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spans="1:27" x14ac:dyDescent="0.25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>
        <f t="shared" si="84"/>
        <v>0</v>
      </c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spans="1:27" x14ac:dyDescent="0.25">
      <c r="A143" s="46" t="s">
        <v>47</v>
      </c>
      <c r="B143" s="106">
        <f>SUM(B120:B142)</f>
        <v>0</v>
      </c>
      <c r="C143" s="106">
        <f t="shared" ref="C143" si="85">SUM(C120:C142)</f>
        <v>9</v>
      </c>
      <c r="D143" s="106">
        <f t="shared" ref="D143" si="86">SUM(D120:D142)</f>
        <v>200.95</v>
      </c>
      <c r="E143" s="106">
        <f t="shared" ref="E143" si="87">SUM(E120:E142)</f>
        <v>204.6</v>
      </c>
      <c r="F143" s="106">
        <f t="shared" ref="F143" si="88">SUM(F120:F142)</f>
        <v>245.11</v>
      </c>
      <c r="G143" s="106">
        <f t="shared" ref="G143" si="89">SUM(G120:G142)</f>
        <v>324.08999999999997</v>
      </c>
      <c r="H143" s="106">
        <f t="shared" ref="H143" si="90">SUM(H120:H142)</f>
        <v>0</v>
      </c>
      <c r="I143" s="106">
        <f t="shared" ref="I143" si="91">SUM(I120:I142)</f>
        <v>109.63</v>
      </c>
      <c r="J143" s="106">
        <f t="shared" ref="J143" si="92">SUM(J120:J142)</f>
        <v>34.83</v>
      </c>
      <c r="K143" s="106">
        <f t="shared" ref="K143" si="93">SUM(K120:K142)</f>
        <v>0</v>
      </c>
      <c r="L143" s="106">
        <f t="shared" ref="L143" si="94">SUM(L120:L142)</f>
        <v>93.5</v>
      </c>
      <c r="M143" s="106">
        <f t="shared" ref="M143" si="95">SUM(M120:M142)</f>
        <v>254.73999999999998</v>
      </c>
      <c r="N143" s="106">
        <f>SUM(N120:N142)</f>
        <v>1476.4499999999998</v>
      </c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spans="1:27" x14ac:dyDescent="0.25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>
        <f t="shared" ref="N144" si="96">SUM(B144:M144)</f>
        <v>0</v>
      </c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spans="1:27" x14ac:dyDescent="0.25">
      <c r="A145" s="107" t="s">
        <v>188</v>
      </c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spans="1:27" x14ac:dyDescent="0.25">
      <c r="A146" t="s">
        <v>173</v>
      </c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>
        <f t="shared" ref="N146" si="97">SUM(B146:M146)</f>
        <v>0</v>
      </c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spans="1:27" x14ac:dyDescent="0.25">
      <c r="A147" t="s">
        <v>222</v>
      </c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>
        <f>SUM(B147:M147)</f>
        <v>0</v>
      </c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spans="1:27" x14ac:dyDescent="0.25">
      <c r="A148" t="s">
        <v>180</v>
      </c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>
        <f t="shared" ref="N148:N162" si="98">SUM(B148:M148)</f>
        <v>0</v>
      </c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spans="1:27" x14ac:dyDescent="0.25">
      <c r="A149" t="s">
        <v>184</v>
      </c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>
        <f t="shared" si="98"/>
        <v>0</v>
      </c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spans="1:27" x14ac:dyDescent="0.25">
      <c r="A150" t="s">
        <v>234</v>
      </c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>
        <f t="shared" si="98"/>
        <v>0</v>
      </c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spans="1:27" x14ac:dyDescent="0.25">
      <c r="A151" t="s">
        <v>221</v>
      </c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>
        <f t="shared" si="98"/>
        <v>0</v>
      </c>
    </row>
    <row r="152" spans="1:27" x14ac:dyDescent="0.25">
      <c r="A152" t="s">
        <v>183</v>
      </c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>
        <f t="shared" si="98"/>
        <v>0</v>
      </c>
    </row>
    <row r="153" spans="1:27" x14ac:dyDescent="0.25">
      <c r="A153" t="s">
        <v>220</v>
      </c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>
        <f t="shared" si="98"/>
        <v>0</v>
      </c>
    </row>
    <row r="154" spans="1:27" x14ac:dyDescent="0.25">
      <c r="A154" t="s">
        <v>181</v>
      </c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>
        <f t="shared" si="98"/>
        <v>0</v>
      </c>
    </row>
    <row r="155" spans="1:27" x14ac:dyDescent="0.25">
      <c r="A155" t="s">
        <v>186</v>
      </c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>
        <f t="shared" si="98"/>
        <v>0</v>
      </c>
    </row>
    <row r="156" spans="1:27" x14ac:dyDescent="0.25">
      <c r="A156" t="s">
        <v>169</v>
      </c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>
        <f t="shared" si="98"/>
        <v>0</v>
      </c>
    </row>
    <row r="157" spans="1:27" x14ac:dyDescent="0.25">
      <c r="A157" t="s">
        <v>217</v>
      </c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>
        <f t="shared" si="98"/>
        <v>0</v>
      </c>
    </row>
    <row r="158" spans="1:27" x14ac:dyDescent="0.25">
      <c r="A158" t="s">
        <v>267</v>
      </c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>
        <f t="shared" si="98"/>
        <v>0</v>
      </c>
    </row>
    <row r="159" spans="1:27" x14ac:dyDescent="0.25">
      <c r="A159" t="s">
        <v>270</v>
      </c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</row>
    <row r="160" spans="1:27" x14ac:dyDescent="0.25">
      <c r="A160" t="s">
        <v>276</v>
      </c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</row>
    <row r="161" spans="1:14" x14ac:dyDescent="0.25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</row>
    <row r="162" spans="1:14" x14ac:dyDescent="0.25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>
        <f t="shared" si="98"/>
        <v>0</v>
      </c>
    </row>
    <row r="163" spans="1:14" x14ac:dyDescent="0.25">
      <c r="A163" s="46" t="s">
        <v>47</v>
      </c>
      <c r="B163" s="106">
        <f>SUM(B146:B162)</f>
        <v>0</v>
      </c>
      <c r="C163" s="106">
        <f t="shared" ref="C163" si="99">SUM(C146:C162)</f>
        <v>0</v>
      </c>
      <c r="D163" s="106">
        <f t="shared" ref="D163" si="100">SUM(D146:D162)</f>
        <v>0</v>
      </c>
      <c r="E163" s="106">
        <f t="shared" ref="E163" si="101">SUM(E146:E162)</f>
        <v>0</v>
      </c>
      <c r="F163" s="106">
        <f t="shared" ref="F163" si="102">SUM(F146:F162)</f>
        <v>0</v>
      </c>
      <c r="G163" s="106">
        <f t="shared" ref="G163" si="103">SUM(G146:G162)</f>
        <v>0</v>
      </c>
      <c r="H163" s="106">
        <f t="shared" ref="H163" si="104">SUM(H146:H162)</f>
        <v>0</v>
      </c>
      <c r="I163" s="106">
        <f t="shared" ref="I163" si="105">SUM(I146:I162)</f>
        <v>0</v>
      </c>
      <c r="J163" s="106">
        <f t="shared" ref="J163" si="106">SUM(J146:J162)</f>
        <v>0</v>
      </c>
      <c r="K163" s="106">
        <f t="shared" ref="K163" si="107">SUM(K146:K162)</f>
        <v>0</v>
      </c>
      <c r="L163" s="106">
        <f t="shared" ref="L163" si="108">SUM(L146:L162)</f>
        <v>0</v>
      </c>
      <c r="M163" s="106">
        <f t="shared" ref="M163" si="109">SUM(M146:M162)</f>
        <v>0</v>
      </c>
      <c r="N163" s="106">
        <f t="shared" ref="N163" si="110">SUM(N146:N162)</f>
        <v>0</v>
      </c>
    </row>
    <row r="164" spans="1:14" x14ac:dyDescent="0.25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>
        <f t="shared" ref="N164" si="111">SUM(B164:M164)</f>
        <v>0</v>
      </c>
    </row>
    <row r="165" spans="1:14" x14ac:dyDescent="0.25">
      <c r="A165" s="107" t="s">
        <v>100</v>
      </c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</row>
    <row r="166" spans="1:14" x14ac:dyDescent="0.25">
      <c r="A166" t="s">
        <v>223</v>
      </c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>
        <f t="shared" ref="N166:N168" si="112">SUM(B166:M166)</f>
        <v>0</v>
      </c>
    </row>
    <row r="167" spans="1:14" x14ac:dyDescent="0.25">
      <c r="A167" t="s">
        <v>240</v>
      </c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>
        <f t="shared" si="112"/>
        <v>0</v>
      </c>
    </row>
    <row r="168" spans="1:14" x14ac:dyDescent="0.25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>
        <f t="shared" si="112"/>
        <v>0</v>
      </c>
    </row>
    <row r="169" spans="1:14" x14ac:dyDescent="0.25">
      <c r="A169" s="46" t="s">
        <v>47</v>
      </c>
      <c r="B169" s="106">
        <f>SUM(B166:B168)</f>
        <v>0</v>
      </c>
      <c r="C169" s="106">
        <f t="shared" ref="C169" si="113">SUM(C166:C168)</f>
        <v>0</v>
      </c>
      <c r="D169" s="106">
        <f t="shared" ref="D169" si="114">SUM(D166:D168)</f>
        <v>0</v>
      </c>
      <c r="E169" s="106">
        <f t="shared" ref="E169" si="115">SUM(E166:E168)</f>
        <v>0</v>
      </c>
      <c r="F169" s="106">
        <f t="shared" ref="F169" si="116">SUM(F166:F168)</f>
        <v>0</v>
      </c>
      <c r="G169" s="106">
        <f t="shared" ref="G169" si="117">SUM(G166:G168)</f>
        <v>0</v>
      </c>
      <c r="H169" s="106">
        <f t="shared" ref="H169" si="118">SUM(H166:H168)</f>
        <v>0</v>
      </c>
      <c r="I169" s="106">
        <f t="shared" ref="I169" si="119">SUM(I166:I168)</f>
        <v>0</v>
      </c>
      <c r="J169" s="106">
        <f t="shared" ref="J169" si="120">SUM(J166:J168)</f>
        <v>0</v>
      </c>
      <c r="K169" s="106">
        <f t="shared" ref="K169" si="121">SUM(K166:K168)</f>
        <v>0</v>
      </c>
      <c r="L169" s="106">
        <f t="shared" ref="L169" si="122">SUM(L166:L168)</f>
        <v>0</v>
      </c>
      <c r="M169" s="106">
        <f t="shared" ref="M169" si="123">SUM(M166:M168)</f>
        <v>0</v>
      </c>
      <c r="N169" s="106">
        <f t="shared" ref="N169" si="124">SUM(N166:N168)</f>
        <v>0</v>
      </c>
    </row>
    <row r="170" spans="1:14" x14ac:dyDescent="0.25">
      <c r="B170" s="76" t="s">
        <v>42</v>
      </c>
      <c r="C170" s="76" t="s">
        <v>43</v>
      </c>
      <c r="D170" s="76" t="s">
        <v>44</v>
      </c>
      <c r="E170" s="76" t="s">
        <v>45</v>
      </c>
      <c r="F170" s="76" t="s">
        <v>46</v>
      </c>
      <c r="G170" s="76" t="s">
        <v>20</v>
      </c>
      <c r="H170" s="76" t="s">
        <v>21</v>
      </c>
      <c r="I170" s="76" t="s">
        <v>22</v>
      </c>
      <c r="J170" s="76" t="s">
        <v>23</v>
      </c>
      <c r="K170" s="76" t="s">
        <v>24</v>
      </c>
      <c r="L170" s="76" t="s">
        <v>25</v>
      </c>
      <c r="M170" s="76" t="s">
        <v>26</v>
      </c>
      <c r="N170" s="41"/>
    </row>
    <row r="171" spans="1:14" x14ac:dyDescent="0.25">
      <c r="A171" s="46" t="s">
        <v>241</v>
      </c>
      <c r="B171" s="106">
        <f>B143+B163+B169</f>
        <v>0</v>
      </c>
      <c r="C171" s="106">
        <f t="shared" ref="C171:N171" si="125">C143+C163+C169</f>
        <v>9</v>
      </c>
      <c r="D171" s="106">
        <f t="shared" si="125"/>
        <v>200.95</v>
      </c>
      <c r="E171" s="106">
        <f t="shared" si="125"/>
        <v>204.6</v>
      </c>
      <c r="F171" s="106">
        <f t="shared" si="125"/>
        <v>245.11</v>
      </c>
      <c r="G171" s="106">
        <f t="shared" si="125"/>
        <v>324.08999999999997</v>
      </c>
      <c r="H171" s="106">
        <f t="shared" si="125"/>
        <v>0</v>
      </c>
      <c r="I171" s="106">
        <f t="shared" si="125"/>
        <v>109.63</v>
      </c>
      <c r="J171" s="106">
        <f t="shared" si="125"/>
        <v>34.83</v>
      </c>
      <c r="K171" s="106">
        <f t="shared" si="125"/>
        <v>0</v>
      </c>
      <c r="L171" s="106">
        <f t="shared" si="125"/>
        <v>93.5</v>
      </c>
      <c r="M171" s="106">
        <f t="shared" si="125"/>
        <v>254.73999999999998</v>
      </c>
      <c r="N171" s="106">
        <f t="shared" si="125"/>
        <v>1476.4499999999998</v>
      </c>
    </row>
    <row r="172" spans="1:14" x14ac:dyDescent="0.25">
      <c r="B172" s="20"/>
    </row>
    <row r="173" spans="1:14" x14ac:dyDescent="0.25">
      <c r="B173" s="20"/>
    </row>
    <row r="174" spans="1:14" x14ac:dyDescent="0.25">
      <c r="B174" s="20"/>
    </row>
    <row r="175" spans="1:14" ht="15.75" x14ac:dyDescent="0.25">
      <c r="A175" s="51" t="s">
        <v>243</v>
      </c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1:14" x14ac:dyDescent="0.25">
      <c r="A176" s="108" t="s">
        <v>1</v>
      </c>
      <c r="B176" s="102" t="s">
        <v>42</v>
      </c>
      <c r="C176" s="102" t="s">
        <v>43</v>
      </c>
      <c r="D176" s="102" t="s">
        <v>44</v>
      </c>
      <c r="E176" s="102" t="s">
        <v>45</v>
      </c>
      <c r="F176" s="102" t="s">
        <v>46</v>
      </c>
      <c r="G176" s="102" t="s">
        <v>20</v>
      </c>
      <c r="H176" s="102" t="s">
        <v>21</v>
      </c>
      <c r="I176" s="102" t="s">
        <v>22</v>
      </c>
      <c r="J176" s="102" t="s">
        <v>23</v>
      </c>
      <c r="K176" s="102" t="s">
        <v>24</v>
      </c>
      <c r="L176" s="102" t="s">
        <v>25</v>
      </c>
      <c r="M176" s="102" t="s">
        <v>26</v>
      </c>
      <c r="N176" s="49" t="s">
        <v>4</v>
      </c>
    </row>
    <row r="177" spans="1:28" x14ac:dyDescent="0.25">
      <c r="A177" s="103" t="s">
        <v>99</v>
      </c>
      <c r="B177" s="104"/>
      <c r="C177" s="104"/>
      <c r="D177" s="104"/>
      <c r="E177" s="104"/>
      <c r="F177" s="104"/>
      <c r="G177" s="104"/>
      <c r="H177" s="104"/>
      <c r="I177" s="104"/>
      <c r="J177" s="105"/>
      <c r="K177" s="104"/>
      <c r="L177" s="104"/>
      <c r="M177" s="104"/>
      <c r="N177" s="104"/>
      <c r="Q177" s="9"/>
      <c r="R177" s="41"/>
      <c r="S177" s="41"/>
      <c r="T177" s="41"/>
      <c r="U177" s="41"/>
      <c r="V177" s="41"/>
      <c r="W177" s="41"/>
      <c r="X177" s="41"/>
      <c r="Y177" s="20"/>
      <c r="Z177" s="41"/>
      <c r="AA177" s="41"/>
      <c r="AB177" s="41"/>
    </row>
    <row r="178" spans="1:28" x14ac:dyDescent="0.25">
      <c r="A178" t="s">
        <v>171</v>
      </c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>
        <f>SUM(B178:M178)</f>
        <v>0</v>
      </c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 spans="1:28" x14ac:dyDescent="0.25">
      <c r="A179" s="9" t="s">
        <v>5</v>
      </c>
      <c r="B179" s="41"/>
      <c r="C179" s="41"/>
      <c r="D179" s="41">
        <v>7.69</v>
      </c>
      <c r="E179" s="41"/>
      <c r="F179" s="41"/>
      <c r="G179" s="41">
        <v>40.53</v>
      </c>
      <c r="H179" s="41"/>
      <c r="I179" s="41">
        <v>11.87</v>
      </c>
      <c r="J179" s="20">
        <v>10.77</v>
      </c>
      <c r="K179" s="41"/>
      <c r="L179" s="41">
        <v>9.34</v>
      </c>
      <c r="M179" s="41">
        <v>6.54</v>
      </c>
      <c r="N179" s="41">
        <f>SUM(B179:M179)</f>
        <v>86.740000000000009</v>
      </c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</row>
    <row r="180" spans="1:28" x14ac:dyDescent="0.25">
      <c r="A180" t="s">
        <v>16</v>
      </c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>
        <f t="shared" ref="N180:N200" si="126">SUM(B180:M180)</f>
        <v>0</v>
      </c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 spans="1:28" x14ac:dyDescent="0.25">
      <c r="A181" t="s">
        <v>17</v>
      </c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>
        <v>461.54</v>
      </c>
      <c r="N181" s="41">
        <f t="shared" si="126"/>
        <v>461.54</v>
      </c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</row>
    <row r="182" spans="1:28" x14ac:dyDescent="0.25">
      <c r="A182" t="s">
        <v>30</v>
      </c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>
        <f t="shared" si="126"/>
        <v>0</v>
      </c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</row>
    <row r="183" spans="1:28" x14ac:dyDescent="0.25">
      <c r="A183" t="s">
        <v>182</v>
      </c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>
        <f t="shared" si="126"/>
        <v>0</v>
      </c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</row>
    <row r="184" spans="1:28" x14ac:dyDescent="0.25">
      <c r="A184" t="s">
        <v>12</v>
      </c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>
        <f t="shared" si="126"/>
        <v>0</v>
      </c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</row>
    <row r="185" spans="1:28" x14ac:dyDescent="0.25">
      <c r="A185" t="s">
        <v>28</v>
      </c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>
        <f t="shared" si="126"/>
        <v>0</v>
      </c>
      <c r="Q185" s="9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 spans="1:28" x14ac:dyDescent="0.25">
      <c r="A186" t="s">
        <v>35</v>
      </c>
      <c r="B186" s="41"/>
      <c r="C186" s="41"/>
      <c r="D186" s="41"/>
      <c r="E186" s="41">
        <v>93.5</v>
      </c>
      <c r="F186" s="41"/>
      <c r="G186" s="41"/>
      <c r="H186" s="41"/>
      <c r="I186" s="41"/>
      <c r="J186" s="41"/>
      <c r="K186" s="41"/>
      <c r="L186" s="41"/>
      <c r="M186" s="41"/>
      <c r="N186" s="41">
        <f t="shared" si="126"/>
        <v>93.5</v>
      </c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 spans="1:28" x14ac:dyDescent="0.25">
      <c r="A187" t="s">
        <v>96</v>
      </c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>
        <f t="shared" si="126"/>
        <v>0</v>
      </c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 spans="1:28" x14ac:dyDescent="0.25">
      <c r="A188" t="s">
        <v>85</v>
      </c>
      <c r="B188" s="41"/>
      <c r="C188" s="41"/>
      <c r="D188" s="41"/>
      <c r="E188" s="41"/>
      <c r="F188" s="41"/>
      <c r="G188" s="41"/>
      <c r="H188" s="41"/>
      <c r="I188" s="41">
        <v>13.43</v>
      </c>
      <c r="J188" s="41"/>
      <c r="K188" s="41">
        <v>6</v>
      </c>
      <c r="L188" s="41"/>
      <c r="M188" s="41"/>
      <c r="N188" s="41">
        <f t="shared" si="126"/>
        <v>19.43</v>
      </c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</row>
    <row r="189" spans="1:28" x14ac:dyDescent="0.25">
      <c r="A189" t="s">
        <v>88</v>
      </c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>
        <v>25.55</v>
      </c>
      <c r="M189" s="41"/>
      <c r="N189" s="41">
        <f t="shared" si="126"/>
        <v>25.55</v>
      </c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 spans="1:28" x14ac:dyDescent="0.25">
      <c r="A190" t="s">
        <v>13</v>
      </c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>
        <f t="shared" si="126"/>
        <v>0</v>
      </c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 spans="1:28" x14ac:dyDescent="0.25">
      <c r="A191" s="9" t="s">
        <v>15</v>
      </c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>
        <f t="shared" si="126"/>
        <v>0</v>
      </c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</row>
    <row r="192" spans="1:28" x14ac:dyDescent="0.25">
      <c r="A192" t="s">
        <v>29</v>
      </c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>
        <f t="shared" si="126"/>
        <v>0</v>
      </c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 spans="1:28" x14ac:dyDescent="0.25">
      <c r="A193" t="s">
        <v>82</v>
      </c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>
        <f t="shared" si="126"/>
        <v>0</v>
      </c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 spans="1:28" x14ac:dyDescent="0.25">
      <c r="A194" t="s">
        <v>6</v>
      </c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>
        <f t="shared" si="126"/>
        <v>0</v>
      </c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 spans="1:28" x14ac:dyDescent="0.25">
      <c r="A195" t="s">
        <v>31</v>
      </c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>
        <f t="shared" si="126"/>
        <v>0</v>
      </c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</row>
    <row r="196" spans="1:28" x14ac:dyDescent="0.25">
      <c r="A196" t="s">
        <v>170</v>
      </c>
      <c r="B196" s="41"/>
      <c r="C196" s="41"/>
      <c r="D196" s="41"/>
      <c r="E196" s="41"/>
      <c r="F196" s="41"/>
      <c r="G196" s="41"/>
      <c r="H196" s="41"/>
      <c r="I196" s="41">
        <v>56.56</v>
      </c>
      <c r="J196" s="41"/>
      <c r="K196" s="41"/>
      <c r="L196" s="41"/>
      <c r="M196" s="41">
        <v>193.59</v>
      </c>
      <c r="N196" s="41">
        <f t="shared" si="126"/>
        <v>250.15</v>
      </c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 spans="1:28" x14ac:dyDescent="0.25">
      <c r="A197" t="s">
        <v>218</v>
      </c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>
        <f t="shared" si="126"/>
        <v>0</v>
      </c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 spans="1:28" x14ac:dyDescent="0.25">
      <c r="A198" t="s">
        <v>41</v>
      </c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>
        <f t="shared" si="126"/>
        <v>0</v>
      </c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 spans="1:28" x14ac:dyDescent="0.25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>
        <f t="shared" si="126"/>
        <v>0</v>
      </c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</row>
    <row r="200" spans="1:28" x14ac:dyDescent="0.25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>
        <f t="shared" si="126"/>
        <v>0</v>
      </c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 spans="1:28" x14ac:dyDescent="0.25">
      <c r="A201" s="46" t="s">
        <v>47</v>
      </c>
      <c r="B201" s="106">
        <f>SUM(B178:B200)</f>
        <v>0</v>
      </c>
      <c r="C201" s="106">
        <f t="shared" ref="C201" si="127">SUM(C178:C200)</f>
        <v>0</v>
      </c>
      <c r="D201" s="106">
        <f t="shared" ref="D201" si="128">SUM(D178:D200)</f>
        <v>7.69</v>
      </c>
      <c r="E201" s="106">
        <f t="shared" ref="E201" si="129">SUM(E178:E200)</f>
        <v>93.5</v>
      </c>
      <c r="F201" s="106">
        <f t="shared" ref="F201" si="130">SUM(F178:F200)</f>
        <v>0</v>
      </c>
      <c r="G201" s="106">
        <f t="shared" ref="G201" si="131">SUM(G178:G200)</f>
        <v>40.53</v>
      </c>
      <c r="H201" s="106">
        <f t="shared" ref="H201" si="132">SUM(H178:H200)</f>
        <v>0</v>
      </c>
      <c r="I201" s="106">
        <f t="shared" ref="I201" si="133">SUM(I178:I200)</f>
        <v>81.86</v>
      </c>
      <c r="J201" s="106">
        <f t="shared" ref="J201" si="134">SUM(J178:J200)</f>
        <v>10.77</v>
      </c>
      <c r="K201" s="106">
        <f t="shared" ref="K201" si="135">SUM(K178:K200)</f>
        <v>6</v>
      </c>
      <c r="L201" s="106">
        <f t="shared" ref="L201" si="136">SUM(L178:L200)</f>
        <v>34.89</v>
      </c>
      <c r="M201" s="106">
        <f t="shared" ref="M201" si="137">SUM(M178:M200)</f>
        <v>661.67000000000007</v>
      </c>
      <c r="N201" s="106">
        <f>SUM(N178:N200)</f>
        <v>936.90999999999985</v>
      </c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</row>
    <row r="202" spans="1:28" x14ac:dyDescent="0.25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>
        <f t="shared" ref="N202" si="138">SUM(B202:M202)</f>
        <v>0</v>
      </c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</row>
    <row r="203" spans="1:28" x14ac:dyDescent="0.25">
      <c r="A203" s="107" t="s">
        <v>188</v>
      </c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 spans="1:28" x14ac:dyDescent="0.25">
      <c r="A204" t="s">
        <v>173</v>
      </c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>
        <f t="shared" ref="N204" si="139">SUM(B204:M204)</f>
        <v>0</v>
      </c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 spans="1:28" x14ac:dyDescent="0.25">
      <c r="A205" t="s">
        <v>222</v>
      </c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>
        <f>SUM(B205:M205)</f>
        <v>0</v>
      </c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 spans="1:28" x14ac:dyDescent="0.25">
      <c r="A206" t="s">
        <v>180</v>
      </c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>
        <f t="shared" ref="N206:N220" si="140">SUM(B206:M206)</f>
        <v>0</v>
      </c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 spans="1:28" x14ac:dyDescent="0.25">
      <c r="A207" t="s">
        <v>184</v>
      </c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>
        <f t="shared" si="140"/>
        <v>0</v>
      </c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 spans="1:28" x14ac:dyDescent="0.25">
      <c r="A208" t="s">
        <v>234</v>
      </c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>
        <f t="shared" si="140"/>
        <v>0</v>
      </c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 spans="1:28" x14ac:dyDescent="0.25">
      <c r="A209" t="s">
        <v>221</v>
      </c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>
        <f t="shared" si="140"/>
        <v>0</v>
      </c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 spans="1:28" x14ac:dyDescent="0.25">
      <c r="A210" t="s">
        <v>183</v>
      </c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>
        <f t="shared" si="140"/>
        <v>0</v>
      </c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 spans="1:28" x14ac:dyDescent="0.25">
      <c r="A211" t="s">
        <v>220</v>
      </c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>
        <f t="shared" si="140"/>
        <v>0</v>
      </c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 spans="1:28" x14ac:dyDescent="0.25">
      <c r="A212" t="s">
        <v>181</v>
      </c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>
        <f t="shared" si="140"/>
        <v>0</v>
      </c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 spans="1:28" x14ac:dyDescent="0.25">
      <c r="A213" t="s">
        <v>186</v>
      </c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>
        <f t="shared" si="140"/>
        <v>0</v>
      </c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 spans="1:28" x14ac:dyDescent="0.25">
      <c r="A214" t="s">
        <v>169</v>
      </c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>
        <f t="shared" si="140"/>
        <v>0</v>
      </c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 spans="1:28" x14ac:dyDescent="0.25">
      <c r="A215" t="s">
        <v>217</v>
      </c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>
        <f t="shared" si="140"/>
        <v>0</v>
      </c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</row>
    <row r="216" spans="1:28" x14ac:dyDescent="0.25">
      <c r="A216" t="s">
        <v>267</v>
      </c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>
        <f t="shared" si="140"/>
        <v>0</v>
      </c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 spans="1:28" x14ac:dyDescent="0.25">
      <c r="A217" t="s">
        <v>270</v>
      </c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 spans="1:28" x14ac:dyDescent="0.25">
      <c r="A218" t="s">
        <v>276</v>
      </c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</row>
    <row r="219" spans="1:28" x14ac:dyDescent="0.25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 spans="1:28" x14ac:dyDescent="0.25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>
        <f t="shared" si="140"/>
        <v>0</v>
      </c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</row>
    <row r="221" spans="1:28" x14ac:dyDescent="0.25">
      <c r="A221" s="46" t="s">
        <v>47</v>
      </c>
      <c r="B221" s="106">
        <f>SUM(B204:B220)</f>
        <v>0</v>
      </c>
      <c r="C221" s="106">
        <f t="shared" ref="C221" si="141">SUM(C204:C220)</f>
        <v>0</v>
      </c>
      <c r="D221" s="106">
        <f t="shared" ref="D221" si="142">SUM(D204:D220)</f>
        <v>0</v>
      </c>
      <c r="E221" s="106">
        <f t="shared" ref="E221" si="143">SUM(E204:E220)</f>
        <v>0</v>
      </c>
      <c r="F221" s="106">
        <f t="shared" ref="F221" si="144">SUM(F204:F220)</f>
        <v>0</v>
      </c>
      <c r="G221" s="106">
        <f t="shared" ref="G221" si="145">SUM(G204:G220)</f>
        <v>0</v>
      </c>
      <c r="H221" s="106">
        <f t="shared" ref="H221" si="146">SUM(H204:H220)</f>
        <v>0</v>
      </c>
      <c r="I221" s="106">
        <f t="shared" ref="I221" si="147">SUM(I204:I220)</f>
        <v>0</v>
      </c>
      <c r="J221" s="106">
        <f t="shared" ref="J221" si="148">SUM(J204:J220)</f>
        <v>0</v>
      </c>
      <c r="K221" s="106">
        <f t="shared" ref="K221" si="149">SUM(K204:K220)</f>
        <v>0</v>
      </c>
      <c r="L221" s="106">
        <f t="shared" ref="L221" si="150">SUM(L204:L220)</f>
        <v>0</v>
      </c>
      <c r="M221" s="106">
        <f t="shared" ref="M221" si="151">SUM(M204:M220)</f>
        <v>0</v>
      </c>
      <c r="N221" s="106">
        <f t="shared" ref="N221" si="152">SUM(N204:N220)</f>
        <v>0</v>
      </c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</row>
    <row r="222" spans="1:28" x14ac:dyDescent="0.25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>
        <f t="shared" ref="N222" si="153">SUM(B222:M222)</f>
        <v>0</v>
      </c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</row>
    <row r="223" spans="1:28" x14ac:dyDescent="0.25">
      <c r="A223" s="107" t="s">
        <v>100</v>
      </c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 spans="1:28" x14ac:dyDescent="0.25">
      <c r="A224" t="s">
        <v>223</v>
      </c>
      <c r="B224" s="41"/>
      <c r="C224" s="41"/>
      <c r="D224" s="41"/>
      <c r="E224" s="41"/>
      <c r="F224" s="41"/>
      <c r="G224" s="41"/>
      <c r="H224" s="41"/>
      <c r="I224" s="41">
        <v>17.2</v>
      </c>
      <c r="J224" s="41"/>
      <c r="K224" s="41"/>
      <c r="L224" s="41"/>
      <c r="M224" s="41"/>
      <c r="N224" s="41">
        <f t="shared" ref="N224:N226" si="154">SUM(B224:M224)</f>
        <v>17.2</v>
      </c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 spans="1:28" x14ac:dyDescent="0.25">
      <c r="A225" t="s">
        <v>240</v>
      </c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>
        <f t="shared" si="154"/>
        <v>0</v>
      </c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 spans="1:28" x14ac:dyDescent="0.25"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>
        <f t="shared" si="154"/>
        <v>0</v>
      </c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 spans="1:28" x14ac:dyDescent="0.25">
      <c r="A227" s="46" t="s">
        <v>47</v>
      </c>
      <c r="B227" s="106">
        <f>SUM(B224:B226)</f>
        <v>0</v>
      </c>
      <c r="C227" s="106">
        <f t="shared" ref="C227" si="155">SUM(C224:C226)</f>
        <v>0</v>
      </c>
      <c r="D227" s="106">
        <f t="shared" ref="D227" si="156">SUM(D224:D226)</f>
        <v>0</v>
      </c>
      <c r="E227" s="106">
        <f t="shared" ref="E227" si="157">SUM(E224:E226)</f>
        <v>0</v>
      </c>
      <c r="F227" s="106">
        <f t="shared" ref="F227" si="158">SUM(F224:F226)</f>
        <v>0</v>
      </c>
      <c r="G227" s="106">
        <f t="shared" ref="G227" si="159">SUM(G224:G226)</f>
        <v>0</v>
      </c>
      <c r="H227" s="106">
        <f t="shared" ref="H227" si="160">SUM(H224:H226)</f>
        <v>0</v>
      </c>
      <c r="I227" s="106">
        <f t="shared" ref="I227" si="161">SUM(I224:I226)</f>
        <v>17.2</v>
      </c>
      <c r="J227" s="106">
        <f t="shared" ref="J227" si="162">SUM(J224:J226)</f>
        <v>0</v>
      </c>
      <c r="K227" s="106">
        <f t="shared" ref="K227" si="163">SUM(K224:K226)</f>
        <v>0</v>
      </c>
      <c r="L227" s="106">
        <f t="shared" ref="L227" si="164">SUM(L224:L226)</f>
        <v>0</v>
      </c>
      <c r="M227" s="106">
        <f t="shared" ref="M227" si="165">SUM(M224:M226)</f>
        <v>0</v>
      </c>
      <c r="N227" s="106">
        <f t="shared" ref="N227" si="166">SUM(N224:N226)</f>
        <v>17.2</v>
      </c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</row>
    <row r="228" spans="1:28" x14ac:dyDescent="0.25">
      <c r="B228" s="76" t="s">
        <v>42</v>
      </c>
      <c r="C228" s="76" t="s">
        <v>43</v>
      </c>
      <c r="D228" s="76" t="s">
        <v>44</v>
      </c>
      <c r="E228" s="76" t="s">
        <v>45</v>
      </c>
      <c r="F228" s="76" t="s">
        <v>46</v>
      </c>
      <c r="G228" s="76" t="s">
        <v>20</v>
      </c>
      <c r="H228" s="76" t="s">
        <v>21</v>
      </c>
      <c r="I228" s="76" t="s">
        <v>22</v>
      </c>
      <c r="J228" s="76" t="s">
        <v>23</v>
      </c>
      <c r="K228" s="76" t="s">
        <v>24</v>
      </c>
      <c r="L228" s="76" t="s">
        <v>25</v>
      </c>
      <c r="M228" s="76" t="s">
        <v>26</v>
      </c>
      <c r="N228" s="41"/>
    </row>
    <row r="229" spans="1:28" x14ac:dyDescent="0.25">
      <c r="A229" s="46" t="s">
        <v>241</v>
      </c>
      <c r="B229" s="106">
        <f>B201+B221+B227</f>
        <v>0</v>
      </c>
      <c r="C229" s="106">
        <f t="shared" ref="C229:N229" si="167">C201+C221+C227</f>
        <v>0</v>
      </c>
      <c r="D229" s="106">
        <f t="shared" si="167"/>
        <v>7.69</v>
      </c>
      <c r="E229" s="106">
        <f t="shared" si="167"/>
        <v>93.5</v>
      </c>
      <c r="F229" s="106">
        <f t="shared" si="167"/>
        <v>0</v>
      </c>
      <c r="G229" s="106">
        <f t="shared" si="167"/>
        <v>40.53</v>
      </c>
      <c r="H229" s="106">
        <f t="shared" si="167"/>
        <v>0</v>
      </c>
      <c r="I229" s="106">
        <f t="shared" si="167"/>
        <v>99.06</v>
      </c>
      <c r="J229" s="106">
        <f t="shared" si="167"/>
        <v>10.77</v>
      </c>
      <c r="K229" s="106">
        <f t="shared" si="167"/>
        <v>6</v>
      </c>
      <c r="L229" s="106">
        <f t="shared" si="167"/>
        <v>34.89</v>
      </c>
      <c r="M229" s="106">
        <f t="shared" si="167"/>
        <v>661.67000000000007</v>
      </c>
      <c r="N229" s="106">
        <f t="shared" si="167"/>
        <v>954.1099999999999</v>
      </c>
      <c r="P229" s="82"/>
    </row>
    <row r="230" spans="1:28" x14ac:dyDescent="0.25">
      <c r="P230" s="82"/>
    </row>
    <row r="231" spans="1:28" x14ac:dyDescent="0.25">
      <c r="P231" s="82"/>
    </row>
    <row r="232" spans="1:28" x14ac:dyDescent="0.25">
      <c r="P232" s="82"/>
    </row>
    <row r="233" spans="1:28" ht="15.75" x14ac:dyDescent="0.25">
      <c r="A233" s="51" t="s">
        <v>242</v>
      </c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</row>
    <row r="234" spans="1:28" x14ac:dyDescent="0.25">
      <c r="A234" s="108" t="s">
        <v>1</v>
      </c>
      <c r="B234" s="102" t="s">
        <v>42</v>
      </c>
      <c r="C234" s="102" t="s">
        <v>43</v>
      </c>
      <c r="D234" s="102" t="s">
        <v>44</v>
      </c>
      <c r="E234" s="102" t="s">
        <v>45</v>
      </c>
      <c r="F234" s="102" t="s">
        <v>46</v>
      </c>
      <c r="G234" s="102" t="s">
        <v>20</v>
      </c>
      <c r="H234" s="102" t="s">
        <v>21</v>
      </c>
      <c r="I234" s="102" t="s">
        <v>22</v>
      </c>
      <c r="J234" s="102" t="s">
        <v>23</v>
      </c>
      <c r="K234" s="102" t="s">
        <v>24</v>
      </c>
      <c r="L234" s="102" t="s">
        <v>25</v>
      </c>
      <c r="M234" s="102" t="s">
        <v>26</v>
      </c>
      <c r="N234" s="49" t="s">
        <v>4</v>
      </c>
    </row>
    <row r="235" spans="1:28" x14ac:dyDescent="0.25">
      <c r="A235" s="103" t="s">
        <v>99</v>
      </c>
      <c r="B235" s="104"/>
      <c r="C235" s="104"/>
      <c r="D235" s="104"/>
      <c r="E235" s="104"/>
      <c r="F235" s="104"/>
      <c r="G235" s="104"/>
      <c r="H235" s="104"/>
      <c r="I235" s="104"/>
      <c r="J235" s="105"/>
      <c r="K235" s="104"/>
      <c r="L235" s="104"/>
      <c r="M235" s="104"/>
      <c r="N235" s="104"/>
      <c r="Q235" s="9"/>
      <c r="R235" s="41"/>
      <c r="S235" s="41"/>
      <c r="T235" s="41"/>
      <c r="U235" s="41"/>
      <c r="V235" s="41"/>
      <c r="W235" s="41"/>
      <c r="X235" s="41"/>
      <c r="Y235" s="20"/>
      <c r="Z235" s="41"/>
      <c r="AA235" s="41"/>
      <c r="AB235" s="41"/>
    </row>
    <row r="236" spans="1:28" x14ac:dyDescent="0.25">
      <c r="A236" t="s">
        <v>171</v>
      </c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>
        <f>SUM(B236:M236)</f>
        <v>0</v>
      </c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</row>
    <row r="237" spans="1:28" x14ac:dyDescent="0.25">
      <c r="A237" s="9" t="s">
        <v>5</v>
      </c>
      <c r="B237" s="41"/>
      <c r="C237" s="41"/>
      <c r="D237" s="41">
        <v>8.35</v>
      </c>
      <c r="E237" s="41"/>
      <c r="F237" s="41">
        <v>15.55</v>
      </c>
      <c r="G237" s="41">
        <v>6.68</v>
      </c>
      <c r="H237" s="41"/>
      <c r="I237" s="41">
        <v>20.329999999999998</v>
      </c>
      <c r="J237" s="20">
        <v>6.48</v>
      </c>
      <c r="K237" s="41"/>
      <c r="L237" s="41">
        <v>18.98</v>
      </c>
      <c r="M237" s="41">
        <v>7.02</v>
      </c>
      <c r="N237" s="41">
        <f>SUM(B237:M237)</f>
        <v>83.39</v>
      </c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</row>
    <row r="238" spans="1:28" x14ac:dyDescent="0.25">
      <c r="A238" t="s">
        <v>16</v>
      </c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>
        <f t="shared" ref="N238:N258" si="168">SUM(B238:M238)</f>
        <v>0</v>
      </c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</row>
    <row r="239" spans="1:28" x14ac:dyDescent="0.25">
      <c r="A239" t="s">
        <v>17</v>
      </c>
      <c r="B239" s="41"/>
      <c r="C239" s="41"/>
      <c r="D239" s="41"/>
      <c r="E239" s="41"/>
      <c r="F239" s="41"/>
      <c r="G239" s="41">
        <v>231.03</v>
      </c>
      <c r="H239" s="41"/>
      <c r="I239" s="41"/>
      <c r="J239" s="41"/>
      <c r="K239" s="41"/>
      <c r="L239" s="41"/>
      <c r="M239" s="41">
        <v>231.03</v>
      </c>
      <c r="N239" s="41">
        <f t="shared" si="168"/>
        <v>462.06</v>
      </c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 spans="1:28" x14ac:dyDescent="0.25">
      <c r="A240" t="s">
        <v>30</v>
      </c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>
        <f t="shared" si="168"/>
        <v>0</v>
      </c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 spans="1:28" x14ac:dyDescent="0.25">
      <c r="A241" t="s">
        <v>182</v>
      </c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>
        <f t="shared" si="168"/>
        <v>0</v>
      </c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 spans="1:28" x14ac:dyDescent="0.25">
      <c r="A242" t="s">
        <v>12</v>
      </c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>
        <f t="shared" si="168"/>
        <v>0</v>
      </c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</row>
    <row r="243" spans="1:28" x14ac:dyDescent="0.25">
      <c r="A243" t="s">
        <v>28</v>
      </c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>
        <f t="shared" si="168"/>
        <v>0</v>
      </c>
      <c r="Q243" s="9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 spans="1:28" x14ac:dyDescent="0.25">
      <c r="A244" t="s">
        <v>35</v>
      </c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>
        <f t="shared" si="168"/>
        <v>0</v>
      </c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 spans="1:28" x14ac:dyDescent="0.25">
      <c r="A245" t="s">
        <v>96</v>
      </c>
      <c r="B245" s="41"/>
      <c r="C245" s="41"/>
      <c r="D245" s="41"/>
      <c r="E245" s="41"/>
      <c r="F245" s="41">
        <v>139.83000000000001</v>
      </c>
      <c r="G245" s="41">
        <v>67.989999999999995</v>
      </c>
      <c r="H245" s="41"/>
      <c r="I245" s="41">
        <v>114.7</v>
      </c>
      <c r="J245" s="41"/>
      <c r="K245" s="41">
        <v>114.29</v>
      </c>
      <c r="L245" s="41"/>
      <c r="M245" s="41">
        <v>81.61</v>
      </c>
      <c r="N245" s="41">
        <f t="shared" si="168"/>
        <v>518.41999999999996</v>
      </c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</row>
    <row r="246" spans="1:28" x14ac:dyDescent="0.25">
      <c r="A246" t="s">
        <v>85</v>
      </c>
      <c r="B246" s="41">
        <v>16.5</v>
      </c>
      <c r="C246" s="41"/>
      <c r="D246" s="41">
        <v>363.29</v>
      </c>
      <c r="E246" s="41">
        <v>162.38</v>
      </c>
      <c r="F246" s="41"/>
      <c r="G246" s="41"/>
      <c r="H246" s="41">
        <v>27.33</v>
      </c>
      <c r="I246" s="41">
        <v>135.78</v>
      </c>
      <c r="J246" s="41"/>
      <c r="K246" s="41">
        <v>30.33</v>
      </c>
      <c r="L246" s="41"/>
      <c r="M246" s="41"/>
      <c r="N246" s="41">
        <f t="shared" si="168"/>
        <v>735.61000000000013</v>
      </c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 spans="1:28" x14ac:dyDescent="0.25">
      <c r="A247" t="s">
        <v>88</v>
      </c>
      <c r="B247" s="41"/>
      <c r="C247" s="41">
        <v>51.16</v>
      </c>
      <c r="D247" s="41"/>
      <c r="E247" s="41"/>
      <c r="F247" s="41">
        <v>54.26</v>
      </c>
      <c r="G247" s="41"/>
      <c r="H247" s="41"/>
      <c r="I247" s="41">
        <v>59.76</v>
      </c>
      <c r="J247" s="41"/>
      <c r="K247" s="41"/>
      <c r="L247" s="41">
        <v>98.26</v>
      </c>
      <c r="M247" s="41"/>
      <c r="N247" s="41">
        <f t="shared" si="168"/>
        <v>263.44</v>
      </c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</row>
    <row r="248" spans="1:28" x14ac:dyDescent="0.25">
      <c r="A248" t="s">
        <v>13</v>
      </c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>
        <f t="shared" si="168"/>
        <v>0</v>
      </c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</row>
    <row r="249" spans="1:28" x14ac:dyDescent="0.25">
      <c r="A249" s="9" t="s">
        <v>15</v>
      </c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>
        <f t="shared" si="168"/>
        <v>0</v>
      </c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 spans="1:28" x14ac:dyDescent="0.25">
      <c r="A250" t="s">
        <v>29</v>
      </c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>
        <f t="shared" si="168"/>
        <v>0</v>
      </c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</row>
    <row r="251" spans="1:28" x14ac:dyDescent="0.25">
      <c r="A251" t="s">
        <v>82</v>
      </c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>
        <f t="shared" si="168"/>
        <v>0</v>
      </c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</row>
    <row r="252" spans="1:28" x14ac:dyDescent="0.25">
      <c r="A252" t="s">
        <v>6</v>
      </c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>
        <f t="shared" si="168"/>
        <v>0</v>
      </c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 spans="1:28" x14ac:dyDescent="0.25">
      <c r="A253" t="s">
        <v>31</v>
      </c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>
        <f t="shared" si="168"/>
        <v>0</v>
      </c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 spans="1:28" x14ac:dyDescent="0.25">
      <c r="A254" t="s">
        <v>170</v>
      </c>
      <c r="B254" s="41"/>
      <c r="C254" s="41"/>
      <c r="D254" s="41"/>
      <c r="E254" s="41"/>
      <c r="F254" s="41">
        <f>208.86+193.25</f>
        <v>402.11</v>
      </c>
      <c r="G254" s="41"/>
      <c r="H254" s="41"/>
      <c r="I254" s="41">
        <v>69.09</v>
      </c>
      <c r="J254" s="41"/>
      <c r="K254" s="41"/>
      <c r="L254" s="41">
        <v>107.63</v>
      </c>
      <c r="M254" s="41">
        <v>109.13</v>
      </c>
      <c r="N254" s="41">
        <f t="shared" si="168"/>
        <v>687.96</v>
      </c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 spans="1:28" x14ac:dyDescent="0.25">
      <c r="A255" t="s">
        <v>218</v>
      </c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>
        <f t="shared" si="168"/>
        <v>0</v>
      </c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 spans="1:28" x14ac:dyDescent="0.25">
      <c r="A256" t="s">
        <v>41</v>
      </c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>
        <f t="shared" si="168"/>
        <v>0</v>
      </c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 spans="1:28" x14ac:dyDescent="0.25"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>
        <f t="shared" si="168"/>
        <v>0</v>
      </c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</row>
    <row r="258" spans="1:28" x14ac:dyDescent="0.25"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>
        <f t="shared" si="168"/>
        <v>0</v>
      </c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</row>
    <row r="259" spans="1:28" x14ac:dyDescent="0.25">
      <c r="A259" s="46" t="s">
        <v>47</v>
      </c>
      <c r="B259" s="106">
        <f>SUM(B236:B258)</f>
        <v>16.5</v>
      </c>
      <c r="C259" s="106">
        <f t="shared" ref="C259:N259" si="169">SUM(C236:C258)</f>
        <v>51.16</v>
      </c>
      <c r="D259" s="106">
        <f t="shared" si="169"/>
        <v>371.64000000000004</v>
      </c>
      <c r="E259" s="106">
        <f t="shared" si="169"/>
        <v>162.38</v>
      </c>
      <c r="F259" s="106">
        <f t="shared" si="169"/>
        <v>611.75</v>
      </c>
      <c r="G259" s="106">
        <f t="shared" si="169"/>
        <v>305.7</v>
      </c>
      <c r="H259" s="106">
        <f t="shared" si="169"/>
        <v>27.33</v>
      </c>
      <c r="I259" s="106">
        <f t="shared" si="169"/>
        <v>399.65999999999997</v>
      </c>
      <c r="J259" s="106">
        <f t="shared" si="169"/>
        <v>6.48</v>
      </c>
      <c r="K259" s="106">
        <f t="shared" si="169"/>
        <v>144.62</v>
      </c>
      <c r="L259" s="106">
        <f t="shared" si="169"/>
        <v>224.87</v>
      </c>
      <c r="M259" s="106">
        <f t="shared" si="169"/>
        <v>428.79</v>
      </c>
      <c r="N259" s="106">
        <f t="shared" si="169"/>
        <v>2750.88</v>
      </c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 spans="1:28" x14ac:dyDescent="0.25"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>
        <f t="shared" ref="N260" si="170">SUM(B260:M260)</f>
        <v>0</v>
      </c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 spans="1:28" x14ac:dyDescent="0.25">
      <c r="A261" s="107" t="s">
        <v>188</v>
      </c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 spans="1:28" x14ac:dyDescent="0.25">
      <c r="A262" t="s">
        <v>173</v>
      </c>
      <c r="B262" s="41"/>
      <c r="C262" s="41"/>
      <c r="D262" s="41"/>
      <c r="E262" s="41"/>
      <c r="F262" s="41"/>
      <c r="G262" s="41"/>
      <c r="H262" s="41"/>
      <c r="I262" s="41">
        <v>46.5</v>
      </c>
      <c r="J262" s="41">
        <v>75</v>
      </c>
      <c r="K262" s="41">
        <v>101.47</v>
      </c>
      <c r="L262" s="41">
        <v>126.22</v>
      </c>
      <c r="M262" s="41">
        <v>155.91999999999999</v>
      </c>
      <c r="N262" s="41">
        <f t="shared" ref="N262" si="171">SUM(B262:M262)</f>
        <v>505.11</v>
      </c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 spans="1:28" x14ac:dyDescent="0.25">
      <c r="A263" t="s">
        <v>222</v>
      </c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>
        <f>SUM(B263:M263)</f>
        <v>0</v>
      </c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 spans="1:28" x14ac:dyDescent="0.25">
      <c r="A264" t="s">
        <v>180</v>
      </c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>
        <f t="shared" ref="N264:N274" si="172">SUM(B264:M264)</f>
        <v>0</v>
      </c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 spans="1:28" x14ac:dyDescent="0.25">
      <c r="A265" t="s">
        <v>184</v>
      </c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>
        <f t="shared" si="172"/>
        <v>0</v>
      </c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 spans="1:28" x14ac:dyDescent="0.25">
      <c r="A266" t="s">
        <v>234</v>
      </c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>
        <f t="shared" si="172"/>
        <v>0</v>
      </c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 spans="1:28" x14ac:dyDescent="0.25">
      <c r="A267" t="s">
        <v>221</v>
      </c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>
        <f t="shared" si="172"/>
        <v>0</v>
      </c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</row>
    <row r="268" spans="1:28" x14ac:dyDescent="0.25">
      <c r="A268" t="s">
        <v>183</v>
      </c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>
        <f t="shared" si="172"/>
        <v>0</v>
      </c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</row>
    <row r="269" spans="1:28" x14ac:dyDescent="0.25">
      <c r="A269" t="s">
        <v>220</v>
      </c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>
        <f t="shared" si="172"/>
        <v>0</v>
      </c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</row>
    <row r="270" spans="1:28" x14ac:dyDescent="0.25">
      <c r="A270" t="s">
        <v>181</v>
      </c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>
        <f t="shared" si="172"/>
        <v>0</v>
      </c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</row>
    <row r="271" spans="1:28" x14ac:dyDescent="0.25">
      <c r="A271" t="s">
        <v>186</v>
      </c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>
        <f t="shared" si="172"/>
        <v>0</v>
      </c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 spans="1:28" x14ac:dyDescent="0.25">
      <c r="A272" t="s">
        <v>169</v>
      </c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>
        <v>12.2</v>
      </c>
      <c r="N272" s="41">
        <f t="shared" si="172"/>
        <v>12.2</v>
      </c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 spans="1:28" x14ac:dyDescent="0.25">
      <c r="A273" t="s">
        <v>217</v>
      </c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>
        <f t="shared" si="172"/>
        <v>0</v>
      </c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</row>
    <row r="274" spans="1:28" x14ac:dyDescent="0.25">
      <c r="A274" t="s">
        <v>267</v>
      </c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>
        <f t="shared" si="172"/>
        <v>0</v>
      </c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 spans="1:28" x14ac:dyDescent="0.25">
      <c r="A275" t="s">
        <v>270</v>
      </c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</row>
    <row r="276" spans="1:28" x14ac:dyDescent="0.25">
      <c r="A276" t="s">
        <v>276</v>
      </c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</row>
    <row r="277" spans="1:28" x14ac:dyDescent="0.25"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 spans="1:28" x14ac:dyDescent="0.25"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</row>
    <row r="279" spans="1:28" x14ac:dyDescent="0.25">
      <c r="A279" s="46" t="s">
        <v>47</v>
      </c>
      <c r="B279" s="106">
        <f>SUM(B262:B278)</f>
        <v>0</v>
      </c>
      <c r="C279" s="106">
        <f t="shared" ref="C279:M279" si="173">SUM(C262:C278)</f>
        <v>0</v>
      </c>
      <c r="D279" s="106">
        <f t="shared" si="173"/>
        <v>0</v>
      </c>
      <c r="E279" s="106">
        <f t="shared" si="173"/>
        <v>0</v>
      </c>
      <c r="F279" s="106">
        <f t="shared" si="173"/>
        <v>0</v>
      </c>
      <c r="G279" s="106">
        <f t="shared" si="173"/>
        <v>0</v>
      </c>
      <c r="H279" s="106">
        <f t="shared" si="173"/>
        <v>0</v>
      </c>
      <c r="I279" s="106">
        <f t="shared" si="173"/>
        <v>46.5</v>
      </c>
      <c r="J279" s="106">
        <f t="shared" si="173"/>
        <v>75</v>
      </c>
      <c r="K279" s="106">
        <f t="shared" si="173"/>
        <v>101.47</v>
      </c>
      <c r="L279" s="106">
        <f t="shared" si="173"/>
        <v>126.22</v>
      </c>
      <c r="M279" s="106">
        <f t="shared" si="173"/>
        <v>168.11999999999998</v>
      </c>
      <c r="N279" s="106">
        <f>SUM(N262:N278)</f>
        <v>517.31000000000006</v>
      </c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 spans="1:28" x14ac:dyDescent="0.25"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</row>
    <row r="281" spans="1:28" x14ac:dyDescent="0.25">
      <c r="A281" s="107" t="s">
        <v>100</v>
      </c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</row>
    <row r="282" spans="1:28" x14ac:dyDescent="0.25">
      <c r="A282" t="s">
        <v>223</v>
      </c>
      <c r="B282" s="41"/>
      <c r="C282" s="41">
        <v>161.59</v>
      </c>
      <c r="D282" s="41"/>
      <c r="E282" s="41"/>
      <c r="F282" s="41"/>
      <c r="G282" s="41"/>
      <c r="H282" s="41"/>
      <c r="I282" s="41">
        <v>288.45</v>
      </c>
      <c r="J282" s="41"/>
      <c r="K282" s="41"/>
      <c r="L282" s="41"/>
      <c r="M282" s="41"/>
      <c r="N282" s="41">
        <f>SUM(B282:M282)</f>
        <v>450.03999999999996</v>
      </c>
    </row>
    <row r="283" spans="1:28" x14ac:dyDescent="0.25">
      <c r="A283" t="s">
        <v>240</v>
      </c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>
        <f t="shared" ref="N283:N284" si="174">SUM(B283:M283)</f>
        <v>0</v>
      </c>
    </row>
    <row r="284" spans="1:28" x14ac:dyDescent="0.25"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>
        <f t="shared" si="174"/>
        <v>0</v>
      </c>
      <c r="Q284" s="82"/>
    </row>
    <row r="285" spans="1:28" x14ac:dyDescent="0.25">
      <c r="A285" s="46" t="s">
        <v>47</v>
      </c>
      <c r="B285" s="106">
        <f>SUM(B282:B284)</f>
        <v>0</v>
      </c>
      <c r="C285" s="106">
        <f t="shared" ref="C285:M285" si="175">SUM(C282:C284)</f>
        <v>161.59</v>
      </c>
      <c r="D285" s="106">
        <f t="shared" si="175"/>
        <v>0</v>
      </c>
      <c r="E285" s="106">
        <f t="shared" si="175"/>
        <v>0</v>
      </c>
      <c r="F285" s="106">
        <f t="shared" si="175"/>
        <v>0</v>
      </c>
      <c r="G285" s="106">
        <f t="shared" si="175"/>
        <v>0</v>
      </c>
      <c r="H285" s="106">
        <f t="shared" si="175"/>
        <v>0</v>
      </c>
      <c r="I285" s="106">
        <f t="shared" si="175"/>
        <v>288.45</v>
      </c>
      <c r="J285" s="106">
        <f t="shared" si="175"/>
        <v>0</v>
      </c>
      <c r="K285" s="106">
        <f t="shared" si="175"/>
        <v>0</v>
      </c>
      <c r="L285" s="106">
        <f t="shared" si="175"/>
        <v>0</v>
      </c>
      <c r="M285" s="106">
        <f t="shared" si="175"/>
        <v>0</v>
      </c>
      <c r="N285" s="106">
        <f>SUM(N282:N284)</f>
        <v>450.03999999999996</v>
      </c>
      <c r="Q285" s="82"/>
    </row>
    <row r="286" spans="1:28" x14ac:dyDescent="0.25">
      <c r="B286" s="76" t="s">
        <v>42</v>
      </c>
      <c r="C286" s="76" t="s">
        <v>43</v>
      </c>
      <c r="D286" s="76" t="s">
        <v>44</v>
      </c>
      <c r="E286" s="76" t="s">
        <v>45</v>
      </c>
      <c r="F286" s="76" t="s">
        <v>46</v>
      </c>
      <c r="G286" s="76" t="s">
        <v>20</v>
      </c>
      <c r="H286" s="76" t="s">
        <v>21</v>
      </c>
      <c r="I286" s="76" t="s">
        <v>22</v>
      </c>
      <c r="J286" s="76" t="s">
        <v>23</v>
      </c>
      <c r="K286" s="76" t="s">
        <v>24</v>
      </c>
      <c r="L286" s="76" t="s">
        <v>25</v>
      </c>
      <c r="M286" s="76" t="s">
        <v>26</v>
      </c>
      <c r="N286" s="41"/>
      <c r="Q286" s="82"/>
    </row>
    <row r="287" spans="1:28" x14ac:dyDescent="0.25">
      <c r="A287" s="46" t="s">
        <v>241</v>
      </c>
      <c r="B287" s="106">
        <f>B259+B279+B285</f>
        <v>16.5</v>
      </c>
      <c r="C287" s="106">
        <f t="shared" ref="C287:M287" si="176">C259+C279+C285</f>
        <v>212.75</v>
      </c>
      <c r="D287" s="106">
        <f t="shared" si="176"/>
        <v>371.64000000000004</v>
      </c>
      <c r="E287" s="106">
        <f t="shared" si="176"/>
        <v>162.38</v>
      </c>
      <c r="F287" s="106">
        <f t="shared" si="176"/>
        <v>611.75</v>
      </c>
      <c r="G287" s="106">
        <f t="shared" si="176"/>
        <v>305.7</v>
      </c>
      <c r="H287" s="106">
        <f t="shared" si="176"/>
        <v>27.33</v>
      </c>
      <c r="I287" s="106">
        <f t="shared" si="176"/>
        <v>734.6099999999999</v>
      </c>
      <c r="J287" s="106">
        <f t="shared" si="176"/>
        <v>81.48</v>
      </c>
      <c r="K287" s="106">
        <f t="shared" si="176"/>
        <v>246.09</v>
      </c>
      <c r="L287" s="106">
        <f t="shared" si="176"/>
        <v>351.09000000000003</v>
      </c>
      <c r="M287" s="106">
        <f t="shared" si="176"/>
        <v>596.91</v>
      </c>
      <c r="N287" s="106">
        <f>N259+N279+N285</f>
        <v>3718.23</v>
      </c>
      <c r="Q287" s="82"/>
    </row>
    <row r="288" spans="1:28" x14ac:dyDescent="0.25">
      <c r="B288" s="20"/>
      <c r="I288" s="20"/>
      <c r="Q288" s="82"/>
    </row>
    <row r="289" spans="1:28" x14ac:dyDescent="0.25">
      <c r="B289" s="20"/>
      <c r="Q289" s="82"/>
    </row>
    <row r="290" spans="1:28" x14ac:dyDescent="0.25">
      <c r="B290" s="20"/>
      <c r="Q290" s="82"/>
    </row>
    <row r="291" spans="1:28" ht="15.75" x14ac:dyDescent="0.25">
      <c r="A291" s="51" t="s">
        <v>239</v>
      </c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P291" s="82"/>
    </row>
    <row r="292" spans="1:28" x14ac:dyDescent="0.25">
      <c r="A292" s="108" t="s">
        <v>1</v>
      </c>
      <c r="B292" s="102" t="s">
        <v>42</v>
      </c>
      <c r="C292" s="102" t="s">
        <v>43</v>
      </c>
      <c r="D292" s="102" t="s">
        <v>44</v>
      </c>
      <c r="E292" s="102" t="s">
        <v>45</v>
      </c>
      <c r="F292" s="102" t="s">
        <v>46</v>
      </c>
      <c r="G292" s="102" t="s">
        <v>20</v>
      </c>
      <c r="H292" s="102" t="s">
        <v>21</v>
      </c>
      <c r="I292" s="102" t="s">
        <v>22</v>
      </c>
      <c r="J292" s="102" t="s">
        <v>23</v>
      </c>
      <c r="K292" s="102" t="s">
        <v>24</v>
      </c>
      <c r="L292" s="102" t="s">
        <v>25</v>
      </c>
      <c r="M292" s="102" t="s">
        <v>26</v>
      </c>
      <c r="N292" s="49" t="s">
        <v>4</v>
      </c>
    </row>
    <row r="293" spans="1:28" x14ac:dyDescent="0.25">
      <c r="A293" s="103" t="s">
        <v>99</v>
      </c>
      <c r="B293" s="104"/>
      <c r="C293" s="104"/>
      <c r="D293" s="104"/>
      <c r="E293" s="104"/>
      <c r="F293" s="104"/>
      <c r="G293" s="104"/>
      <c r="H293" s="104"/>
      <c r="I293" s="104"/>
      <c r="J293" s="105"/>
      <c r="K293" s="104"/>
      <c r="L293" s="104"/>
      <c r="M293" s="104"/>
      <c r="N293" s="104"/>
    </row>
    <row r="294" spans="1:28" x14ac:dyDescent="0.25">
      <c r="A294" t="s">
        <v>171</v>
      </c>
      <c r="B294" s="41"/>
      <c r="C294" s="41">
        <v>135.66</v>
      </c>
      <c r="D294" s="41"/>
      <c r="E294" s="41"/>
      <c r="F294" s="41"/>
      <c r="G294" s="41"/>
      <c r="H294" s="41"/>
      <c r="I294" s="41">
        <v>188.19</v>
      </c>
      <c r="J294" s="41"/>
      <c r="K294" s="41"/>
      <c r="L294" s="41"/>
      <c r="M294" s="41"/>
      <c r="N294" s="41">
        <f>SUM(B294:M294)</f>
        <v>323.85000000000002</v>
      </c>
    </row>
    <row r="295" spans="1:28" x14ac:dyDescent="0.25">
      <c r="A295" s="9" t="s">
        <v>5</v>
      </c>
      <c r="B295" s="41"/>
      <c r="C295" s="41"/>
      <c r="D295" s="41">
        <f>20.87+6.95</f>
        <v>27.82</v>
      </c>
      <c r="E295" s="41"/>
      <c r="F295" s="41">
        <v>18.190000000000001</v>
      </c>
      <c r="G295" s="41">
        <v>6.57</v>
      </c>
      <c r="H295" s="41"/>
      <c r="I295" s="41">
        <v>22.9</v>
      </c>
      <c r="J295" s="20">
        <v>7.26</v>
      </c>
      <c r="K295" s="41"/>
      <c r="L295" s="41">
        <v>35.44</v>
      </c>
      <c r="M295" s="41">
        <v>10.68</v>
      </c>
      <c r="N295" s="41">
        <f>SUM(B295:M295)</f>
        <v>128.86000000000001</v>
      </c>
    </row>
    <row r="296" spans="1:28" x14ac:dyDescent="0.25">
      <c r="A296" t="s">
        <v>16</v>
      </c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>
        <f t="shared" ref="N296:N319" si="177">SUM(B296:M296)</f>
        <v>0</v>
      </c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 spans="1:28" x14ac:dyDescent="0.25">
      <c r="A297" t="s">
        <v>17</v>
      </c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>
        <v>76.430000000000007</v>
      </c>
      <c r="N297" s="41">
        <f t="shared" si="177"/>
        <v>76.430000000000007</v>
      </c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 spans="1:28" x14ac:dyDescent="0.25">
      <c r="A298" t="s">
        <v>30</v>
      </c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>
        <f t="shared" si="177"/>
        <v>0</v>
      </c>
      <c r="P298" s="82"/>
    </row>
    <row r="299" spans="1:28" x14ac:dyDescent="0.25">
      <c r="A299" t="s">
        <v>182</v>
      </c>
      <c r="B299" s="41"/>
      <c r="C299" s="41"/>
      <c r="D299" s="41"/>
      <c r="E299" s="41"/>
      <c r="F299" s="41">
        <v>74.55</v>
      </c>
      <c r="G299" s="41"/>
      <c r="H299" s="41"/>
      <c r="I299" s="41"/>
      <c r="J299" s="41"/>
      <c r="K299" s="41"/>
      <c r="L299" s="41">
        <v>139.71</v>
      </c>
      <c r="M299" s="41"/>
      <c r="N299" s="41">
        <f t="shared" si="177"/>
        <v>214.26</v>
      </c>
    </row>
    <row r="300" spans="1:28" x14ac:dyDescent="0.25">
      <c r="A300" t="s">
        <v>12</v>
      </c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>
        <f t="shared" si="177"/>
        <v>0</v>
      </c>
    </row>
    <row r="301" spans="1:28" x14ac:dyDescent="0.25">
      <c r="A301" t="s">
        <v>28</v>
      </c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>
        <f t="shared" si="177"/>
        <v>0</v>
      </c>
    </row>
    <row r="302" spans="1:28" x14ac:dyDescent="0.25">
      <c r="A302" t="s">
        <v>35</v>
      </c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>
        <f t="shared" si="177"/>
        <v>0</v>
      </c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spans="1:28" x14ac:dyDescent="0.25">
      <c r="A303" t="s">
        <v>96</v>
      </c>
      <c r="B303" s="41"/>
      <c r="C303" s="41"/>
      <c r="D303" s="41"/>
      <c r="E303" s="41"/>
      <c r="F303" s="41">
        <v>68.56</v>
      </c>
      <c r="G303" s="41">
        <v>98.72</v>
      </c>
      <c r="H303" s="41"/>
      <c r="I303" s="41"/>
      <c r="J303" s="41"/>
      <c r="K303" s="41"/>
      <c r="L303" s="41">
        <v>123.9</v>
      </c>
      <c r="M303" s="41"/>
      <c r="N303" s="41">
        <f t="shared" si="177"/>
        <v>291.18</v>
      </c>
      <c r="P303" s="20"/>
    </row>
    <row r="304" spans="1:28" x14ac:dyDescent="0.25">
      <c r="A304" t="s">
        <v>85</v>
      </c>
      <c r="B304" s="41"/>
      <c r="C304" s="41"/>
      <c r="D304" s="41">
        <v>1154.55</v>
      </c>
      <c r="E304" s="41">
        <v>374.07</v>
      </c>
      <c r="F304" s="41"/>
      <c r="G304" s="41"/>
      <c r="H304" s="41">
        <v>34.119999999999997</v>
      </c>
      <c r="I304" s="41">
        <f>458.16+18.77</f>
        <v>476.93</v>
      </c>
      <c r="J304" s="41"/>
      <c r="K304" s="41">
        <v>35.61</v>
      </c>
      <c r="L304" s="41"/>
      <c r="M304" s="41"/>
      <c r="N304" s="41">
        <f t="shared" si="177"/>
        <v>2075.2799999999997</v>
      </c>
    </row>
    <row r="305" spans="1:29" x14ac:dyDescent="0.25">
      <c r="A305" t="s">
        <v>88</v>
      </c>
      <c r="B305" s="41"/>
      <c r="C305" s="41">
        <v>107.36</v>
      </c>
      <c r="D305" s="41"/>
      <c r="E305" s="41"/>
      <c r="F305" s="41">
        <v>95.3</v>
      </c>
      <c r="G305" s="41"/>
      <c r="H305" s="41"/>
      <c r="I305" s="41">
        <v>110.97</v>
      </c>
      <c r="J305" s="41"/>
      <c r="K305" s="41"/>
      <c r="L305" s="41">
        <v>188.25</v>
      </c>
      <c r="M305" s="41"/>
      <c r="N305" s="41">
        <f t="shared" si="177"/>
        <v>501.88</v>
      </c>
    </row>
    <row r="306" spans="1:29" x14ac:dyDescent="0.25">
      <c r="A306" t="s">
        <v>13</v>
      </c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>
        <f t="shared" si="177"/>
        <v>0</v>
      </c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 spans="1:29" x14ac:dyDescent="0.25">
      <c r="A307" s="9" t="s">
        <v>15</v>
      </c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>
        <f t="shared" si="177"/>
        <v>0</v>
      </c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 spans="1:29" x14ac:dyDescent="0.25">
      <c r="A308" t="s">
        <v>29</v>
      </c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>
        <f t="shared" si="177"/>
        <v>0</v>
      </c>
      <c r="P308" s="20"/>
    </row>
    <row r="309" spans="1:29" x14ac:dyDescent="0.25">
      <c r="A309" t="s">
        <v>82</v>
      </c>
      <c r="B309" s="41"/>
      <c r="C309" s="41"/>
      <c r="D309" s="41"/>
      <c r="E309" s="41"/>
      <c r="F309" s="41">
        <v>8.5</v>
      </c>
      <c r="G309" s="41"/>
      <c r="H309" s="41"/>
      <c r="I309" s="41">
        <v>8.5</v>
      </c>
      <c r="J309" s="41"/>
      <c r="K309" s="41"/>
      <c r="L309" s="41"/>
      <c r="M309" s="41">
        <v>17</v>
      </c>
      <c r="N309" s="41">
        <f t="shared" si="177"/>
        <v>34</v>
      </c>
    </row>
    <row r="310" spans="1:29" x14ac:dyDescent="0.25">
      <c r="A310" t="s">
        <v>6</v>
      </c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>
        <f t="shared" si="177"/>
        <v>0</v>
      </c>
      <c r="P310" s="20"/>
      <c r="R310" s="52"/>
      <c r="Y310" s="3"/>
      <c r="AA310" s="73"/>
      <c r="AC310" s="1"/>
    </row>
    <row r="311" spans="1:29" x14ac:dyDescent="0.25">
      <c r="A311" t="s">
        <v>31</v>
      </c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>
        <f t="shared" si="177"/>
        <v>0</v>
      </c>
      <c r="P311" s="20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1"/>
    </row>
    <row r="312" spans="1:29" x14ac:dyDescent="0.25">
      <c r="A312" t="s">
        <v>170</v>
      </c>
      <c r="B312" s="41"/>
      <c r="C312" s="41"/>
      <c r="D312" s="41"/>
      <c r="E312" s="41"/>
      <c r="F312" s="41">
        <f>265.92+313.92+93.3</f>
        <v>673.14</v>
      </c>
      <c r="G312" s="41"/>
      <c r="H312" s="41"/>
      <c r="I312" s="41">
        <f>166.59+111.84</f>
        <v>278.43</v>
      </c>
      <c r="J312" s="41"/>
      <c r="K312" s="41"/>
      <c r="L312" s="41">
        <v>444.73</v>
      </c>
      <c r="M312" s="41">
        <v>212.11</v>
      </c>
      <c r="N312" s="41">
        <f t="shared" si="177"/>
        <v>1608.4099999999999</v>
      </c>
      <c r="P312" s="20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1"/>
    </row>
    <row r="313" spans="1:29" x14ac:dyDescent="0.25">
      <c r="A313" t="s">
        <v>218</v>
      </c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>
        <v>10.01</v>
      </c>
      <c r="M313" s="110"/>
      <c r="N313" s="41">
        <f t="shared" si="177"/>
        <v>10.01</v>
      </c>
      <c r="P313" s="20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1"/>
    </row>
    <row r="314" spans="1:29" x14ac:dyDescent="0.25">
      <c r="A314" t="s">
        <v>41</v>
      </c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>
        <f t="shared" si="177"/>
        <v>0</v>
      </c>
      <c r="P314" s="20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1"/>
    </row>
    <row r="315" spans="1:29" x14ac:dyDescent="0.25"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P315" s="20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1"/>
    </row>
    <row r="316" spans="1:29" x14ac:dyDescent="0.25">
      <c r="A316" s="46" t="s">
        <v>47</v>
      </c>
      <c r="B316" s="106">
        <f t="shared" ref="B316:N316" si="178">SUM(B294:B315)</f>
        <v>0</v>
      </c>
      <c r="C316" s="106">
        <f t="shared" si="178"/>
        <v>243.01999999999998</v>
      </c>
      <c r="D316" s="106">
        <f t="shared" si="178"/>
        <v>1182.3699999999999</v>
      </c>
      <c r="E316" s="106">
        <f t="shared" si="178"/>
        <v>374.07</v>
      </c>
      <c r="F316" s="106">
        <f t="shared" si="178"/>
        <v>938.24</v>
      </c>
      <c r="G316" s="106">
        <f t="shared" si="178"/>
        <v>105.28999999999999</v>
      </c>
      <c r="H316" s="106">
        <f t="shared" si="178"/>
        <v>34.119999999999997</v>
      </c>
      <c r="I316" s="106">
        <f t="shared" si="178"/>
        <v>1085.92</v>
      </c>
      <c r="J316" s="106">
        <f t="shared" si="178"/>
        <v>7.26</v>
      </c>
      <c r="K316" s="106">
        <f t="shared" si="178"/>
        <v>35.61</v>
      </c>
      <c r="L316" s="106">
        <f t="shared" si="178"/>
        <v>942.04</v>
      </c>
      <c r="M316" s="106">
        <f>SUM(M294:M315)</f>
        <v>316.22000000000003</v>
      </c>
      <c r="N316" s="106">
        <f t="shared" si="178"/>
        <v>5264.16</v>
      </c>
      <c r="P316" s="20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1"/>
    </row>
    <row r="317" spans="1:29" x14ac:dyDescent="0.25"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P317" s="20"/>
      <c r="Y317" s="3"/>
      <c r="AA317" s="73"/>
      <c r="AC317" s="1"/>
    </row>
    <row r="318" spans="1:29" x14ac:dyDescent="0.25">
      <c r="A318" s="107" t="s">
        <v>188</v>
      </c>
      <c r="B318" s="109" t="s">
        <v>42</v>
      </c>
      <c r="C318" s="109" t="s">
        <v>43</v>
      </c>
      <c r="D318" s="109" t="s">
        <v>44</v>
      </c>
      <c r="E318" s="109" t="s">
        <v>45</v>
      </c>
      <c r="F318" s="109" t="s">
        <v>46</v>
      </c>
      <c r="G318" s="109" t="s">
        <v>20</v>
      </c>
      <c r="H318" s="109" t="s">
        <v>21</v>
      </c>
      <c r="I318" s="109" t="s">
        <v>22</v>
      </c>
      <c r="J318" s="109" t="s">
        <v>23</v>
      </c>
      <c r="K318" s="109" t="s">
        <v>24</v>
      </c>
      <c r="L318" s="109" t="s">
        <v>25</v>
      </c>
      <c r="M318" s="109" t="s">
        <v>26</v>
      </c>
      <c r="N318" s="104"/>
      <c r="P318" s="20"/>
      <c r="Y318" s="3"/>
      <c r="AA318" s="73"/>
      <c r="AC318" s="1"/>
    </row>
    <row r="319" spans="1:29" x14ac:dyDescent="0.25">
      <c r="A319" t="s">
        <v>173</v>
      </c>
      <c r="B319" s="41">
        <v>183.18</v>
      </c>
      <c r="C319" s="41">
        <v>185.62</v>
      </c>
      <c r="D319" s="41">
        <v>222.75</v>
      </c>
      <c r="E319" s="41">
        <v>247.5</v>
      </c>
      <c r="F319" s="41">
        <v>255</v>
      </c>
      <c r="G319" s="41">
        <v>255</v>
      </c>
      <c r="H319" s="41">
        <v>255</v>
      </c>
      <c r="I319" s="41">
        <v>265</v>
      </c>
      <c r="J319" s="41">
        <v>275.60000000000002</v>
      </c>
      <c r="K319" s="41">
        <v>275.60000000000002</v>
      </c>
      <c r="L319" s="41">
        <v>275.60000000000002</v>
      </c>
      <c r="M319" s="41">
        <v>301.60000000000002</v>
      </c>
      <c r="N319" s="41">
        <f t="shared" si="177"/>
        <v>2997.45</v>
      </c>
      <c r="Q319" s="20"/>
      <c r="Y319" s="3"/>
      <c r="AC319" s="1"/>
    </row>
    <row r="320" spans="1:29" x14ac:dyDescent="0.25">
      <c r="A320" t="s">
        <v>222</v>
      </c>
      <c r="B320" s="41"/>
      <c r="C320" s="41"/>
      <c r="D320" s="41"/>
      <c r="E320" s="41"/>
      <c r="F320" s="41"/>
      <c r="G320" s="41"/>
      <c r="H320" s="41"/>
      <c r="I320" s="41">
        <v>5.36</v>
      </c>
      <c r="J320" s="41">
        <v>9</v>
      </c>
      <c r="K320" s="41">
        <v>9</v>
      </c>
      <c r="L320" s="41">
        <v>10.199999999999999</v>
      </c>
      <c r="M320" s="41">
        <v>13.8</v>
      </c>
      <c r="N320" s="41">
        <f>SUM(B320:M320)</f>
        <v>47.36</v>
      </c>
      <c r="Q320" s="20"/>
      <c r="Y320" s="5"/>
      <c r="AC320" s="1"/>
    </row>
    <row r="321" spans="1:25" x14ac:dyDescent="0.25">
      <c r="A321" t="s">
        <v>180</v>
      </c>
      <c r="B321" s="41"/>
      <c r="C321" s="41"/>
      <c r="D321" s="41">
        <v>2.41</v>
      </c>
      <c r="E321" s="41">
        <v>2.6</v>
      </c>
      <c r="F321" s="41">
        <v>3.07</v>
      </c>
      <c r="G321" s="41">
        <v>5.45</v>
      </c>
      <c r="H321" s="41">
        <v>4.47</v>
      </c>
      <c r="I321" s="41">
        <v>8.4600000000000009</v>
      </c>
      <c r="J321" s="41">
        <v>11.65</v>
      </c>
      <c r="K321" s="41">
        <v>16.68</v>
      </c>
      <c r="L321" s="41">
        <v>22.8</v>
      </c>
      <c r="M321" s="41">
        <v>25.65</v>
      </c>
      <c r="N321" s="41">
        <f t="shared" ref="N321:N341" si="179">SUM(B321:M321)</f>
        <v>103.24000000000001</v>
      </c>
      <c r="Q321" s="20"/>
    </row>
    <row r="322" spans="1:25" x14ac:dyDescent="0.25">
      <c r="A322" t="s">
        <v>184</v>
      </c>
      <c r="B322" s="41"/>
      <c r="C322" s="41"/>
      <c r="D322" s="41"/>
      <c r="E322" s="41"/>
      <c r="F322" s="41"/>
      <c r="G322" s="41">
        <v>37.5</v>
      </c>
      <c r="H322" s="41">
        <v>49.99</v>
      </c>
      <c r="I322" s="41">
        <v>58.33</v>
      </c>
      <c r="J322" s="41">
        <v>66.400000000000006</v>
      </c>
      <c r="K322" s="41">
        <v>74.989999999999995</v>
      </c>
      <c r="L322" s="41">
        <v>79.16</v>
      </c>
      <c r="M322" s="41">
        <v>79.17</v>
      </c>
      <c r="N322" s="41">
        <f t="shared" si="179"/>
        <v>445.54</v>
      </c>
      <c r="Q322" s="20"/>
    </row>
    <row r="323" spans="1:25" x14ac:dyDescent="0.25">
      <c r="A323" t="s">
        <v>234</v>
      </c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>
        <v>19.760000000000002</v>
      </c>
      <c r="M323" s="41">
        <v>20.52</v>
      </c>
      <c r="N323" s="41">
        <f t="shared" si="179"/>
        <v>40.28</v>
      </c>
      <c r="Q323" s="20"/>
      <c r="Y323" s="5"/>
    </row>
    <row r="324" spans="1:25" x14ac:dyDescent="0.25">
      <c r="A324" t="s">
        <v>221</v>
      </c>
      <c r="B324" s="41"/>
      <c r="C324" s="41"/>
      <c r="D324" s="41"/>
      <c r="E324" s="41"/>
      <c r="F324" s="41"/>
      <c r="G324" s="41"/>
      <c r="H324" s="41"/>
      <c r="I324" s="41">
        <v>4</v>
      </c>
      <c r="J324" s="41">
        <v>9.1</v>
      </c>
      <c r="K324" s="41">
        <v>14</v>
      </c>
      <c r="L324" s="41">
        <v>15.06</v>
      </c>
      <c r="M324" s="41">
        <v>15.06</v>
      </c>
      <c r="N324" s="41">
        <f t="shared" si="179"/>
        <v>57.220000000000006</v>
      </c>
      <c r="Q324" s="20"/>
    </row>
    <row r="325" spans="1:25" x14ac:dyDescent="0.25">
      <c r="A325" t="s">
        <v>183</v>
      </c>
      <c r="B325" s="41"/>
      <c r="C325" s="41"/>
      <c r="D325" s="41"/>
      <c r="E325" s="41">
        <v>6.73</v>
      </c>
      <c r="F325" s="41">
        <v>6.16</v>
      </c>
      <c r="G325" s="41">
        <v>8.6199999999999992</v>
      </c>
      <c r="H325" s="41">
        <v>3.85</v>
      </c>
      <c r="I325" s="41">
        <v>7.61</v>
      </c>
      <c r="J325" s="41">
        <v>5.41</v>
      </c>
      <c r="K325" s="41">
        <v>7.33</v>
      </c>
      <c r="L325" s="41">
        <v>4.3899999999999997</v>
      </c>
      <c r="M325" s="41">
        <v>4.43</v>
      </c>
      <c r="N325" s="41">
        <f t="shared" si="179"/>
        <v>54.529999999999994</v>
      </c>
      <c r="Q325" s="20"/>
    </row>
    <row r="326" spans="1:25" x14ac:dyDescent="0.25">
      <c r="A326" t="s">
        <v>220</v>
      </c>
      <c r="B326" s="41"/>
      <c r="C326" s="41"/>
      <c r="D326" s="41"/>
      <c r="E326" s="41"/>
      <c r="F326" s="41"/>
      <c r="G326" s="41"/>
      <c r="H326" s="41"/>
      <c r="I326" s="41">
        <v>3.52</v>
      </c>
      <c r="J326" s="41">
        <v>7.1</v>
      </c>
      <c r="K326" s="41">
        <v>7.5</v>
      </c>
      <c r="L326" s="41">
        <v>12</v>
      </c>
      <c r="M326" s="41">
        <v>16</v>
      </c>
      <c r="N326" s="41">
        <f t="shared" si="179"/>
        <v>46.12</v>
      </c>
      <c r="Q326" s="20"/>
    </row>
    <row r="327" spans="1:25" x14ac:dyDescent="0.25">
      <c r="A327" t="s">
        <v>181</v>
      </c>
      <c r="B327" s="41"/>
      <c r="C327" s="41"/>
      <c r="D327" s="41"/>
      <c r="E327" s="41">
        <v>12.4</v>
      </c>
      <c r="F327" s="41">
        <v>12.4</v>
      </c>
      <c r="G327" s="41">
        <v>25.2</v>
      </c>
      <c r="H327" s="41">
        <v>32.130000000000003</v>
      </c>
      <c r="I327" s="41">
        <v>39.04</v>
      </c>
      <c r="J327" s="41">
        <v>44.8</v>
      </c>
      <c r="K327" s="41">
        <v>44.8</v>
      </c>
      <c r="L327" s="41">
        <v>44.8</v>
      </c>
      <c r="M327" s="41">
        <v>44.8</v>
      </c>
      <c r="N327" s="41">
        <f t="shared" si="179"/>
        <v>300.37</v>
      </c>
      <c r="Q327" s="20"/>
    </row>
    <row r="328" spans="1:25" x14ac:dyDescent="0.25">
      <c r="A328" t="s">
        <v>186</v>
      </c>
      <c r="B328" s="41"/>
      <c r="C328" s="41"/>
      <c r="D328" s="41"/>
      <c r="E328" s="41"/>
      <c r="F328" s="41"/>
      <c r="G328" s="41"/>
      <c r="H328" s="41">
        <v>11</v>
      </c>
      <c r="I328" s="41">
        <v>16.5</v>
      </c>
      <c r="J328" s="41">
        <v>22</v>
      </c>
      <c r="K328" s="41">
        <v>22</v>
      </c>
      <c r="L328" s="41">
        <v>27.5</v>
      </c>
      <c r="M328" s="41">
        <v>39.65</v>
      </c>
      <c r="N328" s="41">
        <f t="shared" si="179"/>
        <v>138.65</v>
      </c>
      <c r="Q328" s="20"/>
    </row>
    <row r="329" spans="1:25" x14ac:dyDescent="0.25">
      <c r="A329" t="s">
        <v>169</v>
      </c>
      <c r="B329" s="41">
        <v>24.4</v>
      </c>
      <c r="C329" s="41">
        <v>24.4</v>
      </c>
      <c r="D329" s="41">
        <v>30.5</v>
      </c>
      <c r="E329" s="41">
        <v>30.5</v>
      </c>
      <c r="F329" s="41">
        <v>30.5</v>
      </c>
      <c r="G329" s="41">
        <v>36.6</v>
      </c>
      <c r="H329" s="41">
        <v>42.7</v>
      </c>
      <c r="I329" s="41">
        <v>42.7</v>
      </c>
      <c r="J329" s="41">
        <v>42.7</v>
      </c>
      <c r="K329" s="41">
        <v>48.8</v>
      </c>
      <c r="L329" s="41">
        <v>54.9</v>
      </c>
      <c r="M329" s="41">
        <v>57.4</v>
      </c>
      <c r="N329" s="41">
        <f t="shared" si="179"/>
        <v>466.09999999999997</v>
      </c>
      <c r="Q329" s="20"/>
    </row>
    <row r="330" spans="1:25" x14ac:dyDescent="0.25">
      <c r="A330" t="s">
        <v>217</v>
      </c>
      <c r="B330" s="41"/>
      <c r="C330" s="41"/>
      <c r="D330" s="41"/>
      <c r="E330" s="41"/>
      <c r="F330" s="41"/>
      <c r="G330" s="41"/>
      <c r="H330" s="41"/>
      <c r="I330" s="41">
        <v>1.34</v>
      </c>
      <c r="J330" s="41">
        <v>5</v>
      </c>
      <c r="K330" s="41">
        <v>16.100000000000001</v>
      </c>
      <c r="L330" s="41">
        <v>18</v>
      </c>
      <c r="M330" s="41">
        <v>25.8</v>
      </c>
      <c r="N330" s="41">
        <f t="shared" si="179"/>
        <v>66.239999999999995</v>
      </c>
      <c r="Q330" s="20"/>
    </row>
    <row r="331" spans="1:25" x14ac:dyDescent="0.25">
      <c r="A331" t="s">
        <v>267</v>
      </c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>
        <f t="shared" si="179"/>
        <v>0</v>
      </c>
    </row>
    <row r="332" spans="1:25" x14ac:dyDescent="0.25">
      <c r="A332" t="s">
        <v>270</v>
      </c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>
        <f t="shared" si="179"/>
        <v>0</v>
      </c>
    </row>
    <row r="333" spans="1:25" x14ac:dyDescent="0.25">
      <c r="A333" t="s">
        <v>276</v>
      </c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</row>
    <row r="334" spans="1:25" x14ac:dyDescent="0.25"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</row>
    <row r="335" spans="1:25" x14ac:dyDescent="0.25"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</row>
    <row r="336" spans="1:25" x14ac:dyDescent="0.25">
      <c r="A336" s="46" t="s">
        <v>47</v>
      </c>
      <c r="B336" s="106">
        <f>SUM(B319:B332)</f>
        <v>207.58</v>
      </c>
      <c r="C336" s="106">
        <f t="shared" ref="C336:N336" si="180">SUM(C319:C332)</f>
        <v>210.02</v>
      </c>
      <c r="D336" s="106">
        <f t="shared" si="180"/>
        <v>255.66</v>
      </c>
      <c r="E336" s="106">
        <f t="shared" si="180"/>
        <v>299.72999999999996</v>
      </c>
      <c r="F336" s="106">
        <f t="shared" si="180"/>
        <v>307.13</v>
      </c>
      <c r="G336" s="106">
        <f t="shared" si="180"/>
        <v>368.37</v>
      </c>
      <c r="H336" s="106">
        <f t="shared" si="180"/>
        <v>399.14000000000004</v>
      </c>
      <c r="I336" s="106">
        <f t="shared" si="180"/>
        <v>451.85999999999996</v>
      </c>
      <c r="J336" s="106">
        <f t="shared" si="180"/>
        <v>498.76000000000005</v>
      </c>
      <c r="K336" s="106">
        <f t="shared" si="180"/>
        <v>536.80000000000007</v>
      </c>
      <c r="L336" s="106">
        <f t="shared" si="180"/>
        <v>584.16999999999996</v>
      </c>
      <c r="M336" s="106">
        <f t="shared" si="180"/>
        <v>643.87999999999988</v>
      </c>
      <c r="N336" s="106">
        <f t="shared" si="180"/>
        <v>4763.1000000000004</v>
      </c>
      <c r="P336" s="20"/>
    </row>
    <row r="337" spans="1:19" x14ac:dyDescent="0.25"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P337" s="20"/>
    </row>
    <row r="338" spans="1:19" x14ac:dyDescent="0.25">
      <c r="A338" s="107" t="s">
        <v>100</v>
      </c>
      <c r="B338" s="109" t="s">
        <v>42</v>
      </c>
      <c r="C338" s="109" t="s">
        <v>43</v>
      </c>
      <c r="D338" s="109" t="s">
        <v>44</v>
      </c>
      <c r="E338" s="109" t="s">
        <v>45</v>
      </c>
      <c r="F338" s="109" t="s">
        <v>46</v>
      </c>
      <c r="G338" s="109" t="s">
        <v>20</v>
      </c>
      <c r="H338" s="109" t="s">
        <v>21</v>
      </c>
      <c r="I338" s="109" t="s">
        <v>22</v>
      </c>
      <c r="J338" s="109" t="s">
        <v>23</v>
      </c>
      <c r="K338" s="109" t="s">
        <v>24</v>
      </c>
      <c r="L338" s="109" t="s">
        <v>25</v>
      </c>
      <c r="M338" s="109" t="s">
        <v>26</v>
      </c>
      <c r="N338" s="104"/>
      <c r="P338" s="20"/>
    </row>
    <row r="339" spans="1:19" x14ac:dyDescent="0.25">
      <c r="A339" t="s">
        <v>223</v>
      </c>
      <c r="B339" s="41"/>
      <c r="C339" s="41">
        <v>354.23</v>
      </c>
      <c r="D339" s="41"/>
      <c r="E339" s="41"/>
      <c r="F339" s="41"/>
      <c r="G339" s="41"/>
      <c r="H339" s="41"/>
      <c r="I339" s="41">
        <v>397.23</v>
      </c>
      <c r="J339" s="41"/>
      <c r="K339" s="41"/>
      <c r="L339" s="41"/>
      <c r="M339" s="41"/>
      <c r="N339" s="41">
        <f t="shared" si="179"/>
        <v>751.46</v>
      </c>
      <c r="P339" s="20"/>
    </row>
    <row r="340" spans="1:19" x14ac:dyDescent="0.25">
      <c r="A340" t="s">
        <v>240</v>
      </c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>
        <f t="shared" si="179"/>
        <v>0</v>
      </c>
      <c r="P340" s="20"/>
    </row>
    <row r="341" spans="1:19" x14ac:dyDescent="0.25"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>
        <f t="shared" si="179"/>
        <v>0</v>
      </c>
      <c r="P341" s="20"/>
    </row>
    <row r="342" spans="1:19" x14ac:dyDescent="0.25">
      <c r="A342" s="46" t="s">
        <v>47</v>
      </c>
      <c r="B342" s="106">
        <f>SUM(B339:B341)</f>
        <v>0</v>
      </c>
      <c r="C342" s="106">
        <f t="shared" ref="C342:N342" si="181">SUM(C339:C341)</f>
        <v>354.23</v>
      </c>
      <c r="D342" s="106">
        <f t="shared" si="181"/>
        <v>0</v>
      </c>
      <c r="E342" s="106">
        <f t="shared" si="181"/>
        <v>0</v>
      </c>
      <c r="F342" s="106">
        <f t="shared" si="181"/>
        <v>0</v>
      </c>
      <c r="G342" s="106">
        <f t="shared" si="181"/>
        <v>0</v>
      </c>
      <c r="H342" s="106">
        <f t="shared" si="181"/>
        <v>0</v>
      </c>
      <c r="I342" s="106">
        <f t="shared" si="181"/>
        <v>397.23</v>
      </c>
      <c r="J342" s="106">
        <f t="shared" si="181"/>
        <v>0</v>
      </c>
      <c r="K342" s="106">
        <f t="shared" si="181"/>
        <v>0</v>
      </c>
      <c r="L342" s="106">
        <f t="shared" si="181"/>
        <v>0</v>
      </c>
      <c r="M342" s="106">
        <f t="shared" si="181"/>
        <v>0</v>
      </c>
      <c r="N342" s="106">
        <f t="shared" si="181"/>
        <v>751.46</v>
      </c>
      <c r="P342" s="20"/>
      <c r="Q342" s="7"/>
      <c r="R342" s="17"/>
      <c r="S342" s="17"/>
    </row>
    <row r="343" spans="1:19" x14ac:dyDescent="0.25"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41"/>
      <c r="P343" s="20"/>
      <c r="Q343" s="7"/>
      <c r="R343" s="17"/>
      <c r="S343" s="17"/>
    </row>
    <row r="344" spans="1:19" x14ac:dyDescent="0.25">
      <c r="A344" s="46" t="s">
        <v>241</v>
      </c>
      <c r="B344" s="106">
        <f>B316+B336+B342</f>
        <v>207.58</v>
      </c>
      <c r="C344" s="106">
        <f t="shared" ref="C344:M344" si="182">C316+C336+C342</f>
        <v>807.27</v>
      </c>
      <c r="D344" s="106">
        <f t="shared" si="182"/>
        <v>1438.03</v>
      </c>
      <c r="E344" s="106">
        <f t="shared" si="182"/>
        <v>673.8</v>
      </c>
      <c r="F344" s="106">
        <f t="shared" si="182"/>
        <v>1245.3699999999999</v>
      </c>
      <c r="G344" s="106">
        <f t="shared" si="182"/>
        <v>473.65999999999997</v>
      </c>
      <c r="H344" s="106">
        <f t="shared" si="182"/>
        <v>433.26000000000005</v>
      </c>
      <c r="I344" s="106">
        <f t="shared" si="182"/>
        <v>1935.01</v>
      </c>
      <c r="J344" s="106">
        <f t="shared" si="182"/>
        <v>506.02000000000004</v>
      </c>
      <c r="K344" s="106">
        <f t="shared" si="182"/>
        <v>572.41000000000008</v>
      </c>
      <c r="L344" s="106">
        <f t="shared" si="182"/>
        <v>1526.21</v>
      </c>
      <c r="M344" s="106">
        <f t="shared" si="182"/>
        <v>960.09999999999991</v>
      </c>
      <c r="N344" s="106">
        <f>N316+N336+N342</f>
        <v>10778.720000000001</v>
      </c>
      <c r="P344" s="20"/>
      <c r="Q344" s="7"/>
      <c r="R344" s="17"/>
      <c r="S344" s="17"/>
    </row>
    <row r="345" spans="1:19" x14ac:dyDescent="0.25">
      <c r="H345" s="20"/>
      <c r="I345" s="20"/>
      <c r="J345" s="20"/>
      <c r="P345" s="20"/>
      <c r="R345" s="17"/>
      <c r="S345" s="17"/>
    </row>
    <row r="346" spans="1:19" x14ac:dyDescent="0.25">
      <c r="H346" s="20"/>
      <c r="I346" s="20"/>
      <c r="J346" s="20"/>
      <c r="P346" s="20"/>
      <c r="R346" s="17"/>
      <c r="S346" s="17"/>
    </row>
    <row r="347" spans="1:19" x14ac:dyDescent="0.25">
      <c r="P347" s="82"/>
      <c r="R347" s="17"/>
      <c r="S347" s="17"/>
    </row>
    <row r="348" spans="1:19" x14ac:dyDescent="0.25">
      <c r="R348" s="17"/>
      <c r="S348" s="17"/>
    </row>
    <row r="349" spans="1:19" x14ac:dyDescent="0.25">
      <c r="R349" s="17"/>
      <c r="S349" s="17"/>
    </row>
    <row r="350" spans="1:19" x14ac:dyDescent="0.25">
      <c r="R350" s="17"/>
      <c r="S350" s="17"/>
    </row>
    <row r="351" spans="1:19" x14ac:dyDescent="0.25">
      <c r="R351" s="17"/>
      <c r="S351" s="17"/>
    </row>
    <row r="352" spans="1:19" ht="15.75" x14ac:dyDescent="0.25">
      <c r="A352" s="51" t="s">
        <v>255</v>
      </c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R352" s="17"/>
      <c r="S352" s="17"/>
    </row>
    <row r="353" spans="1:19" x14ac:dyDescent="0.25">
      <c r="A353" s="108" t="s">
        <v>1</v>
      </c>
      <c r="B353" s="102" t="s">
        <v>42</v>
      </c>
      <c r="C353" s="102" t="s">
        <v>43</v>
      </c>
      <c r="D353" s="102" t="s">
        <v>44</v>
      </c>
      <c r="E353" s="102" t="s">
        <v>45</v>
      </c>
      <c r="F353" s="102" t="s">
        <v>46</v>
      </c>
      <c r="G353" s="102" t="s">
        <v>20</v>
      </c>
      <c r="H353" s="102" t="s">
        <v>21</v>
      </c>
      <c r="I353" s="102" t="s">
        <v>22</v>
      </c>
      <c r="J353" s="102" t="s">
        <v>23</v>
      </c>
      <c r="K353" s="102" t="s">
        <v>24</v>
      </c>
      <c r="L353" s="102" t="s">
        <v>25</v>
      </c>
      <c r="M353" s="102" t="s">
        <v>26</v>
      </c>
      <c r="N353" s="49" t="s">
        <v>4</v>
      </c>
      <c r="R353" s="17"/>
      <c r="S353" s="17"/>
    </row>
    <row r="354" spans="1:19" x14ac:dyDescent="0.25">
      <c r="A354" s="103" t="s">
        <v>99</v>
      </c>
      <c r="B354" s="104"/>
      <c r="C354" s="104"/>
      <c r="D354" s="104"/>
      <c r="E354" s="104"/>
      <c r="F354" s="104"/>
      <c r="G354" s="104"/>
      <c r="H354" s="104"/>
      <c r="I354" s="104"/>
      <c r="J354" s="105"/>
      <c r="K354" s="104"/>
      <c r="L354" s="104"/>
      <c r="M354" s="104"/>
      <c r="N354" s="104"/>
      <c r="P354" s="82"/>
      <c r="R354" s="17"/>
      <c r="S354" s="17"/>
    </row>
    <row r="355" spans="1:19" x14ac:dyDescent="0.25">
      <c r="A355" t="s">
        <v>171</v>
      </c>
      <c r="B355" s="41"/>
      <c r="C355" s="41">
        <v>359.65</v>
      </c>
      <c r="D355" s="41"/>
      <c r="E355" s="41"/>
      <c r="F355" s="41"/>
      <c r="G355" s="41"/>
      <c r="H355" s="41">
        <v>385.35</v>
      </c>
      <c r="I355" s="41"/>
      <c r="J355" s="41"/>
      <c r="K355" s="41"/>
      <c r="L355" s="41"/>
      <c r="M355" s="41"/>
      <c r="N355" s="41">
        <f>SUM(B355:M355)</f>
        <v>745</v>
      </c>
      <c r="R355" s="17"/>
      <c r="S355" s="17"/>
    </row>
    <row r="356" spans="1:19" x14ac:dyDescent="0.25">
      <c r="A356" s="9" t="s">
        <v>5</v>
      </c>
      <c r="B356" s="41"/>
      <c r="C356" s="41"/>
      <c r="D356" s="41">
        <f>49.76+0.51+13.27</f>
        <v>63.539999999999992</v>
      </c>
      <c r="E356" s="41"/>
      <c r="F356" s="41">
        <v>35.229999999999997</v>
      </c>
      <c r="G356" s="41">
        <v>14.54</v>
      </c>
      <c r="H356" s="41"/>
      <c r="I356" s="41">
        <f>0.37+37.52</f>
        <v>37.89</v>
      </c>
      <c r="J356" s="20">
        <v>19.8</v>
      </c>
      <c r="K356" s="41"/>
      <c r="L356" s="41">
        <v>31.03</v>
      </c>
      <c r="M356" s="41">
        <v>14.97</v>
      </c>
      <c r="N356" s="41">
        <f>SUM(B356:M356)</f>
        <v>217</v>
      </c>
      <c r="R356" s="17"/>
      <c r="S356" s="17"/>
    </row>
    <row r="357" spans="1:19" x14ac:dyDescent="0.25">
      <c r="A357" t="s">
        <v>16</v>
      </c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>
        <f t="shared" ref="N357:N374" si="183">SUM(B357:M357)</f>
        <v>0</v>
      </c>
      <c r="R357" s="17"/>
      <c r="S357" s="17"/>
    </row>
    <row r="358" spans="1:19" x14ac:dyDescent="0.25">
      <c r="A358" t="s">
        <v>17</v>
      </c>
      <c r="B358" s="41"/>
      <c r="C358" s="41"/>
      <c r="D358" s="41"/>
      <c r="E358" s="41"/>
      <c r="F358" s="41"/>
      <c r="G358" s="41">
        <v>153.01</v>
      </c>
      <c r="H358" s="41"/>
      <c r="I358" s="41"/>
      <c r="J358" s="41"/>
      <c r="K358" s="41"/>
      <c r="L358" s="41"/>
      <c r="M358" s="41">
        <f>153.01+676.19</f>
        <v>829.2</v>
      </c>
      <c r="N358" s="41">
        <f t="shared" si="183"/>
        <v>982.21</v>
      </c>
      <c r="R358" s="17"/>
      <c r="S358" s="17"/>
    </row>
    <row r="359" spans="1:19" x14ac:dyDescent="0.25">
      <c r="A359" t="s">
        <v>30</v>
      </c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>
        <f t="shared" si="183"/>
        <v>0</v>
      </c>
      <c r="P359" s="20"/>
      <c r="R359" s="17"/>
      <c r="S359" s="17"/>
    </row>
    <row r="360" spans="1:19" x14ac:dyDescent="0.25">
      <c r="A360" t="s">
        <v>182</v>
      </c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>
        <f t="shared" si="183"/>
        <v>0</v>
      </c>
      <c r="R360" s="17"/>
      <c r="S360" s="17"/>
    </row>
    <row r="361" spans="1:19" x14ac:dyDescent="0.25">
      <c r="A361" t="s">
        <v>12</v>
      </c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>
        <f t="shared" si="183"/>
        <v>0</v>
      </c>
      <c r="R361" s="17"/>
      <c r="S361" s="17"/>
    </row>
    <row r="362" spans="1:19" x14ac:dyDescent="0.25">
      <c r="A362" t="s">
        <v>28</v>
      </c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>
        <f t="shared" si="183"/>
        <v>0</v>
      </c>
      <c r="R362" s="17"/>
      <c r="S362" s="17"/>
    </row>
    <row r="363" spans="1:19" x14ac:dyDescent="0.25">
      <c r="A363" t="s">
        <v>35</v>
      </c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>
        <f t="shared" si="183"/>
        <v>0</v>
      </c>
      <c r="R363" s="17"/>
      <c r="S363" s="17"/>
    </row>
    <row r="364" spans="1:19" x14ac:dyDescent="0.25">
      <c r="A364" t="s">
        <v>96</v>
      </c>
      <c r="B364" s="41">
        <v>105.32</v>
      </c>
      <c r="C364" s="41"/>
      <c r="D364" s="41"/>
      <c r="E364" s="41">
        <v>60.48</v>
      </c>
      <c r="F364" s="41"/>
      <c r="G364" s="41"/>
      <c r="H364" s="41">
        <v>53.89</v>
      </c>
      <c r="I364" s="41"/>
      <c r="J364" s="41">
        <v>154.4</v>
      </c>
      <c r="K364" s="41">
        <v>51</v>
      </c>
      <c r="L364" s="41"/>
      <c r="M364" s="41"/>
      <c r="N364" s="41">
        <f t="shared" si="183"/>
        <v>425.09000000000003</v>
      </c>
      <c r="P364" s="20"/>
      <c r="R364" s="17"/>
      <c r="S364" s="17"/>
    </row>
    <row r="365" spans="1:19" x14ac:dyDescent="0.25">
      <c r="A365" t="s">
        <v>85</v>
      </c>
      <c r="B365" s="41">
        <v>48.48</v>
      </c>
      <c r="C365" s="41"/>
      <c r="D365" s="41">
        <f>1098.55+657.68</f>
        <v>1756.23</v>
      </c>
      <c r="E365" s="41">
        <v>48.48</v>
      </c>
      <c r="F365" s="41"/>
      <c r="G365" s="41"/>
      <c r="H365" s="41">
        <v>48.48</v>
      </c>
      <c r="I365" s="41">
        <v>825.37</v>
      </c>
      <c r="J365" s="41"/>
      <c r="K365" s="41">
        <v>48.48</v>
      </c>
      <c r="L365" s="41"/>
      <c r="M365" s="41"/>
      <c r="N365" s="41">
        <f t="shared" si="183"/>
        <v>2775.52</v>
      </c>
      <c r="R365" s="17"/>
      <c r="S365" s="17"/>
    </row>
    <row r="366" spans="1:19" x14ac:dyDescent="0.25">
      <c r="A366" t="s">
        <v>88</v>
      </c>
      <c r="B366" s="41"/>
      <c r="C366" s="41">
        <v>157.52000000000001</v>
      </c>
      <c r="D366" s="41"/>
      <c r="E366" s="41"/>
      <c r="F366" s="41">
        <v>137.30000000000001</v>
      </c>
      <c r="G366" s="41"/>
      <c r="H366" s="41"/>
      <c r="I366" s="41">
        <v>138.43</v>
      </c>
      <c r="J366" s="41"/>
      <c r="K366" s="41"/>
      <c r="L366" s="41">
        <f>150.92+66.13</f>
        <v>217.04999999999998</v>
      </c>
      <c r="M366" s="41"/>
      <c r="N366" s="41">
        <f t="shared" si="183"/>
        <v>650.30000000000007</v>
      </c>
      <c r="P366" s="20"/>
      <c r="R366" s="17"/>
      <c r="S366" s="17"/>
    </row>
    <row r="367" spans="1:19" x14ac:dyDescent="0.25">
      <c r="A367" t="s">
        <v>13</v>
      </c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>
        <f t="shared" si="183"/>
        <v>0</v>
      </c>
      <c r="P367" s="20"/>
      <c r="R367" s="17"/>
      <c r="S367" s="17"/>
    </row>
    <row r="368" spans="1:19" x14ac:dyDescent="0.25">
      <c r="A368" s="9" t="s">
        <v>15</v>
      </c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>
        <f t="shared" si="183"/>
        <v>0</v>
      </c>
      <c r="P368" s="20"/>
      <c r="R368" s="17"/>
      <c r="S368" s="17"/>
    </row>
    <row r="369" spans="1:24" x14ac:dyDescent="0.25">
      <c r="A369" t="s">
        <v>29</v>
      </c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>
        <f t="shared" si="183"/>
        <v>0</v>
      </c>
      <c r="P369" s="20"/>
      <c r="R369" s="17"/>
      <c r="S369" s="17"/>
    </row>
    <row r="370" spans="1:24" x14ac:dyDescent="0.25">
      <c r="A370" t="s">
        <v>82</v>
      </c>
      <c r="B370" s="41"/>
      <c r="C370" s="41"/>
      <c r="D370" s="41"/>
      <c r="E370" s="41"/>
      <c r="F370" s="41">
        <f>6.44+119</f>
        <v>125.44</v>
      </c>
      <c r="G370" s="41"/>
      <c r="H370" s="41">
        <v>17</v>
      </c>
      <c r="I370" s="41"/>
      <c r="J370" s="41"/>
      <c r="K370" s="41">
        <v>34</v>
      </c>
      <c r="L370" s="41"/>
      <c r="M370" s="41"/>
      <c r="N370" s="41">
        <f t="shared" si="183"/>
        <v>176.44</v>
      </c>
      <c r="P370" s="20"/>
      <c r="R370" s="17"/>
      <c r="S370" s="17"/>
    </row>
    <row r="371" spans="1:24" x14ac:dyDescent="0.25">
      <c r="A371" t="s">
        <v>6</v>
      </c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>
        <f t="shared" si="183"/>
        <v>0</v>
      </c>
      <c r="P371" s="20"/>
      <c r="R371" s="17"/>
      <c r="S371" s="17"/>
    </row>
    <row r="372" spans="1:24" x14ac:dyDescent="0.25">
      <c r="A372" t="s">
        <v>31</v>
      </c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>
        <f t="shared" si="183"/>
        <v>0</v>
      </c>
      <c r="P372" s="20"/>
      <c r="R372" s="17"/>
      <c r="S372" s="17"/>
    </row>
    <row r="373" spans="1:24" x14ac:dyDescent="0.25">
      <c r="A373" t="s">
        <v>170</v>
      </c>
      <c r="B373" s="41"/>
      <c r="C373" s="41"/>
      <c r="D373" s="41"/>
      <c r="E373" s="41"/>
      <c r="F373" s="41">
        <f>34.23+120.09</f>
        <v>154.32</v>
      </c>
      <c r="G373" s="41"/>
      <c r="H373" s="41"/>
      <c r="I373" s="41">
        <f>326.6+105.96</f>
        <v>432.56</v>
      </c>
      <c r="J373" s="41"/>
      <c r="K373" s="41"/>
      <c r="L373" s="41">
        <f>100.83+219.8</f>
        <v>320.63</v>
      </c>
      <c r="M373" s="41">
        <v>95.85</v>
      </c>
      <c r="N373" s="41">
        <f t="shared" si="183"/>
        <v>1003.36</v>
      </c>
      <c r="R373" s="17"/>
      <c r="S373" s="17"/>
    </row>
    <row r="374" spans="1:24" x14ac:dyDescent="0.25">
      <c r="A374" t="s">
        <v>218</v>
      </c>
      <c r="B374" s="41"/>
      <c r="C374" s="41"/>
      <c r="D374" s="41"/>
      <c r="E374" s="41"/>
      <c r="F374" s="41"/>
      <c r="G374" s="41"/>
      <c r="H374" s="41">
        <f>10.23+59.94+48.41</f>
        <v>118.58</v>
      </c>
      <c r="I374" s="41"/>
      <c r="J374" s="41"/>
      <c r="K374" s="41">
        <v>26.84</v>
      </c>
      <c r="L374" s="41">
        <v>133.33000000000001</v>
      </c>
      <c r="M374" s="110"/>
      <c r="N374" s="41">
        <f t="shared" si="183"/>
        <v>278.75</v>
      </c>
      <c r="R374" s="17"/>
      <c r="S374" s="17"/>
    </row>
    <row r="375" spans="1:24" x14ac:dyDescent="0.25">
      <c r="A375" t="s">
        <v>41</v>
      </c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>
        <f>SUM(B375:M375)</f>
        <v>0</v>
      </c>
      <c r="R375" s="17"/>
      <c r="S375" s="17"/>
    </row>
    <row r="376" spans="1:24" x14ac:dyDescent="0.25">
      <c r="A376" t="s">
        <v>219</v>
      </c>
      <c r="B376" s="41"/>
      <c r="C376" s="41"/>
      <c r="D376" s="41">
        <v>225.6</v>
      </c>
      <c r="E376" s="41"/>
      <c r="F376" s="41"/>
      <c r="G376" s="41"/>
      <c r="H376" s="41"/>
      <c r="I376" s="41"/>
      <c r="J376" s="41"/>
      <c r="K376" s="41"/>
      <c r="L376" s="41"/>
      <c r="M376" s="41"/>
      <c r="N376" s="41">
        <f>SUM(B376:M376)</f>
        <v>225.6</v>
      </c>
      <c r="R376" s="17"/>
      <c r="S376" s="17"/>
    </row>
    <row r="377" spans="1:24" x14ac:dyDescent="0.25">
      <c r="A377" t="s">
        <v>352</v>
      </c>
      <c r="B377" s="41"/>
      <c r="C377" s="41"/>
      <c r="D377" s="41"/>
      <c r="E377" s="41"/>
      <c r="F377" s="41">
        <v>66.680000000000007</v>
      </c>
      <c r="G377" s="41"/>
      <c r="H377" s="41"/>
      <c r="I377" s="41"/>
      <c r="J377" s="41"/>
      <c r="K377" s="41"/>
      <c r="L377" s="41">
        <v>155.6</v>
      </c>
      <c r="M377" s="41"/>
      <c r="N377" s="41">
        <f t="shared" ref="N377:N378" si="184">SUM(B377:M377)</f>
        <v>222.28</v>
      </c>
      <c r="R377" s="17"/>
      <c r="S377" s="17"/>
    </row>
    <row r="378" spans="1:24" x14ac:dyDescent="0.25">
      <c r="A378" t="s">
        <v>216</v>
      </c>
      <c r="B378" s="41"/>
      <c r="C378" s="41"/>
      <c r="D378" s="41"/>
      <c r="E378" s="41"/>
      <c r="F378" s="41"/>
      <c r="G378" s="41">
        <v>98.06</v>
      </c>
      <c r="H378" s="41"/>
      <c r="I378" s="41"/>
      <c r="J378" s="41"/>
      <c r="K378" s="41"/>
      <c r="L378" s="41"/>
      <c r="M378" s="41"/>
      <c r="N378" s="41">
        <f t="shared" si="184"/>
        <v>98.06</v>
      </c>
      <c r="R378" s="17"/>
      <c r="S378" s="17"/>
    </row>
    <row r="379" spans="1:24" x14ac:dyDescent="0.25"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>
        <f>SUM(B379:M379)</f>
        <v>0</v>
      </c>
      <c r="R379" s="17"/>
      <c r="S379" s="17"/>
    </row>
    <row r="380" spans="1:24" x14ac:dyDescent="0.25">
      <c r="A380" s="46" t="s">
        <v>47</v>
      </c>
      <c r="B380" s="106">
        <f>SUM(B355:B379)</f>
        <v>153.79999999999998</v>
      </c>
      <c r="C380" s="106">
        <f>SUM(C355:C379)</f>
        <v>517.16999999999996</v>
      </c>
      <c r="D380" s="106">
        <f t="shared" ref="D380:G380" si="185">SUM(D355:D379)</f>
        <v>2045.37</v>
      </c>
      <c r="E380" s="106">
        <f t="shared" si="185"/>
        <v>108.96</v>
      </c>
      <c r="F380" s="106">
        <f t="shared" si="185"/>
        <v>518.97</v>
      </c>
      <c r="G380" s="106">
        <f t="shared" si="185"/>
        <v>265.61</v>
      </c>
      <c r="H380" s="106">
        <f>SUM(H355:H379)</f>
        <v>623.30000000000007</v>
      </c>
      <c r="I380" s="106">
        <f t="shared" ref="I380:K380" si="186">SUM(I355:I379)</f>
        <v>1434.25</v>
      </c>
      <c r="J380" s="106">
        <f t="shared" si="186"/>
        <v>174.20000000000002</v>
      </c>
      <c r="K380" s="106">
        <f t="shared" si="186"/>
        <v>160.32</v>
      </c>
      <c r="L380" s="106">
        <f>SUM(L355:L379)</f>
        <v>857.6400000000001</v>
      </c>
      <c r="M380" s="106">
        <f>SUM(M355:M379)</f>
        <v>940.0200000000001</v>
      </c>
      <c r="N380" s="106">
        <f>SUM(N355:N379)</f>
        <v>7799.61</v>
      </c>
      <c r="R380" s="17"/>
      <c r="S380" s="17"/>
    </row>
    <row r="381" spans="1:24" x14ac:dyDescent="0.25"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P381" s="20"/>
      <c r="V381" s="20"/>
      <c r="X381" s="41"/>
    </row>
    <row r="382" spans="1:24" x14ac:dyDescent="0.25">
      <c r="A382" s="107" t="s">
        <v>188</v>
      </c>
      <c r="B382" s="109" t="s">
        <v>42</v>
      </c>
      <c r="C382" s="109" t="s">
        <v>43</v>
      </c>
      <c r="D382" s="109" t="s">
        <v>44</v>
      </c>
      <c r="E382" s="109" t="s">
        <v>45</v>
      </c>
      <c r="F382" s="109" t="s">
        <v>46</v>
      </c>
      <c r="G382" s="109" t="s">
        <v>20</v>
      </c>
      <c r="H382" s="109" t="s">
        <v>21</v>
      </c>
      <c r="I382" s="109" t="s">
        <v>22</v>
      </c>
      <c r="J382" s="109" t="s">
        <v>23</v>
      </c>
      <c r="K382" s="109" t="s">
        <v>24</v>
      </c>
      <c r="L382" s="109" t="s">
        <v>25</v>
      </c>
      <c r="M382" s="109" t="s">
        <v>26</v>
      </c>
      <c r="N382" s="104"/>
      <c r="P382" s="20"/>
      <c r="S382" s="42"/>
      <c r="V382" s="20"/>
      <c r="X382" s="41"/>
    </row>
    <row r="383" spans="1:24" x14ac:dyDescent="0.25">
      <c r="A383" t="s">
        <v>173</v>
      </c>
      <c r="B383" s="41">
        <v>301.60000000000002</v>
      </c>
      <c r="C383" s="41">
        <v>280.89999999999998</v>
      </c>
      <c r="D383" s="41">
        <v>232.2</v>
      </c>
      <c r="E383" s="114">
        <v>295.74</v>
      </c>
      <c r="F383" s="114">
        <v>296.8</v>
      </c>
      <c r="G383" s="114">
        <v>302.10000000000002</v>
      </c>
      <c r="H383" s="114">
        <v>324.89999999999998</v>
      </c>
      <c r="I383" s="114">
        <v>324.89999999999998</v>
      </c>
      <c r="J383" s="114">
        <v>324.89999999999998</v>
      </c>
      <c r="K383" s="114">
        <v>324.89999999999998</v>
      </c>
      <c r="L383" s="114">
        <f>2.05+302.1</f>
        <v>304.15000000000003</v>
      </c>
      <c r="M383" s="114">
        <f>302.1+2.91</f>
        <v>305.01000000000005</v>
      </c>
      <c r="N383" s="114">
        <f t="shared" ref="N383:N390" si="187">SUM(B383:M383)</f>
        <v>3618.1000000000008</v>
      </c>
      <c r="Q383" s="20"/>
      <c r="S383" s="119"/>
      <c r="W383" s="20"/>
      <c r="X383" s="41"/>
    </row>
    <row r="384" spans="1:24" x14ac:dyDescent="0.25">
      <c r="A384" t="s">
        <v>222</v>
      </c>
      <c r="B384" s="41">
        <v>13.8</v>
      </c>
      <c r="C384" s="41">
        <v>18.600000000000001</v>
      </c>
      <c r="D384" s="41">
        <v>30.6</v>
      </c>
      <c r="E384" s="114">
        <v>42.6</v>
      </c>
      <c r="F384" s="114">
        <v>58.5</v>
      </c>
      <c r="G384" s="114">
        <v>93.75</v>
      </c>
      <c r="H384" s="114">
        <v>102.75</v>
      </c>
      <c r="I384" s="114">
        <v>108.5</v>
      </c>
      <c r="J384" s="114">
        <v>100.75</v>
      </c>
      <c r="K384" s="114">
        <v>100.75</v>
      </c>
      <c r="L384" s="114">
        <v>100.75</v>
      </c>
      <c r="M384" s="114">
        <v>131.75</v>
      </c>
      <c r="N384" s="114">
        <f t="shared" si="187"/>
        <v>903.1</v>
      </c>
      <c r="Q384" s="20"/>
      <c r="S384" s="119"/>
      <c r="W384" s="20"/>
      <c r="X384" s="41"/>
    </row>
    <row r="385" spans="1:28" x14ac:dyDescent="0.25">
      <c r="A385" t="s">
        <v>180</v>
      </c>
      <c r="B385" s="41">
        <v>37.82</v>
      </c>
      <c r="C385" s="41">
        <v>25.4</v>
      </c>
      <c r="D385" s="41">
        <v>16.72</v>
      </c>
      <c r="E385" s="114">
        <v>18.2</v>
      </c>
      <c r="F385" s="114">
        <v>16.87</v>
      </c>
      <c r="G385" s="114">
        <v>23.25</v>
      </c>
      <c r="H385" s="114">
        <v>25.64</v>
      </c>
      <c r="I385" s="114">
        <v>18.93</v>
      </c>
      <c r="J385" s="114">
        <v>17.829999999999998</v>
      </c>
      <c r="K385" s="114">
        <v>19.2</v>
      </c>
      <c r="L385" s="114">
        <v>20.16</v>
      </c>
      <c r="M385" s="114">
        <v>19.2</v>
      </c>
      <c r="N385" s="114">
        <f t="shared" si="187"/>
        <v>259.21999999999997</v>
      </c>
      <c r="Q385" s="20"/>
      <c r="S385" s="119"/>
      <c r="W385" s="20"/>
      <c r="X385" s="41"/>
    </row>
    <row r="386" spans="1:28" x14ac:dyDescent="0.25">
      <c r="A386" t="s">
        <v>184</v>
      </c>
      <c r="B386" s="41">
        <v>87.49</v>
      </c>
      <c r="C386" s="41">
        <v>108.33</v>
      </c>
      <c r="D386" s="41">
        <v>108.33</v>
      </c>
      <c r="E386" s="114">
        <v>108.33</v>
      </c>
      <c r="F386" s="114">
        <v>71.67</v>
      </c>
      <c r="G386" s="114">
        <v>51.66</v>
      </c>
      <c r="H386" s="114">
        <v>18.309999999999999</v>
      </c>
      <c r="I386" s="114">
        <v>40.799999999999997</v>
      </c>
      <c r="J386" s="114">
        <v>19.5</v>
      </c>
      <c r="K386" s="114">
        <v>0</v>
      </c>
      <c r="L386" s="114">
        <v>0</v>
      </c>
      <c r="M386" s="114">
        <v>0</v>
      </c>
      <c r="N386" s="114">
        <f t="shared" si="187"/>
        <v>614.41999999999985</v>
      </c>
      <c r="Q386" s="20"/>
      <c r="S386" s="119"/>
      <c r="W386" s="20"/>
      <c r="X386" s="41"/>
      <c r="AB386" s="116"/>
    </row>
    <row r="387" spans="1:28" x14ac:dyDescent="0.25">
      <c r="A387" t="s">
        <v>234</v>
      </c>
      <c r="B387" s="41">
        <v>20.52</v>
      </c>
      <c r="C387" s="41">
        <v>16.72</v>
      </c>
      <c r="D387" s="41">
        <f>1.05+15.77</f>
        <v>16.82</v>
      </c>
      <c r="E387" s="114">
        <v>22.27</v>
      </c>
      <c r="F387" s="114">
        <v>26.8</v>
      </c>
      <c r="G387" s="114">
        <v>28.8</v>
      </c>
      <c r="H387" s="114">
        <v>27.2</v>
      </c>
      <c r="I387" s="114">
        <v>28.8</v>
      </c>
      <c r="J387" s="114">
        <v>28.4</v>
      </c>
      <c r="K387" s="114">
        <v>27.2</v>
      </c>
      <c r="L387" s="114">
        <v>27.2</v>
      </c>
      <c r="M387" s="114">
        <v>26.8</v>
      </c>
      <c r="N387" s="114">
        <f t="shared" si="187"/>
        <v>297.53000000000003</v>
      </c>
      <c r="Q387" s="20"/>
      <c r="S387" s="119"/>
      <c r="W387" s="20"/>
      <c r="X387" s="41"/>
    </row>
    <row r="388" spans="1:28" x14ac:dyDescent="0.25">
      <c r="A388" t="s">
        <v>221</v>
      </c>
      <c r="B388" s="41">
        <v>18</v>
      </c>
      <c r="C388" s="41">
        <v>18</v>
      </c>
      <c r="D388" s="41">
        <v>31.5</v>
      </c>
      <c r="E388" s="114">
        <v>35</v>
      </c>
      <c r="F388" s="114">
        <v>45.15</v>
      </c>
      <c r="G388" s="114">
        <v>45.15</v>
      </c>
      <c r="H388" s="114">
        <v>52.5</v>
      </c>
      <c r="I388" s="114">
        <v>52.5</v>
      </c>
      <c r="J388" s="114">
        <v>64.400000000000006</v>
      </c>
      <c r="K388" s="114">
        <v>94.5</v>
      </c>
      <c r="L388" s="114">
        <v>103.5</v>
      </c>
      <c r="M388" s="114">
        <v>103.5</v>
      </c>
      <c r="N388" s="114">
        <f t="shared" si="187"/>
        <v>663.7</v>
      </c>
      <c r="Q388" s="20"/>
      <c r="S388" s="119"/>
      <c r="W388" s="20"/>
      <c r="X388" s="41"/>
    </row>
    <row r="389" spans="1:28" x14ac:dyDescent="0.25">
      <c r="A389" t="s">
        <v>183</v>
      </c>
      <c r="B389" s="41">
        <v>6.39</v>
      </c>
      <c r="C389" s="41">
        <v>10.11</v>
      </c>
      <c r="D389" s="41">
        <v>22.57</v>
      </c>
      <c r="E389" s="114">
        <v>11.37</v>
      </c>
      <c r="F389" s="114">
        <v>6.66</v>
      </c>
      <c r="G389" s="114">
        <v>9.27</v>
      </c>
      <c r="H389" s="114">
        <v>13.75</v>
      </c>
      <c r="I389" s="114">
        <v>14.62</v>
      </c>
      <c r="J389" s="114">
        <v>16.86</v>
      </c>
      <c r="K389" s="114">
        <v>19.37</v>
      </c>
      <c r="L389" s="114">
        <v>17.05</v>
      </c>
      <c r="M389" s="114">
        <v>21.15</v>
      </c>
      <c r="N389" s="114">
        <f t="shared" si="187"/>
        <v>169.17000000000002</v>
      </c>
      <c r="P389" s="122"/>
      <c r="Q389" s="20"/>
      <c r="S389" s="119"/>
      <c r="V389" s="122"/>
      <c r="W389" s="20"/>
      <c r="X389" s="41"/>
    </row>
    <row r="390" spans="1:28" x14ac:dyDescent="0.25">
      <c r="A390" t="s">
        <v>220</v>
      </c>
      <c r="B390" s="41">
        <v>14.07</v>
      </c>
      <c r="C390" s="41">
        <v>15.58</v>
      </c>
      <c r="D390" s="41">
        <v>19.5</v>
      </c>
      <c r="E390" s="114">
        <v>19.5</v>
      </c>
      <c r="F390" s="114">
        <f>16.5+3.93</f>
        <v>20.43</v>
      </c>
      <c r="G390" s="114">
        <v>22</v>
      </c>
      <c r="H390" s="114">
        <v>21.91</v>
      </c>
      <c r="I390" s="114">
        <v>22.8</v>
      </c>
      <c r="J390" s="114">
        <v>24</v>
      </c>
      <c r="K390" s="114">
        <v>25.2</v>
      </c>
      <c r="L390" s="114">
        <v>21.83</v>
      </c>
      <c r="M390" s="114">
        <v>22</v>
      </c>
      <c r="N390" s="114">
        <f t="shared" si="187"/>
        <v>248.82</v>
      </c>
      <c r="Q390" s="20"/>
      <c r="S390" s="119"/>
      <c r="W390" s="20"/>
      <c r="X390" s="41"/>
    </row>
    <row r="391" spans="1:28" x14ac:dyDescent="0.25">
      <c r="A391" t="s">
        <v>181</v>
      </c>
      <c r="B391" s="41">
        <f>1.43+44.8</f>
        <v>46.23</v>
      </c>
      <c r="C391" s="41">
        <v>51.2</v>
      </c>
      <c r="D391" s="41">
        <v>51.2</v>
      </c>
      <c r="E391" s="114">
        <v>51.2</v>
      </c>
      <c r="F391" s="114">
        <v>51.2</v>
      </c>
      <c r="G391" s="114">
        <v>51.2</v>
      </c>
      <c r="H391" s="114">
        <v>60.8</v>
      </c>
      <c r="I391" s="114">
        <v>67.2</v>
      </c>
      <c r="J391" s="114">
        <v>67.2</v>
      </c>
      <c r="K391" s="114">
        <v>67.2</v>
      </c>
      <c r="L391" s="114">
        <v>59.85</v>
      </c>
      <c r="M391" s="114">
        <v>59.85</v>
      </c>
      <c r="N391" s="114">
        <f t="shared" ref="N391:N393" si="188">SUM(B391:M391)</f>
        <v>684.33</v>
      </c>
      <c r="Q391" s="20"/>
      <c r="S391" s="119"/>
      <c r="W391" s="20"/>
      <c r="X391" s="41"/>
    </row>
    <row r="392" spans="1:28" x14ac:dyDescent="0.25">
      <c r="A392" t="s">
        <v>186</v>
      </c>
      <c r="B392" s="41">
        <v>45.75</v>
      </c>
      <c r="C392" s="41">
        <v>51.85</v>
      </c>
      <c r="D392" s="41">
        <v>51.85</v>
      </c>
      <c r="E392" s="114">
        <v>51.85</v>
      </c>
      <c r="F392" s="114">
        <v>51.85</v>
      </c>
      <c r="G392" s="114">
        <v>51.85</v>
      </c>
      <c r="H392" s="114">
        <v>51.85</v>
      </c>
      <c r="I392" s="114">
        <v>51.85</v>
      </c>
      <c r="J392" s="114">
        <v>51.85</v>
      </c>
      <c r="K392" s="114">
        <v>54.9</v>
      </c>
      <c r="L392" s="114">
        <v>61</v>
      </c>
      <c r="M392" s="114">
        <f>140+366</f>
        <v>506</v>
      </c>
      <c r="N392" s="114">
        <f t="shared" si="188"/>
        <v>1082.45</v>
      </c>
      <c r="Q392" s="20"/>
      <c r="S392" s="119"/>
      <c r="W392" s="20"/>
      <c r="X392" s="41"/>
    </row>
    <row r="393" spans="1:28" x14ac:dyDescent="0.25">
      <c r="A393" t="s">
        <v>169</v>
      </c>
      <c r="B393" s="41">
        <v>57.39</v>
      </c>
      <c r="C393" s="41">
        <v>66.459999999999994</v>
      </c>
      <c r="D393" s="41">
        <v>72.5</v>
      </c>
      <c r="E393" s="114">
        <v>78.540000000000006</v>
      </c>
      <c r="F393" s="114">
        <v>66.150000000000006</v>
      </c>
      <c r="G393" s="114">
        <v>78.400000000000006</v>
      </c>
      <c r="H393" s="114">
        <v>77</v>
      </c>
      <c r="I393" s="114">
        <v>94.25</v>
      </c>
      <c r="J393" s="114">
        <v>133.4</v>
      </c>
      <c r="K393" s="114">
        <v>133.4</v>
      </c>
      <c r="L393" s="114">
        <v>91.35</v>
      </c>
      <c r="M393" s="114">
        <v>91.35</v>
      </c>
      <c r="N393" s="114">
        <f t="shared" si="188"/>
        <v>1040.1899999999998</v>
      </c>
      <c r="Q393" s="20"/>
      <c r="S393" s="119"/>
      <c r="W393" s="20"/>
      <c r="X393" s="41"/>
    </row>
    <row r="394" spans="1:28" x14ac:dyDescent="0.25">
      <c r="A394" t="s">
        <v>217</v>
      </c>
      <c r="B394" s="41">
        <v>35.64</v>
      </c>
      <c r="C394" s="41">
        <v>46.9</v>
      </c>
      <c r="D394" s="41">
        <v>53.6</v>
      </c>
      <c r="E394" s="114">
        <v>68</v>
      </c>
      <c r="F394" s="114">
        <v>68</v>
      </c>
      <c r="G394" s="114">
        <v>65.88</v>
      </c>
      <c r="H394" s="114">
        <v>76.25</v>
      </c>
      <c r="I394" s="114">
        <v>79.3</v>
      </c>
      <c r="J394" s="114">
        <v>87.82</v>
      </c>
      <c r="K394" s="114">
        <v>87.82</v>
      </c>
      <c r="L394" s="114">
        <v>97.92</v>
      </c>
      <c r="M394" s="114">
        <v>97.92</v>
      </c>
      <c r="N394" s="114">
        <f t="shared" ref="N394:N402" si="189">SUM(B394:M394)</f>
        <v>865.05</v>
      </c>
      <c r="Q394" s="20"/>
      <c r="S394" s="119"/>
      <c r="W394" s="20"/>
      <c r="X394" s="41"/>
    </row>
    <row r="395" spans="1:28" x14ac:dyDescent="0.25">
      <c r="A395" t="s">
        <v>267</v>
      </c>
      <c r="B395" s="41"/>
      <c r="C395" s="41">
        <v>13.6</v>
      </c>
      <c r="D395" s="41">
        <v>20.399999999999999</v>
      </c>
      <c r="E395" s="114">
        <v>20.399999999999999</v>
      </c>
      <c r="F395" s="114">
        <v>20.399999999999999</v>
      </c>
      <c r="G395" s="114">
        <v>20.399999999999999</v>
      </c>
      <c r="H395" s="114">
        <v>20.399999999999999</v>
      </c>
      <c r="I395" s="114">
        <v>20.399999999999999</v>
      </c>
      <c r="J395" s="114">
        <v>20.399999999999999</v>
      </c>
      <c r="K395" s="114">
        <v>20.399999999999999</v>
      </c>
      <c r="L395" s="114">
        <v>20.399999999999999</v>
      </c>
      <c r="M395" s="114">
        <v>20.399999999999999</v>
      </c>
      <c r="N395" s="114">
        <f t="shared" si="189"/>
        <v>217.60000000000002</v>
      </c>
      <c r="Q395" s="20"/>
      <c r="S395" s="119"/>
      <c r="W395" s="20"/>
      <c r="X395" s="41"/>
    </row>
    <row r="396" spans="1:28" x14ac:dyDescent="0.25">
      <c r="A396" t="s">
        <v>270</v>
      </c>
      <c r="C396" s="41">
        <v>12</v>
      </c>
      <c r="D396" s="41">
        <v>12.54</v>
      </c>
      <c r="E396" s="8">
        <v>28.08</v>
      </c>
      <c r="F396" s="8">
        <v>31.62</v>
      </c>
      <c r="G396" s="8">
        <v>33.479999999999997</v>
      </c>
      <c r="H396" s="8">
        <v>34.72</v>
      </c>
      <c r="I396" s="8">
        <v>35.340000000000003</v>
      </c>
      <c r="J396" s="8">
        <v>35.340000000000003</v>
      </c>
      <c r="K396" s="8">
        <v>36.58</v>
      </c>
      <c r="L396" s="8">
        <f>36.58+1.38</f>
        <v>37.96</v>
      </c>
      <c r="M396" s="8">
        <v>40.04</v>
      </c>
      <c r="N396" s="114">
        <f t="shared" si="189"/>
        <v>337.7</v>
      </c>
      <c r="Q396" s="20"/>
      <c r="S396" s="119"/>
      <c r="W396" s="20"/>
      <c r="X396" s="41"/>
    </row>
    <row r="397" spans="1:28" x14ac:dyDescent="0.25">
      <c r="A397" t="s">
        <v>276</v>
      </c>
      <c r="D397" s="41">
        <v>5.8</v>
      </c>
      <c r="E397" s="8">
        <v>7.7</v>
      </c>
      <c r="F397" s="8">
        <v>10.69</v>
      </c>
      <c r="G397" s="8">
        <v>16</v>
      </c>
      <c r="H397" s="8">
        <v>6.35</v>
      </c>
      <c r="I397" s="8">
        <v>6.19</v>
      </c>
      <c r="J397" s="8">
        <v>5.52</v>
      </c>
      <c r="K397" s="8">
        <v>9.32</v>
      </c>
      <c r="L397" s="8">
        <v>10.42</v>
      </c>
      <c r="M397" s="8">
        <v>9.81</v>
      </c>
      <c r="N397" s="114">
        <f t="shared" si="189"/>
        <v>87.8</v>
      </c>
      <c r="Q397" s="20"/>
      <c r="S397" s="119"/>
      <c r="W397" s="20"/>
      <c r="X397" s="41"/>
    </row>
    <row r="398" spans="1:28" x14ac:dyDescent="0.25">
      <c r="A398" t="s">
        <v>355</v>
      </c>
      <c r="E398" s="8"/>
      <c r="F398" s="8"/>
      <c r="G398" s="8">
        <v>12.8</v>
      </c>
      <c r="H398" s="8">
        <v>22.2</v>
      </c>
      <c r="I398" s="8">
        <v>29.75</v>
      </c>
      <c r="J398" s="8">
        <f>24.5+1.03</f>
        <v>25.53</v>
      </c>
      <c r="K398" s="8">
        <v>50.25</v>
      </c>
      <c r="L398" s="8">
        <v>65.55</v>
      </c>
      <c r="M398" s="8">
        <v>57</v>
      </c>
      <c r="N398" s="114">
        <f t="shared" si="189"/>
        <v>263.08</v>
      </c>
      <c r="Q398" s="20"/>
      <c r="S398" s="119"/>
      <c r="W398" s="20"/>
      <c r="X398" s="41"/>
      <c r="AB398" s="116"/>
    </row>
    <row r="399" spans="1:28" x14ac:dyDescent="0.25">
      <c r="A399" t="s">
        <v>364</v>
      </c>
      <c r="E399" s="8"/>
      <c r="F399" s="8"/>
      <c r="G399" s="8"/>
      <c r="H399" s="8">
        <v>5.64</v>
      </c>
      <c r="I399" s="8">
        <v>15.91</v>
      </c>
      <c r="J399" s="8">
        <v>15.43</v>
      </c>
      <c r="K399" s="8">
        <v>15.09</v>
      </c>
      <c r="L399" s="8">
        <v>21.96</v>
      </c>
      <c r="M399" s="8">
        <v>30.32</v>
      </c>
      <c r="N399" s="114">
        <f t="shared" si="189"/>
        <v>104.35</v>
      </c>
      <c r="P399" s="122"/>
      <c r="Q399" s="20"/>
      <c r="S399" s="119"/>
      <c r="V399" s="122"/>
      <c r="W399" s="20"/>
      <c r="X399" s="41"/>
    </row>
    <row r="400" spans="1:28" x14ac:dyDescent="0.25">
      <c r="A400" t="s">
        <v>377</v>
      </c>
      <c r="E400" s="8"/>
      <c r="F400" s="8"/>
      <c r="G400" s="8"/>
      <c r="H400" s="8"/>
      <c r="I400" s="8"/>
      <c r="J400" s="8"/>
      <c r="K400" s="8"/>
      <c r="L400" s="8">
        <v>4.3</v>
      </c>
      <c r="M400" s="8">
        <v>6.8</v>
      </c>
      <c r="N400" s="114">
        <f>SUM(B400:M400)</f>
        <v>11.1</v>
      </c>
      <c r="P400" s="122"/>
      <c r="Q400" s="20"/>
      <c r="S400" s="119"/>
      <c r="V400" s="122"/>
      <c r="W400" s="20"/>
      <c r="X400" s="41"/>
    </row>
    <row r="401" spans="1:26" x14ac:dyDescent="0.25">
      <c r="A401" t="s">
        <v>374</v>
      </c>
      <c r="B401" s="41"/>
      <c r="C401" s="41"/>
      <c r="D401" s="41"/>
      <c r="E401" s="41"/>
      <c r="F401" s="41"/>
      <c r="G401" s="41"/>
      <c r="H401" s="41"/>
      <c r="I401" s="41"/>
      <c r="J401" s="41"/>
      <c r="K401" s="126"/>
      <c r="L401" s="8">
        <v>30</v>
      </c>
      <c r="M401" s="41">
        <v>50</v>
      </c>
      <c r="N401" s="114">
        <f>SUM(B401:M401)</f>
        <v>80</v>
      </c>
      <c r="P401" s="122"/>
      <c r="Q401" s="20"/>
      <c r="R401" s="135"/>
      <c r="S401" s="119"/>
      <c r="V401" s="122"/>
      <c r="W401" s="20"/>
      <c r="X401" s="41"/>
    </row>
    <row r="402" spans="1:26" x14ac:dyDescent="0.25">
      <c r="A402" t="s">
        <v>383</v>
      </c>
      <c r="B402" s="41"/>
      <c r="C402" s="41"/>
      <c r="D402" s="41"/>
      <c r="E402" s="41"/>
      <c r="F402" s="41"/>
      <c r="G402" s="41"/>
      <c r="H402" s="41"/>
      <c r="I402" s="41"/>
      <c r="J402" s="41"/>
      <c r="K402" s="126"/>
      <c r="L402" s="8"/>
      <c r="M402" s="41">
        <v>11</v>
      </c>
      <c r="N402" s="114">
        <f t="shared" si="189"/>
        <v>11</v>
      </c>
      <c r="P402" s="122"/>
      <c r="Q402" s="20"/>
      <c r="R402" s="135"/>
      <c r="S402" s="119"/>
      <c r="V402" s="122"/>
      <c r="W402" s="20"/>
      <c r="X402" s="41"/>
    </row>
    <row r="403" spans="1:26" x14ac:dyDescent="0.25">
      <c r="A403" s="46" t="s">
        <v>47</v>
      </c>
      <c r="B403" s="106">
        <f>SUM(B383:B402)</f>
        <v>684.69999999999993</v>
      </c>
      <c r="C403" s="106">
        <f t="shared" ref="C403:G403" si="190">SUM(C383:C402)</f>
        <v>735.65</v>
      </c>
      <c r="D403" s="106">
        <f t="shared" si="190"/>
        <v>746.12999999999988</v>
      </c>
      <c r="E403" s="106">
        <f t="shared" si="190"/>
        <v>858.78000000000009</v>
      </c>
      <c r="F403" s="106">
        <f t="shared" si="190"/>
        <v>842.79000000000008</v>
      </c>
      <c r="G403" s="106">
        <f t="shared" si="190"/>
        <v>905.99</v>
      </c>
      <c r="H403" s="106">
        <f>SUM(H383:H402)</f>
        <v>942.17</v>
      </c>
      <c r="I403" s="106">
        <f>SUM(I383:I402)</f>
        <v>1012.04</v>
      </c>
      <c r="J403" s="106">
        <f t="shared" ref="J403" si="191">SUM(J383:J402)</f>
        <v>1039.1300000000001</v>
      </c>
      <c r="K403" s="106">
        <f>SUM(K383:K402)</f>
        <v>1086.0800000000002</v>
      </c>
      <c r="L403" s="106">
        <f>SUM(L383:L402)</f>
        <v>1095.3499999999999</v>
      </c>
      <c r="M403" s="106">
        <f>SUM(M383:M402)</f>
        <v>1609.8999999999999</v>
      </c>
      <c r="N403" s="106">
        <f>SUM(N383:N402)</f>
        <v>11558.710000000001</v>
      </c>
      <c r="P403" s="75"/>
      <c r="Q403" s="74"/>
      <c r="R403" s="74"/>
      <c r="S403" s="74"/>
      <c r="T403" s="74"/>
      <c r="U403" s="74"/>
      <c r="V403" s="75"/>
      <c r="W403" s="74"/>
      <c r="X403" s="128"/>
      <c r="Y403" s="74"/>
      <c r="Z403" s="129"/>
    </row>
    <row r="404" spans="1:26" x14ac:dyDescent="0.25"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P404" s="20"/>
      <c r="R404" s="17"/>
      <c r="S404" s="17"/>
    </row>
    <row r="405" spans="1:26" x14ac:dyDescent="0.25">
      <c r="A405" s="107" t="s">
        <v>100</v>
      </c>
      <c r="B405" s="109" t="s">
        <v>42</v>
      </c>
      <c r="C405" s="109" t="s">
        <v>43</v>
      </c>
      <c r="D405" s="109" t="s">
        <v>44</v>
      </c>
      <c r="E405" s="109" t="s">
        <v>45</v>
      </c>
      <c r="F405" s="109" t="s">
        <v>46</v>
      </c>
      <c r="G405" s="109" t="s">
        <v>20</v>
      </c>
      <c r="H405" s="109" t="s">
        <v>21</v>
      </c>
      <c r="I405" s="109" t="s">
        <v>22</v>
      </c>
      <c r="J405" s="109" t="s">
        <v>23</v>
      </c>
      <c r="K405" s="109" t="s">
        <v>24</v>
      </c>
      <c r="L405" s="109" t="s">
        <v>25</v>
      </c>
      <c r="M405" s="109" t="s">
        <v>26</v>
      </c>
      <c r="N405" s="104"/>
      <c r="P405" s="20"/>
      <c r="R405" s="17"/>
      <c r="S405" s="17"/>
      <c r="W405" s="74"/>
      <c r="X405" s="75"/>
    </row>
    <row r="406" spans="1:26" x14ac:dyDescent="0.25">
      <c r="A406" t="s">
        <v>223</v>
      </c>
      <c r="B406" s="41"/>
      <c r="C406" s="41">
        <v>409.15</v>
      </c>
      <c r="D406" s="41"/>
      <c r="E406" s="41"/>
      <c r="F406" s="41"/>
      <c r="G406" s="41"/>
      <c r="H406" s="41"/>
      <c r="I406" s="41">
        <v>421.85</v>
      </c>
      <c r="J406" s="41"/>
      <c r="K406" s="41"/>
      <c r="L406" s="41"/>
      <c r="M406" s="41"/>
      <c r="N406" s="41">
        <f t="shared" ref="N406:N408" si="192">SUM(B406:M406)</f>
        <v>831</v>
      </c>
      <c r="P406" s="20"/>
      <c r="R406" s="17"/>
      <c r="S406" s="17"/>
    </row>
    <row r="407" spans="1:26" x14ac:dyDescent="0.25">
      <c r="A407" t="s">
        <v>240</v>
      </c>
      <c r="B407" s="41">
        <v>256.10000000000002</v>
      </c>
      <c r="C407" s="41"/>
      <c r="D407" s="41"/>
      <c r="E407" s="41"/>
      <c r="F407" s="41"/>
      <c r="G407" s="41"/>
      <c r="H407" s="41">
        <v>300.67</v>
      </c>
      <c r="I407" s="41"/>
      <c r="J407" s="41"/>
      <c r="K407" s="41"/>
      <c r="L407" s="41"/>
      <c r="M407" s="41"/>
      <c r="N407" s="41">
        <f t="shared" si="192"/>
        <v>556.77</v>
      </c>
      <c r="P407" s="67"/>
      <c r="R407" s="17"/>
      <c r="S407" s="17"/>
    </row>
    <row r="408" spans="1:26" x14ac:dyDescent="0.25"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>
        <f t="shared" si="192"/>
        <v>0</v>
      </c>
      <c r="R408" s="17"/>
      <c r="S408" s="17"/>
    </row>
    <row r="409" spans="1:26" x14ac:dyDescent="0.25">
      <c r="A409" s="46" t="s">
        <v>47</v>
      </c>
      <c r="B409" s="106">
        <f>SUM(B406:B408)</f>
        <v>256.10000000000002</v>
      </c>
      <c r="C409" s="106">
        <f>SUM(C406:C408)</f>
        <v>409.15</v>
      </c>
      <c r="D409" s="106">
        <f>SUM(D406:D408)</f>
        <v>0</v>
      </c>
      <c r="E409" s="106">
        <f t="shared" ref="E409:M409" si="193">SUM(E406:E408)</f>
        <v>0</v>
      </c>
      <c r="F409" s="106">
        <f t="shared" si="193"/>
        <v>0</v>
      </c>
      <c r="G409" s="106">
        <f t="shared" si="193"/>
        <v>0</v>
      </c>
      <c r="H409" s="106">
        <f>SUM(H406:H408)</f>
        <v>300.67</v>
      </c>
      <c r="I409" s="106">
        <f>SUM(I406:I408)</f>
        <v>421.85</v>
      </c>
      <c r="J409" s="106">
        <f t="shared" si="193"/>
        <v>0</v>
      </c>
      <c r="K409" s="106">
        <f t="shared" si="193"/>
        <v>0</v>
      </c>
      <c r="L409" s="106">
        <f t="shared" si="193"/>
        <v>0</v>
      </c>
      <c r="M409" s="106">
        <f t="shared" si="193"/>
        <v>0</v>
      </c>
      <c r="N409" s="106">
        <f>SUM(N406:N408)</f>
        <v>1387.77</v>
      </c>
      <c r="R409" s="17"/>
      <c r="S409" s="17"/>
    </row>
    <row r="410" spans="1:26" x14ac:dyDescent="0.25"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41"/>
      <c r="Q410" s="20"/>
      <c r="R410" s="17"/>
      <c r="S410" s="17"/>
      <c r="W410" s="12"/>
    </row>
    <row r="411" spans="1:26" x14ac:dyDescent="0.25">
      <c r="A411" s="46" t="s">
        <v>241</v>
      </c>
      <c r="B411" s="106">
        <f>B380+B403+B409</f>
        <v>1094.5999999999999</v>
      </c>
      <c r="C411" s="106">
        <f t="shared" ref="C411:F411" si="194">C380+C403+C409</f>
        <v>1661.9699999999998</v>
      </c>
      <c r="D411" s="106">
        <f t="shared" si="194"/>
        <v>2791.5</v>
      </c>
      <c r="E411" s="106">
        <f t="shared" si="194"/>
        <v>967.74000000000012</v>
      </c>
      <c r="F411" s="106">
        <f t="shared" si="194"/>
        <v>1361.7600000000002</v>
      </c>
      <c r="G411" s="106">
        <f>G380+G403+G409</f>
        <v>1171.5999999999999</v>
      </c>
      <c r="H411" s="106">
        <f>H380+H403+H409</f>
        <v>1866.14</v>
      </c>
      <c r="I411" s="106">
        <f>I380+I403+I409</f>
        <v>2868.14</v>
      </c>
      <c r="J411" s="106">
        <f t="shared" ref="J411:L411" si="195">J380+J403+J409</f>
        <v>1213.3300000000002</v>
      </c>
      <c r="K411" s="106">
        <f>K380+K403+K409</f>
        <v>1246.4000000000001</v>
      </c>
      <c r="L411" s="106">
        <f t="shared" si="195"/>
        <v>1952.99</v>
      </c>
      <c r="M411" s="106">
        <f>M380+M403+M409</f>
        <v>2549.92</v>
      </c>
      <c r="N411" s="106">
        <f>N380+N403+N409</f>
        <v>20746.09</v>
      </c>
      <c r="Q411" s="20"/>
    </row>
    <row r="412" spans="1:26" x14ac:dyDescent="0.25">
      <c r="Q412" s="12"/>
      <c r="S412" s="20"/>
      <c r="U412" s="3"/>
      <c r="W412" s="5"/>
    </row>
    <row r="413" spans="1:26" x14ac:dyDescent="0.25">
      <c r="Q413" s="20"/>
      <c r="S413" s="20"/>
      <c r="U413" s="3"/>
      <c r="W413" s="5"/>
    </row>
    <row r="414" spans="1:26" x14ac:dyDescent="0.25">
      <c r="Q414" s="20"/>
    </row>
    <row r="415" spans="1:26" ht="15.75" x14ac:dyDescent="0.25">
      <c r="A415" s="51" t="s">
        <v>404</v>
      </c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R415" s="17"/>
      <c r="S415" s="17"/>
    </row>
    <row r="416" spans="1:26" x14ac:dyDescent="0.25">
      <c r="A416" s="108" t="s">
        <v>1</v>
      </c>
      <c r="B416" s="102" t="s">
        <v>42</v>
      </c>
      <c r="C416" s="102" t="s">
        <v>43</v>
      </c>
      <c r="D416" s="102" t="s">
        <v>44</v>
      </c>
      <c r="E416" s="102" t="s">
        <v>45</v>
      </c>
      <c r="F416" s="102" t="s">
        <v>46</v>
      </c>
      <c r="G416" s="102" t="s">
        <v>20</v>
      </c>
      <c r="H416" s="102" t="s">
        <v>21</v>
      </c>
      <c r="I416" s="102" t="s">
        <v>22</v>
      </c>
      <c r="J416" s="102" t="s">
        <v>23</v>
      </c>
      <c r="K416" s="102" t="s">
        <v>24</v>
      </c>
      <c r="L416" s="102" t="s">
        <v>25</v>
      </c>
      <c r="M416" s="102" t="s">
        <v>26</v>
      </c>
      <c r="N416" s="49" t="s">
        <v>4</v>
      </c>
      <c r="R416" s="17"/>
      <c r="S416" s="17"/>
    </row>
    <row r="417" spans="1:19" x14ac:dyDescent="0.25">
      <c r="A417" s="103" t="s">
        <v>99</v>
      </c>
      <c r="B417" s="104"/>
      <c r="C417" s="104"/>
      <c r="D417" s="104"/>
      <c r="E417" s="104"/>
      <c r="F417" s="104"/>
      <c r="G417" s="104"/>
      <c r="H417" s="104"/>
      <c r="I417" s="104"/>
      <c r="J417" s="105"/>
      <c r="K417" s="104"/>
      <c r="L417" s="104"/>
      <c r="M417" s="104"/>
      <c r="N417" s="104"/>
      <c r="P417" s="82"/>
      <c r="R417" s="17"/>
      <c r="S417" s="17"/>
    </row>
    <row r="418" spans="1:19" x14ac:dyDescent="0.25">
      <c r="A418" t="s">
        <v>171</v>
      </c>
      <c r="B418" s="41">
        <v>355.17</v>
      </c>
      <c r="C418" s="41"/>
      <c r="D418" s="41"/>
      <c r="E418" s="41"/>
      <c r="F418" s="41"/>
      <c r="G418" s="41"/>
      <c r="H418" s="41"/>
      <c r="I418" s="41"/>
      <c r="J418" s="41">
        <v>114.78</v>
      </c>
      <c r="K418" s="41"/>
      <c r="L418" s="41"/>
      <c r="M418" s="41"/>
      <c r="N418" s="41">
        <f>SUM(B418:M418)</f>
        <v>469.95000000000005</v>
      </c>
      <c r="R418" s="17"/>
      <c r="S418" s="17"/>
    </row>
    <row r="419" spans="1:19" x14ac:dyDescent="0.25">
      <c r="A419" s="9" t="s">
        <v>5</v>
      </c>
      <c r="B419" s="41"/>
      <c r="C419" s="41"/>
      <c r="D419" s="41">
        <f>37.28+15.42</f>
        <v>52.7</v>
      </c>
      <c r="E419" s="41"/>
      <c r="F419" s="41"/>
      <c r="G419" s="41"/>
      <c r="H419" s="41"/>
      <c r="I419" s="41"/>
      <c r="J419" s="20">
        <v>11.72</v>
      </c>
      <c r="K419" s="41"/>
      <c r="L419" s="41">
        <v>22.18</v>
      </c>
      <c r="M419" s="41">
        <v>13.32</v>
      </c>
      <c r="N419" s="41">
        <f t="shared" ref="N419:N442" si="196">SUM(B419:M419)</f>
        <v>99.919999999999987</v>
      </c>
      <c r="R419" s="17"/>
      <c r="S419" s="17"/>
    </row>
    <row r="420" spans="1:19" x14ac:dyDescent="0.25">
      <c r="A420" t="s">
        <v>16</v>
      </c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>
        <f t="shared" si="196"/>
        <v>0</v>
      </c>
      <c r="R420" s="17"/>
      <c r="S420" s="17"/>
    </row>
    <row r="421" spans="1:19" x14ac:dyDescent="0.25">
      <c r="A421" t="s">
        <v>17</v>
      </c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>
        <v>559.82000000000005</v>
      </c>
      <c r="N421" s="41">
        <f t="shared" si="196"/>
        <v>559.82000000000005</v>
      </c>
      <c r="R421" s="17"/>
      <c r="S421" s="17"/>
    </row>
    <row r="422" spans="1:19" x14ac:dyDescent="0.25">
      <c r="A422" t="s">
        <v>30</v>
      </c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>
        <v>38.11</v>
      </c>
      <c r="N422" s="41">
        <f t="shared" si="196"/>
        <v>38.11</v>
      </c>
      <c r="P422" s="20"/>
      <c r="R422" s="17"/>
      <c r="S422" s="17"/>
    </row>
    <row r="423" spans="1:19" x14ac:dyDescent="0.25">
      <c r="A423" t="s">
        <v>182</v>
      </c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>
        <f t="shared" si="196"/>
        <v>0</v>
      </c>
      <c r="R423" s="17"/>
      <c r="S423" s="17"/>
    </row>
    <row r="424" spans="1:19" x14ac:dyDescent="0.25">
      <c r="A424" t="s">
        <v>12</v>
      </c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>
        <f t="shared" si="196"/>
        <v>0</v>
      </c>
      <c r="R424" s="17"/>
      <c r="S424" s="17"/>
    </row>
    <row r="425" spans="1:19" x14ac:dyDescent="0.25">
      <c r="A425" t="s">
        <v>28</v>
      </c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>
        <f t="shared" si="196"/>
        <v>0</v>
      </c>
      <c r="R425" s="17"/>
      <c r="S425" s="17"/>
    </row>
    <row r="426" spans="1:19" x14ac:dyDescent="0.25">
      <c r="A426" t="s">
        <v>35</v>
      </c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>
        <f t="shared" si="196"/>
        <v>0</v>
      </c>
      <c r="R426" s="17"/>
      <c r="S426" s="17"/>
    </row>
    <row r="427" spans="1:19" x14ac:dyDescent="0.25">
      <c r="A427" t="s">
        <v>96</v>
      </c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>
        <f t="shared" si="196"/>
        <v>0</v>
      </c>
      <c r="P427" s="20"/>
      <c r="R427" s="17"/>
      <c r="S427" s="17"/>
    </row>
    <row r="428" spans="1:19" x14ac:dyDescent="0.25">
      <c r="A428" t="s">
        <v>85</v>
      </c>
      <c r="B428" s="41">
        <v>48.48</v>
      </c>
      <c r="C428" s="41"/>
      <c r="D428" s="41">
        <f>587.6+492.72</f>
        <v>1080.3200000000002</v>
      </c>
      <c r="E428" s="41">
        <v>52</v>
      </c>
      <c r="F428" s="41"/>
      <c r="G428" s="41"/>
      <c r="H428" s="41">
        <v>58.6</v>
      </c>
      <c r="I428" s="41">
        <v>62.4</v>
      </c>
      <c r="J428" s="41"/>
      <c r="K428" s="41">
        <v>62.4</v>
      </c>
      <c r="L428" s="41"/>
      <c r="M428" s="41"/>
      <c r="N428" s="41">
        <f t="shared" si="196"/>
        <v>1364.2000000000003</v>
      </c>
      <c r="R428" s="17"/>
      <c r="S428" s="17"/>
    </row>
    <row r="429" spans="1:19" x14ac:dyDescent="0.25">
      <c r="A429" t="s">
        <v>88</v>
      </c>
      <c r="B429" s="41"/>
      <c r="C429" s="41">
        <f>132.26+17.89</f>
        <v>150.14999999999998</v>
      </c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>
        <f t="shared" si="196"/>
        <v>150.14999999999998</v>
      </c>
      <c r="P429" s="20"/>
      <c r="R429" s="17"/>
      <c r="S429" s="17"/>
    </row>
    <row r="430" spans="1:19" x14ac:dyDescent="0.25">
      <c r="A430" t="s">
        <v>13</v>
      </c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>
        <f t="shared" si="196"/>
        <v>0</v>
      </c>
      <c r="P430" s="20"/>
      <c r="R430" s="17"/>
      <c r="S430" s="17"/>
    </row>
    <row r="431" spans="1:19" x14ac:dyDescent="0.25">
      <c r="A431" s="9" t="s">
        <v>15</v>
      </c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>
        <f t="shared" si="196"/>
        <v>0</v>
      </c>
      <c r="P431" s="20"/>
      <c r="R431" s="17"/>
      <c r="S431" s="17"/>
    </row>
    <row r="432" spans="1:19" x14ac:dyDescent="0.25">
      <c r="A432" t="s">
        <v>29</v>
      </c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>
        <f t="shared" si="196"/>
        <v>0</v>
      </c>
      <c r="P432" s="20"/>
      <c r="R432" s="17"/>
      <c r="S432" s="17"/>
    </row>
    <row r="433" spans="1:22" x14ac:dyDescent="0.25">
      <c r="A433" t="s">
        <v>82</v>
      </c>
      <c r="C433" s="41">
        <f>34+71.4+0.14+0.3</f>
        <v>105.84</v>
      </c>
      <c r="D433" s="41"/>
      <c r="E433" s="41"/>
      <c r="F433" s="41"/>
      <c r="G433" s="41"/>
      <c r="H433" s="41"/>
      <c r="I433" s="41"/>
      <c r="J433" s="41"/>
      <c r="K433" s="41"/>
      <c r="L433" s="41"/>
      <c r="M433" s="41">
        <v>0.08</v>
      </c>
      <c r="N433" s="41">
        <f t="shared" si="196"/>
        <v>105.92</v>
      </c>
      <c r="P433" s="20"/>
      <c r="R433" s="17"/>
      <c r="S433" s="17"/>
    </row>
    <row r="434" spans="1:22" x14ac:dyDescent="0.25">
      <c r="A434" t="s">
        <v>6</v>
      </c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>
        <f t="shared" si="196"/>
        <v>0</v>
      </c>
      <c r="P434" s="20"/>
      <c r="R434" s="17"/>
      <c r="S434" s="17"/>
    </row>
    <row r="435" spans="1:22" x14ac:dyDescent="0.25">
      <c r="A435" t="s">
        <v>31</v>
      </c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>
        <f t="shared" si="196"/>
        <v>0</v>
      </c>
      <c r="P435" s="20"/>
      <c r="R435" s="17"/>
      <c r="S435" s="17"/>
    </row>
    <row r="436" spans="1:22" x14ac:dyDescent="0.25">
      <c r="A436" t="s">
        <v>170</v>
      </c>
      <c r="B436" s="41"/>
      <c r="C436" s="41"/>
      <c r="D436" s="41"/>
      <c r="E436" s="41"/>
      <c r="F436" s="41">
        <f>112.05+327.36+94.49</f>
        <v>533.9</v>
      </c>
      <c r="G436" s="41"/>
      <c r="H436" s="41"/>
      <c r="I436" s="41">
        <f>400.11+90.62</f>
        <v>490.73</v>
      </c>
      <c r="J436" s="41"/>
      <c r="K436" s="41"/>
      <c r="L436" s="41">
        <f>745.23+90.08</f>
        <v>835.31000000000006</v>
      </c>
      <c r="M436" s="41">
        <v>83.61</v>
      </c>
      <c r="N436" s="41">
        <f t="shared" si="196"/>
        <v>1943.55</v>
      </c>
      <c r="R436" s="17"/>
      <c r="S436" s="17"/>
    </row>
    <row r="437" spans="1:22" x14ac:dyDescent="0.25">
      <c r="A437" t="s">
        <v>218</v>
      </c>
      <c r="B437" s="41"/>
      <c r="C437" s="41"/>
      <c r="D437" s="41"/>
      <c r="E437" s="41"/>
      <c r="F437" s="41">
        <f>112.76</f>
        <v>112.76</v>
      </c>
      <c r="G437" s="41"/>
      <c r="H437" s="41"/>
      <c r="I437" s="41">
        <f>122.11+47.3</f>
        <v>169.41</v>
      </c>
      <c r="J437" s="41">
        <v>166.49</v>
      </c>
      <c r="K437" s="41"/>
      <c r="L437" s="41">
        <v>81.599999999999994</v>
      </c>
      <c r="M437" s="110"/>
      <c r="N437" s="41">
        <f t="shared" si="196"/>
        <v>530.26</v>
      </c>
      <c r="R437" s="17"/>
      <c r="S437" s="17"/>
    </row>
    <row r="438" spans="1:22" x14ac:dyDescent="0.25">
      <c r="A438" t="s">
        <v>41</v>
      </c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>
        <f t="shared" si="196"/>
        <v>0</v>
      </c>
      <c r="R438" s="17"/>
      <c r="S438" s="17"/>
    </row>
    <row r="439" spans="1:22" x14ac:dyDescent="0.25">
      <c r="A439" t="s">
        <v>219</v>
      </c>
      <c r="B439" s="41"/>
      <c r="C439" s="41"/>
      <c r="D439" s="41">
        <v>233.31</v>
      </c>
      <c r="E439" s="41"/>
      <c r="F439" s="41"/>
      <c r="G439" s="41"/>
      <c r="H439" s="41"/>
      <c r="I439" s="41"/>
      <c r="J439" s="41"/>
      <c r="K439" s="41"/>
      <c r="L439" s="41"/>
      <c r="M439" s="41"/>
      <c r="N439" s="41">
        <f t="shared" si="196"/>
        <v>233.31</v>
      </c>
      <c r="R439" s="17"/>
      <c r="S439" s="17"/>
    </row>
    <row r="440" spans="1:22" x14ac:dyDescent="0.25">
      <c r="A440" t="s">
        <v>352</v>
      </c>
      <c r="B440" s="41"/>
      <c r="C440" s="41"/>
      <c r="D440" s="41"/>
      <c r="E440" s="41"/>
      <c r="F440" s="41">
        <v>66.88</v>
      </c>
      <c r="G440" s="41"/>
      <c r="H440" s="41">
        <v>66.88</v>
      </c>
      <c r="I440" s="41"/>
      <c r="J440" s="41"/>
      <c r="K440" s="41"/>
      <c r="L440" s="41">
        <v>66.88</v>
      </c>
      <c r="M440" s="41"/>
      <c r="N440" s="41">
        <f t="shared" si="196"/>
        <v>200.64</v>
      </c>
      <c r="R440" s="17"/>
      <c r="S440" s="17"/>
    </row>
    <row r="441" spans="1:22" x14ac:dyDescent="0.25">
      <c r="A441" t="s">
        <v>216</v>
      </c>
      <c r="B441" s="41"/>
      <c r="C441" s="41"/>
      <c r="D441" s="41"/>
      <c r="E441" s="41"/>
      <c r="F441" s="41"/>
      <c r="G441" s="41">
        <v>115</v>
      </c>
      <c r="H441" s="41"/>
      <c r="I441" s="41"/>
      <c r="J441" s="41"/>
      <c r="K441" s="41"/>
      <c r="L441" s="41"/>
      <c r="M441" s="41"/>
      <c r="N441" s="41">
        <f t="shared" si="196"/>
        <v>115</v>
      </c>
      <c r="R441" s="17"/>
      <c r="S441" s="17"/>
    </row>
    <row r="442" spans="1:22" x14ac:dyDescent="0.25">
      <c r="A442" t="s">
        <v>405</v>
      </c>
      <c r="B442" s="41"/>
      <c r="C442" s="41"/>
      <c r="D442" s="41">
        <v>62.96</v>
      </c>
      <c r="E442" s="41"/>
      <c r="F442" s="41"/>
      <c r="G442" s="41">
        <v>72.06</v>
      </c>
      <c r="H442" s="41"/>
      <c r="I442" s="41"/>
      <c r="J442" s="41"/>
      <c r="K442" s="41"/>
      <c r="L442" s="41"/>
      <c r="M442" s="41">
        <v>110.43</v>
      </c>
      <c r="N442" s="41">
        <f t="shared" si="196"/>
        <v>245.45000000000002</v>
      </c>
      <c r="R442" s="17"/>
      <c r="S442" s="17"/>
    </row>
    <row r="443" spans="1:22" x14ac:dyDescent="0.25">
      <c r="A443" s="46" t="s">
        <v>47</v>
      </c>
      <c r="B443" s="106">
        <f>SUM(B418:B442)</f>
        <v>403.65000000000003</v>
      </c>
      <c r="C443" s="106">
        <f>SUM(C418:C442)</f>
        <v>255.98999999999998</v>
      </c>
      <c r="D443" s="106">
        <f>SUM(D418:D442)</f>
        <v>1429.2900000000002</v>
      </c>
      <c r="E443" s="106">
        <f t="shared" ref="E443:G443" si="197">SUM(E418:E442)</f>
        <v>52</v>
      </c>
      <c r="F443" s="106">
        <f t="shared" si="197"/>
        <v>713.54</v>
      </c>
      <c r="G443" s="106">
        <f t="shared" si="197"/>
        <v>187.06</v>
      </c>
      <c r="H443" s="106">
        <f>SUM(H418:H442)</f>
        <v>125.47999999999999</v>
      </c>
      <c r="I443" s="106">
        <f t="shared" ref="I443:K443" si="198">SUM(I418:I442)</f>
        <v>722.54</v>
      </c>
      <c r="J443" s="106">
        <f t="shared" si="198"/>
        <v>292.99</v>
      </c>
      <c r="K443" s="106">
        <f t="shared" si="198"/>
        <v>62.4</v>
      </c>
      <c r="L443" s="106">
        <f>SUM(L418:L442)</f>
        <v>1005.97</v>
      </c>
      <c r="M443" s="106">
        <f>SUM(M418:M442)</f>
        <v>805.37000000000012</v>
      </c>
      <c r="N443" s="106">
        <f>SUM(N418:N442)</f>
        <v>6056.2800000000007</v>
      </c>
      <c r="R443" s="17"/>
      <c r="S443" s="17"/>
    </row>
    <row r="444" spans="1:22" x14ac:dyDescent="0.25"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P444" s="20"/>
      <c r="T444" s="20"/>
      <c r="V444" s="41"/>
    </row>
    <row r="445" spans="1:22" x14ac:dyDescent="0.25">
      <c r="A445" s="107" t="s">
        <v>188</v>
      </c>
      <c r="B445" s="109" t="s">
        <v>42</v>
      </c>
      <c r="C445" s="109" t="s">
        <v>43</v>
      </c>
      <c r="D445" s="109" t="s">
        <v>44</v>
      </c>
      <c r="E445" s="109" t="s">
        <v>45</v>
      </c>
      <c r="F445" s="109" t="s">
        <v>46</v>
      </c>
      <c r="G445" s="109" t="s">
        <v>20</v>
      </c>
      <c r="H445" s="109" t="s">
        <v>21</v>
      </c>
      <c r="I445" s="109" t="s">
        <v>22</v>
      </c>
      <c r="J445" s="109" t="s">
        <v>23</v>
      </c>
      <c r="K445" s="109" t="s">
        <v>24</v>
      </c>
      <c r="L445" s="109" t="s">
        <v>25</v>
      </c>
      <c r="M445" s="109" t="s">
        <v>26</v>
      </c>
      <c r="N445" s="104"/>
      <c r="V445" s="41"/>
    </row>
    <row r="446" spans="1:22" x14ac:dyDescent="0.25">
      <c r="A446" t="s">
        <v>173</v>
      </c>
      <c r="B446" s="41">
        <v>336.3</v>
      </c>
      <c r="C446" s="41">
        <v>336.3</v>
      </c>
      <c r="D446" s="41">
        <f>312.7+1.44</f>
        <v>314.14</v>
      </c>
      <c r="E446" s="41">
        <v>242</v>
      </c>
      <c r="F446" s="41">
        <v>246</v>
      </c>
      <c r="G446" s="41">
        <v>246</v>
      </c>
      <c r="H446" s="41">
        <v>246</v>
      </c>
      <c r="I446" s="41">
        <v>276.75</v>
      </c>
      <c r="J446" s="41">
        <v>276.75</v>
      </c>
      <c r="K446" s="41">
        <v>276.75</v>
      </c>
      <c r="L446" s="41">
        <v>307.5</v>
      </c>
      <c r="M446" s="41">
        <v>325.95</v>
      </c>
      <c r="N446" s="41">
        <f t="shared" ref="N446:N453" si="199">SUM(B446:M446)</f>
        <v>3430.4399999999996</v>
      </c>
      <c r="U446" s="20"/>
      <c r="V446" s="41"/>
    </row>
    <row r="447" spans="1:22" x14ac:dyDescent="0.25">
      <c r="A447" t="s">
        <v>222</v>
      </c>
      <c r="B447" s="41">
        <v>232.5</v>
      </c>
      <c r="C447" s="41">
        <v>116.25</v>
      </c>
      <c r="D447" s="41">
        <v>116.25</v>
      </c>
      <c r="E447" s="41">
        <v>77.5</v>
      </c>
      <c r="F447" s="41">
        <v>100.75</v>
      </c>
      <c r="G447" s="41">
        <v>87.5</v>
      </c>
      <c r="H447" s="41">
        <v>94.5</v>
      </c>
      <c r="I447" s="41">
        <v>87.5</v>
      </c>
      <c r="J447" s="41">
        <v>87.5</v>
      </c>
      <c r="K447" s="41">
        <v>87.5</v>
      </c>
      <c r="L447" s="41">
        <f>1.32+92.5</f>
        <v>93.82</v>
      </c>
      <c r="M447" s="41">
        <v>97.5</v>
      </c>
      <c r="N447" s="41">
        <f t="shared" si="199"/>
        <v>1279.07</v>
      </c>
      <c r="U447" s="20"/>
      <c r="V447" s="41"/>
    </row>
    <row r="448" spans="1:22" x14ac:dyDescent="0.25">
      <c r="A448" t="s">
        <v>180</v>
      </c>
      <c r="B448" s="41">
        <v>18.89</v>
      </c>
      <c r="C448" s="41">
        <v>17.940000000000001</v>
      </c>
      <c r="D448" s="41">
        <v>15.42</v>
      </c>
      <c r="E448" s="41">
        <v>11.05</v>
      </c>
      <c r="F448" s="41">
        <v>10.8</v>
      </c>
      <c r="G448" s="41">
        <v>8.5399999999999991</v>
      </c>
      <c r="H448" s="41">
        <v>5.09</v>
      </c>
      <c r="I448" s="41">
        <v>24.65</v>
      </c>
      <c r="J448" s="41">
        <v>11.27</v>
      </c>
      <c r="K448" s="41">
        <v>6.91</v>
      </c>
      <c r="L448" s="41">
        <v>14.4</v>
      </c>
      <c r="M448" s="41">
        <v>26.68</v>
      </c>
      <c r="N448" s="41">
        <f t="shared" si="199"/>
        <v>171.64000000000001</v>
      </c>
      <c r="U448" s="20"/>
      <c r="V448" s="41"/>
    </row>
    <row r="449" spans="1:28" x14ac:dyDescent="0.25">
      <c r="A449" t="s">
        <v>184</v>
      </c>
      <c r="B449" s="41">
        <v>364.8</v>
      </c>
      <c r="C449" s="41">
        <v>74.099999999999994</v>
      </c>
      <c r="D449" s="41">
        <v>78</v>
      </c>
      <c r="E449" s="41">
        <v>20</v>
      </c>
      <c r="F449" s="41">
        <v>10</v>
      </c>
      <c r="G449" s="41">
        <v>10</v>
      </c>
      <c r="H449" s="41">
        <v>20</v>
      </c>
      <c r="I449" s="41">
        <v>0</v>
      </c>
      <c r="J449" s="41">
        <v>10</v>
      </c>
      <c r="K449" s="41">
        <v>30</v>
      </c>
      <c r="L449" s="41">
        <v>30</v>
      </c>
      <c r="M449" s="41">
        <v>50</v>
      </c>
      <c r="N449" s="41">
        <f t="shared" si="199"/>
        <v>696.9</v>
      </c>
      <c r="U449" s="20"/>
      <c r="V449" s="41"/>
      <c r="AB449" s="116"/>
    </row>
    <row r="450" spans="1:28" x14ac:dyDescent="0.25">
      <c r="A450" t="s">
        <v>234</v>
      </c>
      <c r="B450" s="41">
        <v>26.4</v>
      </c>
      <c r="C450" s="41">
        <v>41.6</v>
      </c>
      <c r="D450" s="41">
        <v>29.2</v>
      </c>
      <c r="E450" s="41">
        <v>30.4</v>
      </c>
      <c r="F450" s="41">
        <v>23.6</v>
      </c>
      <c r="G450" s="41">
        <v>28.4</v>
      </c>
      <c r="H450" s="41">
        <v>25.6</v>
      </c>
      <c r="I450" s="41">
        <v>25.6</v>
      </c>
      <c r="J450" s="41">
        <v>27.2</v>
      </c>
      <c r="K450" s="41">
        <v>28.4</v>
      </c>
      <c r="L450" s="41">
        <v>28.8</v>
      </c>
      <c r="M450" s="41">
        <v>29.6</v>
      </c>
      <c r="N450" s="41">
        <f t="shared" si="199"/>
        <v>344.8</v>
      </c>
      <c r="U450" s="20"/>
      <c r="V450" s="41"/>
    </row>
    <row r="451" spans="1:28" x14ac:dyDescent="0.25">
      <c r="A451" t="s">
        <v>221</v>
      </c>
      <c r="B451" s="41">
        <f>149.5+11.68</f>
        <v>161.18</v>
      </c>
      <c r="C451" s="41">
        <v>115.36</v>
      </c>
      <c r="D451" s="41">
        <f>129.78+1</f>
        <v>130.78</v>
      </c>
      <c r="E451" s="41">
        <f>3+137.76</f>
        <v>140.76</v>
      </c>
      <c r="F451" s="41">
        <v>134.54</v>
      </c>
      <c r="G451" s="41">
        <v>141.54</v>
      </c>
      <c r="H451" s="41">
        <v>141.54</v>
      </c>
      <c r="I451" s="41">
        <v>141.54</v>
      </c>
      <c r="J451" s="41">
        <v>148.54</v>
      </c>
      <c r="K451" s="41">
        <f>148.54+3</f>
        <v>151.54</v>
      </c>
      <c r="L451" s="41">
        <v>133.32</v>
      </c>
      <c r="M451" s="41">
        <v>133.32</v>
      </c>
      <c r="N451" s="41">
        <f t="shared" si="199"/>
        <v>1673.9599999999998</v>
      </c>
      <c r="U451" s="20"/>
      <c r="V451" s="41"/>
    </row>
    <row r="452" spans="1:28" x14ac:dyDescent="0.25">
      <c r="A452" t="s">
        <v>183</v>
      </c>
      <c r="B452" s="41">
        <v>23.19</v>
      </c>
      <c r="C452" s="41">
        <v>27.47</v>
      </c>
      <c r="D452" s="41">
        <v>39.72</v>
      </c>
      <c r="E452" s="41">
        <v>0</v>
      </c>
      <c r="F452" s="41">
        <v>0</v>
      </c>
      <c r="G452" s="41">
        <v>0</v>
      </c>
      <c r="H452" s="41">
        <v>3.68</v>
      </c>
      <c r="I452" s="41">
        <v>0</v>
      </c>
      <c r="J452" s="41">
        <v>0</v>
      </c>
      <c r="K452" s="41">
        <v>0</v>
      </c>
      <c r="L452" s="41">
        <v>0</v>
      </c>
      <c r="M452" s="41">
        <v>0</v>
      </c>
      <c r="N452" s="41">
        <f t="shared" si="199"/>
        <v>94.06</v>
      </c>
      <c r="U452" s="20"/>
      <c r="V452" s="41"/>
    </row>
    <row r="453" spans="1:28" x14ac:dyDescent="0.25">
      <c r="A453" t="s">
        <v>220</v>
      </c>
      <c r="B453" s="41">
        <v>24</v>
      </c>
      <c r="C453" s="41">
        <v>23.83</v>
      </c>
      <c r="D453" s="41">
        <v>24</v>
      </c>
      <c r="E453" s="41">
        <v>22</v>
      </c>
      <c r="F453" s="41">
        <v>27.5</v>
      </c>
      <c r="G453" s="41">
        <v>27.5</v>
      </c>
      <c r="H453" s="41">
        <v>27.5</v>
      </c>
      <c r="I453" s="41">
        <v>30</v>
      </c>
      <c r="J453" s="41">
        <v>30</v>
      </c>
      <c r="K453" s="41">
        <v>30</v>
      </c>
      <c r="L453" s="41">
        <v>30</v>
      </c>
      <c r="M453" s="41">
        <v>30</v>
      </c>
      <c r="N453" s="41">
        <f t="shared" si="199"/>
        <v>326.33</v>
      </c>
      <c r="U453" s="20"/>
      <c r="V453" s="41"/>
    </row>
    <row r="454" spans="1:28" x14ac:dyDescent="0.25">
      <c r="A454" t="s">
        <v>181</v>
      </c>
      <c r="B454" s="41">
        <v>59.85</v>
      </c>
      <c r="C454" s="41">
        <v>54.6</v>
      </c>
      <c r="D454" s="41">
        <v>54.6</v>
      </c>
      <c r="E454" s="41">
        <v>48.3</v>
      </c>
      <c r="F454" s="41">
        <v>48.3</v>
      </c>
      <c r="G454" s="41">
        <v>46.2</v>
      </c>
      <c r="H454" s="41">
        <v>46.2</v>
      </c>
      <c r="I454" s="41">
        <v>52.5</v>
      </c>
      <c r="J454" s="41">
        <v>57.75</v>
      </c>
      <c r="K454" s="41">
        <v>57.75</v>
      </c>
      <c r="L454" s="41">
        <v>61.95</v>
      </c>
      <c r="M454" s="41">
        <v>63</v>
      </c>
      <c r="N454" s="41">
        <f t="shared" ref="N454:N456" si="200">SUM(B454:M454)</f>
        <v>651</v>
      </c>
      <c r="U454" s="20"/>
      <c r="V454" s="41"/>
    </row>
    <row r="455" spans="1:28" x14ac:dyDescent="0.25">
      <c r="A455" t="s">
        <v>186</v>
      </c>
      <c r="B455" s="41">
        <f>73+55</f>
        <v>128</v>
      </c>
      <c r="C455" s="41">
        <v>130</v>
      </c>
      <c r="D455" s="41">
        <v>131</v>
      </c>
      <c r="E455" s="41">
        <f>75+56</f>
        <v>131</v>
      </c>
      <c r="F455" s="41">
        <v>100</v>
      </c>
      <c r="G455" s="41">
        <v>87</v>
      </c>
      <c r="H455" s="41">
        <f>75+43</f>
        <v>118</v>
      </c>
      <c r="I455" s="41">
        <f>57+75</f>
        <v>132</v>
      </c>
      <c r="J455" s="41">
        <f>60+75</f>
        <v>135</v>
      </c>
      <c r="K455" s="41">
        <f>54+75</f>
        <v>129</v>
      </c>
      <c r="L455" s="41">
        <f>54+75</f>
        <v>129</v>
      </c>
      <c r="M455" s="41">
        <v>124</v>
      </c>
      <c r="N455" s="41">
        <f t="shared" si="200"/>
        <v>1474</v>
      </c>
      <c r="U455" s="20"/>
      <c r="V455" s="41"/>
    </row>
    <row r="456" spans="1:28" x14ac:dyDescent="0.25">
      <c r="A456" t="s">
        <v>169</v>
      </c>
      <c r="B456" s="41">
        <v>111.65</v>
      </c>
      <c r="C456" s="41">
        <v>91.35</v>
      </c>
      <c r="D456" s="41">
        <v>91.35</v>
      </c>
      <c r="E456" s="41">
        <v>43.5</v>
      </c>
      <c r="F456" s="41">
        <v>41.31</v>
      </c>
      <c r="G456" s="41">
        <v>35.19</v>
      </c>
      <c r="H456" s="41">
        <v>29.07</v>
      </c>
      <c r="I456" s="41">
        <v>27.54</v>
      </c>
      <c r="J456" s="41">
        <v>22.95</v>
      </c>
      <c r="K456" s="41">
        <v>30.6</v>
      </c>
      <c r="L456" s="41">
        <v>57.37</v>
      </c>
      <c r="M456" s="41">
        <v>68.849999999999994</v>
      </c>
      <c r="N456" s="41">
        <f t="shared" si="200"/>
        <v>650.73</v>
      </c>
      <c r="U456" s="20"/>
      <c r="V456" s="41"/>
    </row>
    <row r="457" spans="1:28" x14ac:dyDescent="0.25">
      <c r="A457" t="s">
        <v>217</v>
      </c>
      <c r="B457" s="41">
        <v>97.92</v>
      </c>
      <c r="C457" s="41">
        <v>97.92</v>
      </c>
      <c r="D457" s="41">
        <v>97.92</v>
      </c>
      <c r="E457" s="41">
        <v>88.74</v>
      </c>
      <c r="F457" s="41">
        <v>82.62</v>
      </c>
      <c r="G457" s="41">
        <v>82.62</v>
      </c>
      <c r="H457" s="41">
        <v>87.21</v>
      </c>
      <c r="I457" s="41">
        <v>88.74</v>
      </c>
      <c r="J457" s="41">
        <v>88.74</v>
      </c>
      <c r="K457" s="41">
        <v>88.74</v>
      </c>
      <c r="L457" s="41">
        <v>88.74</v>
      </c>
      <c r="M457" s="41">
        <v>88.74</v>
      </c>
      <c r="N457" s="41">
        <f t="shared" ref="N457:N462" si="201">SUM(B457:M457)</f>
        <v>1078.6500000000001</v>
      </c>
      <c r="U457" s="20"/>
      <c r="V457" s="41"/>
    </row>
    <row r="458" spans="1:28" x14ac:dyDescent="0.25">
      <c r="A458" t="s">
        <v>267</v>
      </c>
      <c r="B458" s="41">
        <v>22.2</v>
      </c>
      <c r="C458" s="41">
        <v>20.399999999999999</v>
      </c>
      <c r="D458" s="41">
        <v>20.399999999999999</v>
      </c>
      <c r="E458" s="41">
        <v>20.399999999999999</v>
      </c>
      <c r="F458" s="41">
        <v>20.399999999999999</v>
      </c>
      <c r="G458" s="41">
        <v>20.399999999999999</v>
      </c>
      <c r="H458" s="41">
        <v>20.399999999999999</v>
      </c>
      <c r="I458" s="41">
        <v>20.399999999999999</v>
      </c>
      <c r="J458" s="41">
        <v>20.399999999999999</v>
      </c>
      <c r="K458" s="41">
        <v>20.399999999999999</v>
      </c>
      <c r="L458" s="41">
        <v>20.399999999999999</v>
      </c>
      <c r="M458" s="41">
        <v>20.399999999999999</v>
      </c>
      <c r="N458" s="41">
        <f t="shared" si="201"/>
        <v>246.60000000000002</v>
      </c>
      <c r="U458" s="20"/>
      <c r="V458" s="41"/>
    </row>
    <row r="459" spans="1:28" x14ac:dyDescent="0.25">
      <c r="A459" t="s">
        <v>270</v>
      </c>
      <c r="B459" s="20">
        <v>46.97</v>
      </c>
      <c r="C459" s="41">
        <v>38.5</v>
      </c>
      <c r="D459" s="41">
        <v>0</v>
      </c>
      <c r="E459" s="20">
        <v>0</v>
      </c>
      <c r="F459" s="20">
        <v>0</v>
      </c>
      <c r="G459" s="20">
        <v>20.79</v>
      </c>
      <c r="H459" s="20">
        <v>31.95</v>
      </c>
      <c r="I459" s="20">
        <v>2.31</v>
      </c>
      <c r="J459" s="20">
        <v>13.86</v>
      </c>
      <c r="K459" s="20">
        <v>20.02</v>
      </c>
      <c r="L459" s="20">
        <v>32.340000000000003</v>
      </c>
      <c r="M459" s="20">
        <v>34.65</v>
      </c>
      <c r="N459" s="41">
        <f t="shared" si="201"/>
        <v>241.39000000000001</v>
      </c>
      <c r="U459" s="20"/>
      <c r="V459" s="41"/>
    </row>
    <row r="460" spans="1:28" x14ac:dyDescent="0.25">
      <c r="A460" t="s">
        <v>276</v>
      </c>
      <c r="B460" s="20">
        <v>4.66</v>
      </c>
      <c r="C460" s="20">
        <v>5.82</v>
      </c>
      <c r="D460" s="41">
        <v>7.12</v>
      </c>
      <c r="E460" s="20">
        <v>0</v>
      </c>
      <c r="F460" s="20">
        <v>0</v>
      </c>
      <c r="G460" s="20">
        <v>0</v>
      </c>
      <c r="H460" s="20">
        <v>0</v>
      </c>
      <c r="I460" s="20">
        <v>0</v>
      </c>
      <c r="J460" s="20">
        <v>0</v>
      </c>
      <c r="K460" s="20">
        <v>0</v>
      </c>
      <c r="L460" s="20">
        <v>0</v>
      </c>
      <c r="M460" s="20">
        <v>0</v>
      </c>
      <c r="N460" s="41">
        <f t="shared" si="201"/>
        <v>17.600000000000001</v>
      </c>
      <c r="U460" s="20"/>
      <c r="V460" s="41"/>
    </row>
    <row r="461" spans="1:28" x14ac:dyDescent="0.25">
      <c r="A461" t="s">
        <v>355</v>
      </c>
      <c r="B461" s="20">
        <v>62.45</v>
      </c>
      <c r="C461" s="20">
        <v>57</v>
      </c>
      <c r="D461" s="20">
        <v>57.75</v>
      </c>
      <c r="E461" s="20">
        <v>60.45</v>
      </c>
      <c r="F461" s="20">
        <v>57.5</v>
      </c>
      <c r="G461" s="20">
        <v>54.05</v>
      </c>
      <c r="H461" s="20">
        <v>57.66</v>
      </c>
      <c r="I461" s="20">
        <v>51.75</v>
      </c>
      <c r="J461" s="20">
        <v>47.15</v>
      </c>
      <c r="K461" s="20">
        <v>51.75</v>
      </c>
      <c r="L461" s="20">
        <v>47.15</v>
      </c>
      <c r="M461" s="20">
        <v>44.85</v>
      </c>
      <c r="N461" s="41">
        <f t="shared" si="201"/>
        <v>649.51</v>
      </c>
      <c r="U461" s="20"/>
      <c r="V461" s="41"/>
      <c r="AB461" s="116"/>
    </row>
    <row r="462" spans="1:28" x14ac:dyDescent="0.25">
      <c r="A462" t="s">
        <v>495</v>
      </c>
      <c r="B462" s="20">
        <f>53.88+5.93</f>
        <v>59.81</v>
      </c>
      <c r="C462" s="20">
        <v>95.04</v>
      </c>
      <c r="D462" s="20">
        <v>98</v>
      </c>
      <c r="E462" s="20">
        <v>75.599999999999994</v>
      </c>
      <c r="F462" s="20">
        <v>75.599999999999994</v>
      </c>
      <c r="G462" s="20">
        <v>75.599999999999994</v>
      </c>
      <c r="H462" s="20">
        <v>82.6</v>
      </c>
      <c r="I462" s="20">
        <v>82.6</v>
      </c>
      <c r="J462" s="20">
        <v>106.2</v>
      </c>
      <c r="K462" s="20">
        <v>167.68</v>
      </c>
      <c r="L462" s="20">
        <f>8.94+167.68</f>
        <v>176.62</v>
      </c>
      <c r="M462" s="20">
        <f>26.2+167.68</f>
        <v>193.88</v>
      </c>
      <c r="N462" s="41">
        <f t="shared" si="201"/>
        <v>1289.2300000000005</v>
      </c>
      <c r="U462" s="20"/>
      <c r="V462" s="41"/>
    </row>
    <row r="463" spans="1:28" x14ac:dyDescent="0.25">
      <c r="A463" t="s">
        <v>377</v>
      </c>
      <c r="B463" s="20">
        <v>9</v>
      </c>
      <c r="C463" s="20">
        <v>20.25</v>
      </c>
      <c r="D463" s="20">
        <v>12.5</v>
      </c>
      <c r="E463" s="20">
        <v>10</v>
      </c>
      <c r="F463" s="20">
        <v>3</v>
      </c>
      <c r="G463" s="20">
        <v>2.75</v>
      </c>
      <c r="H463" s="20">
        <v>5.74</v>
      </c>
      <c r="I463" s="20">
        <v>8.6999999999999993</v>
      </c>
      <c r="J463" s="20">
        <v>17.399999999999999</v>
      </c>
      <c r="K463" s="20">
        <v>20.3</v>
      </c>
      <c r="L463" s="20">
        <v>27.84</v>
      </c>
      <c r="M463" s="20">
        <v>33.64</v>
      </c>
      <c r="N463" s="41">
        <f>SUM(B463:M463)</f>
        <v>171.12</v>
      </c>
      <c r="U463" s="20"/>
      <c r="V463" s="41"/>
    </row>
    <row r="464" spans="1:28" x14ac:dyDescent="0.25">
      <c r="A464" t="s">
        <v>374</v>
      </c>
      <c r="B464" s="41">
        <v>141</v>
      </c>
      <c r="C464" s="41">
        <v>39</v>
      </c>
      <c r="D464" s="41">
        <v>42.9</v>
      </c>
      <c r="E464" s="41">
        <v>28.8</v>
      </c>
      <c r="F464" s="41">
        <v>28.8</v>
      </c>
      <c r="G464" s="41">
        <v>31.68</v>
      </c>
      <c r="H464" s="41">
        <v>41.28</v>
      </c>
      <c r="I464" s="41">
        <v>60.32</v>
      </c>
      <c r="J464" s="41">
        <v>63.8</v>
      </c>
      <c r="K464" s="126">
        <v>80.3</v>
      </c>
      <c r="L464" s="20">
        <v>85.8</v>
      </c>
      <c r="M464" s="41">
        <v>85.8</v>
      </c>
      <c r="N464" s="41">
        <f>SUM(B464:M464)</f>
        <v>729.4799999999999</v>
      </c>
      <c r="U464" s="20"/>
      <c r="V464" s="41"/>
    </row>
    <row r="465" spans="1:24" x14ac:dyDescent="0.25">
      <c r="A465" t="s">
        <v>383</v>
      </c>
      <c r="B465" s="41">
        <v>20.100000000000001</v>
      </c>
      <c r="C465" s="41">
        <v>21</v>
      </c>
      <c r="D465" s="41">
        <v>21.57</v>
      </c>
      <c r="E465" s="41">
        <v>21</v>
      </c>
      <c r="F465" s="41">
        <v>22.5</v>
      </c>
      <c r="G465" s="41">
        <v>30.31</v>
      </c>
      <c r="H465" s="41">
        <v>33.51</v>
      </c>
      <c r="I465" s="41">
        <v>20</v>
      </c>
      <c r="J465" s="41">
        <v>27.09</v>
      </c>
      <c r="K465" s="126">
        <v>31.5</v>
      </c>
      <c r="L465" s="20">
        <v>38.4</v>
      </c>
      <c r="M465" s="41">
        <v>44</v>
      </c>
      <c r="N465" s="41">
        <f t="shared" ref="N465:N467" si="202">SUM(B465:M465)</f>
        <v>330.97999999999996</v>
      </c>
      <c r="U465" s="20"/>
      <c r="V465" s="41"/>
    </row>
    <row r="466" spans="1:24" x14ac:dyDescent="0.25">
      <c r="A466" t="s">
        <v>408</v>
      </c>
      <c r="B466" s="41"/>
      <c r="C466" s="41">
        <v>11.47</v>
      </c>
      <c r="D466" s="41">
        <v>22.57</v>
      </c>
      <c r="E466" s="41">
        <v>26.27</v>
      </c>
      <c r="F466" s="41">
        <v>28.35</v>
      </c>
      <c r="G466" s="41">
        <v>28.35</v>
      </c>
      <c r="H466" s="41">
        <v>37.799999999999997</v>
      </c>
      <c r="I466" s="41">
        <v>32.4</v>
      </c>
      <c r="J466" s="41">
        <v>31.5</v>
      </c>
      <c r="K466" s="126">
        <v>31.5</v>
      </c>
      <c r="L466" s="20">
        <v>31.5</v>
      </c>
      <c r="M466" s="41">
        <v>35</v>
      </c>
      <c r="N466" s="41">
        <f t="shared" si="202"/>
        <v>316.71000000000004</v>
      </c>
      <c r="U466" s="20"/>
      <c r="V466" s="41"/>
    </row>
    <row r="467" spans="1:24" x14ac:dyDescent="0.25">
      <c r="A467" t="s">
        <v>510</v>
      </c>
      <c r="B467" s="41"/>
      <c r="C467" s="41"/>
      <c r="D467" s="41"/>
      <c r="E467" s="41"/>
      <c r="F467" s="41"/>
      <c r="G467" s="41"/>
      <c r="H467" s="41"/>
      <c r="I467" s="41"/>
      <c r="J467" s="41"/>
      <c r="K467" s="126"/>
      <c r="L467" s="20"/>
      <c r="M467" s="41">
        <v>24.3</v>
      </c>
      <c r="N467" s="41">
        <f t="shared" si="202"/>
        <v>24.3</v>
      </c>
      <c r="U467" s="20"/>
      <c r="V467" s="41"/>
    </row>
    <row r="468" spans="1:24" x14ac:dyDescent="0.25">
      <c r="B468" s="41"/>
      <c r="C468" s="41"/>
      <c r="D468" s="41"/>
      <c r="E468" s="41"/>
      <c r="F468" s="41"/>
      <c r="G468" s="41"/>
      <c r="H468" s="41"/>
      <c r="I468" s="41"/>
      <c r="J468" s="41"/>
      <c r="K468" s="126"/>
      <c r="L468" s="20"/>
      <c r="M468" s="41"/>
      <c r="N468" s="41"/>
      <c r="U468" s="20"/>
      <c r="V468" s="41"/>
    </row>
    <row r="469" spans="1:24" x14ac:dyDescent="0.25">
      <c r="A469" s="46" t="s">
        <v>47</v>
      </c>
      <c r="B469" s="106">
        <f>SUM(B446:B468)</f>
        <v>1950.8700000000001</v>
      </c>
      <c r="C469" s="106">
        <f>SUM(C446:C468)</f>
        <v>1435.2000000000003</v>
      </c>
      <c r="D469" s="106">
        <f t="shared" ref="D469:G469" si="203">SUM(D446:D468)</f>
        <v>1405.19</v>
      </c>
      <c r="E469" s="106">
        <f t="shared" si="203"/>
        <v>1097.77</v>
      </c>
      <c r="F469" s="106">
        <f>SUM(F446:F468)</f>
        <v>1061.5699999999997</v>
      </c>
      <c r="G469" s="106">
        <f t="shared" si="203"/>
        <v>1064.4199999999998</v>
      </c>
      <c r="H469" s="106">
        <f>SUM(H446:H468)</f>
        <v>1155.33</v>
      </c>
      <c r="I469" s="106">
        <f>SUM(I446:I468)</f>
        <v>1165.3</v>
      </c>
      <c r="J469" s="106">
        <f t="shared" ref="J469" si="204">SUM(J446:J468)</f>
        <v>1223.0999999999999</v>
      </c>
      <c r="K469" s="106">
        <f>SUM(K446:K468)</f>
        <v>1340.6399999999999</v>
      </c>
      <c r="L469" s="106">
        <f>SUM(L446:L468)</f>
        <v>1434.9499999999998</v>
      </c>
      <c r="M469" s="106">
        <f>SUM(M446:M468)</f>
        <v>1554.16</v>
      </c>
      <c r="N469" s="106">
        <f>SUM(N446:N468)</f>
        <v>15888.5</v>
      </c>
      <c r="U469" s="74"/>
      <c r="V469" s="128"/>
      <c r="W469" s="74"/>
      <c r="X469" s="129"/>
    </row>
    <row r="470" spans="1:24" x14ac:dyDescent="0.25"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P470" s="20"/>
      <c r="R470" s="17"/>
      <c r="S470" s="17"/>
    </row>
    <row r="471" spans="1:24" x14ac:dyDescent="0.25">
      <c r="A471" s="107" t="s">
        <v>100</v>
      </c>
      <c r="B471" s="109" t="s">
        <v>42</v>
      </c>
      <c r="C471" s="109" t="s">
        <v>43</v>
      </c>
      <c r="D471" s="109" t="s">
        <v>44</v>
      </c>
      <c r="E471" s="109" t="s">
        <v>45</v>
      </c>
      <c r="F471" s="109" t="s">
        <v>46</v>
      </c>
      <c r="G471" s="109" t="s">
        <v>20</v>
      </c>
      <c r="H471" s="109" t="s">
        <v>21</v>
      </c>
      <c r="I471" s="109" t="s">
        <v>22</v>
      </c>
      <c r="J471" s="109" t="s">
        <v>23</v>
      </c>
      <c r="K471" s="109" t="s">
        <v>24</v>
      </c>
      <c r="L471" s="109" t="s">
        <v>25</v>
      </c>
      <c r="M471" s="109" t="s">
        <v>26</v>
      </c>
      <c r="N471" s="104"/>
      <c r="P471" s="20"/>
      <c r="R471" s="17"/>
      <c r="S471" s="17"/>
      <c r="W471" s="74"/>
      <c r="X471" s="75"/>
    </row>
    <row r="472" spans="1:24" x14ac:dyDescent="0.25">
      <c r="A472" t="s">
        <v>223</v>
      </c>
      <c r="B472" s="41"/>
      <c r="C472" s="41">
        <v>430.65</v>
      </c>
      <c r="D472" s="41"/>
      <c r="E472" s="41"/>
      <c r="F472" s="41"/>
      <c r="G472" s="41"/>
      <c r="H472" s="41"/>
      <c r="I472" s="41">
        <v>434.49</v>
      </c>
      <c r="J472" s="41"/>
      <c r="K472" s="41"/>
      <c r="L472" s="41"/>
      <c r="M472" s="41"/>
      <c r="N472" s="41">
        <f t="shared" ref="N472:N474" si="205">SUM(B472:M472)</f>
        <v>865.14</v>
      </c>
      <c r="P472" s="20"/>
      <c r="R472" s="17"/>
      <c r="S472" s="17"/>
    </row>
    <row r="473" spans="1:24" x14ac:dyDescent="0.25">
      <c r="A473" t="s">
        <v>240</v>
      </c>
      <c r="B473" s="41">
        <v>303.64</v>
      </c>
      <c r="C473" s="41"/>
      <c r="D473" s="41"/>
      <c r="E473" s="41"/>
      <c r="F473" s="41"/>
      <c r="G473" s="41"/>
      <c r="H473" s="41">
        <v>495.13</v>
      </c>
      <c r="I473" s="41"/>
      <c r="J473" s="41"/>
      <c r="K473" s="41"/>
      <c r="L473" s="41"/>
      <c r="M473" s="41"/>
      <c r="N473" s="41">
        <f t="shared" si="205"/>
        <v>798.77</v>
      </c>
      <c r="P473" s="67"/>
      <c r="R473" s="17"/>
      <c r="S473" s="17"/>
    </row>
    <row r="474" spans="1:24" x14ac:dyDescent="0.25"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>
        <f t="shared" si="205"/>
        <v>0</v>
      </c>
      <c r="R474" s="17"/>
      <c r="S474" s="17"/>
    </row>
    <row r="475" spans="1:24" x14ac:dyDescent="0.25">
      <c r="A475" s="46" t="s">
        <v>47</v>
      </c>
      <c r="B475" s="106">
        <f>SUM(B472:B474)</f>
        <v>303.64</v>
      </c>
      <c r="C475" s="106">
        <f>SUM(C472:C474)</f>
        <v>430.65</v>
      </c>
      <c r="D475" s="106">
        <f>SUM(D472:D474)</f>
        <v>0</v>
      </c>
      <c r="E475" s="106">
        <f t="shared" ref="E475:G475" si="206">SUM(E472:E474)</f>
        <v>0</v>
      </c>
      <c r="F475" s="106">
        <f t="shared" si="206"/>
        <v>0</v>
      </c>
      <c r="G475" s="106">
        <f t="shared" si="206"/>
        <v>0</v>
      </c>
      <c r="H475" s="106">
        <f>SUM(H472:H474)</f>
        <v>495.13</v>
      </c>
      <c r="I475" s="106">
        <f>SUM(I472:I474)</f>
        <v>434.49</v>
      </c>
      <c r="J475" s="106">
        <f t="shared" ref="J475:M475" si="207">SUM(J472:J474)</f>
        <v>0</v>
      </c>
      <c r="K475" s="106">
        <f t="shared" si="207"/>
        <v>0</v>
      </c>
      <c r="L475" s="106">
        <f t="shared" si="207"/>
        <v>0</v>
      </c>
      <c r="M475" s="106">
        <f t="shared" si="207"/>
        <v>0</v>
      </c>
      <c r="N475" s="106">
        <f>SUM(N472:N474)</f>
        <v>1663.9099999999999</v>
      </c>
      <c r="R475" s="17"/>
      <c r="S475" s="17"/>
    </row>
    <row r="476" spans="1:24" x14ac:dyDescent="0.25"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41"/>
      <c r="Q476" s="20"/>
      <c r="R476" s="17"/>
      <c r="S476" s="17"/>
      <c r="W476" s="12"/>
    </row>
    <row r="477" spans="1:24" x14ac:dyDescent="0.25">
      <c r="A477" s="46" t="s">
        <v>241</v>
      </c>
      <c r="B477" s="106">
        <f>B443+B469+B475</f>
        <v>2658.16</v>
      </c>
      <c r="C477" s="106">
        <f t="shared" ref="C477:F477" si="208">C443+C469+C475</f>
        <v>2121.84</v>
      </c>
      <c r="D477" s="106">
        <f t="shared" si="208"/>
        <v>2834.4800000000005</v>
      </c>
      <c r="E477" s="106">
        <f t="shared" si="208"/>
        <v>1149.77</v>
      </c>
      <c r="F477" s="106">
        <f t="shared" si="208"/>
        <v>1775.1099999999997</v>
      </c>
      <c r="G477" s="106">
        <f>G443+G469+G475</f>
        <v>1251.4799999999998</v>
      </c>
      <c r="H477" s="106">
        <f>H443+H469+H475</f>
        <v>1775.94</v>
      </c>
      <c r="I477" s="106">
        <f>I443+I469+I475</f>
        <v>2322.33</v>
      </c>
      <c r="J477" s="106">
        <f>J443+J469+J475</f>
        <v>1516.09</v>
      </c>
      <c r="K477" s="106">
        <f>K443+K469+K475</f>
        <v>1403.04</v>
      </c>
      <c r="L477" s="106">
        <f t="shared" ref="L477:M477" si="209">L443+L469+L475</f>
        <v>2440.92</v>
      </c>
      <c r="M477" s="106">
        <f t="shared" si="209"/>
        <v>2359.5300000000002</v>
      </c>
      <c r="N477" s="106">
        <f>N443+N469+N475</f>
        <v>23608.69</v>
      </c>
      <c r="Q477" s="20"/>
    </row>
    <row r="481" spans="1:18" ht="15.75" x14ac:dyDescent="0.25">
      <c r="A481" s="51" t="s">
        <v>521</v>
      </c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</row>
    <row r="482" spans="1:18" x14ac:dyDescent="0.25">
      <c r="A482" s="108" t="s">
        <v>1</v>
      </c>
      <c r="B482" s="102" t="s">
        <v>42</v>
      </c>
      <c r="C482" s="102" t="s">
        <v>43</v>
      </c>
      <c r="D482" s="102" t="s">
        <v>44</v>
      </c>
      <c r="E482" s="102" t="s">
        <v>45</v>
      </c>
      <c r="F482" s="102" t="s">
        <v>46</v>
      </c>
      <c r="G482" s="102" t="s">
        <v>20</v>
      </c>
      <c r="H482" s="102" t="s">
        <v>21</v>
      </c>
      <c r="I482" s="102" t="s">
        <v>22</v>
      </c>
      <c r="J482" s="102" t="s">
        <v>23</v>
      </c>
      <c r="K482" s="102" t="s">
        <v>24</v>
      </c>
      <c r="L482" s="102" t="s">
        <v>25</v>
      </c>
      <c r="M482" s="102" t="s">
        <v>26</v>
      </c>
      <c r="N482" s="49" t="s">
        <v>4</v>
      </c>
    </row>
    <row r="483" spans="1:18" x14ac:dyDescent="0.25">
      <c r="A483" s="103" t="s">
        <v>99</v>
      </c>
      <c r="B483" s="104"/>
      <c r="C483" s="104"/>
      <c r="D483" s="104"/>
      <c r="E483" s="104"/>
      <c r="F483" s="104"/>
      <c r="G483" s="104"/>
      <c r="H483" s="104"/>
      <c r="I483" s="104"/>
      <c r="J483" s="105"/>
      <c r="K483" s="104"/>
      <c r="L483" s="104"/>
      <c r="M483" s="104"/>
      <c r="N483" s="104"/>
      <c r="R483" s="20"/>
    </row>
    <row r="484" spans="1:18" x14ac:dyDescent="0.25">
      <c r="A484" t="s">
        <v>171</v>
      </c>
      <c r="B484" s="41"/>
      <c r="C484" s="41">
        <v>247.48</v>
      </c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>
        <f>SUM(B484:M484)</f>
        <v>247.48</v>
      </c>
    </row>
    <row r="485" spans="1:18" x14ac:dyDescent="0.25">
      <c r="A485" s="9" t="s">
        <v>5</v>
      </c>
      <c r="B485" s="41"/>
      <c r="C485" s="41"/>
      <c r="D485" s="41">
        <f>86.43+0.25+49.54</f>
        <v>136.22</v>
      </c>
      <c r="E485" s="41"/>
      <c r="F485" s="41"/>
      <c r="G485" s="41"/>
      <c r="H485" s="41"/>
      <c r="I485" s="41"/>
      <c r="J485" s="20"/>
      <c r="K485" s="41"/>
      <c r="L485" s="41"/>
      <c r="M485" s="41"/>
      <c r="N485" s="41">
        <f t="shared" ref="N485:N509" si="210">SUM(B485:M485)</f>
        <v>136.22</v>
      </c>
    </row>
    <row r="486" spans="1:18" x14ac:dyDescent="0.25">
      <c r="A486" t="s">
        <v>16</v>
      </c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>
        <f t="shared" si="210"/>
        <v>0</v>
      </c>
    </row>
    <row r="487" spans="1:18" x14ac:dyDescent="0.25">
      <c r="A487" t="s">
        <v>17</v>
      </c>
      <c r="B487" s="41"/>
      <c r="C487" s="41"/>
      <c r="D487" s="41"/>
      <c r="E487" s="41"/>
      <c r="F487" s="41"/>
      <c r="G487" s="41">
        <f>189.43+52.44</f>
        <v>241.87</v>
      </c>
      <c r="H487" s="41"/>
      <c r="I487" s="41"/>
      <c r="J487" s="41"/>
      <c r="K487" s="41"/>
      <c r="L487" s="41"/>
      <c r="M487" s="41"/>
      <c r="N487" s="41">
        <f t="shared" si="210"/>
        <v>241.87</v>
      </c>
    </row>
    <row r="488" spans="1:18" x14ac:dyDescent="0.25">
      <c r="A488" t="s">
        <v>30</v>
      </c>
      <c r="B488" s="41"/>
      <c r="C488" s="41"/>
      <c r="D488" s="41"/>
      <c r="E488" s="41"/>
      <c r="F488" s="41"/>
      <c r="G488" s="41">
        <f>12.62+3.5</f>
        <v>16.119999999999997</v>
      </c>
      <c r="H488" s="41"/>
      <c r="I488" s="41"/>
      <c r="J488" s="41"/>
      <c r="K488" s="41"/>
      <c r="L488" s="41"/>
      <c r="M488" s="41"/>
      <c r="N488" s="41">
        <f t="shared" si="210"/>
        <v>16.119999999999997</v>
      </c>
    </row>
    <row r="489" spans="1:18" x14ac:dyDescent="0.25">
      <c r="A489" t="s">
        <v>182</v>
      </c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>
        <f t="shared" si="210"/>
        <v>0</v>
      </c>
    </row>
    <row r="490" spans="1:18" x14ac:dyDescent="0.25">
      <c r="A490" t="s">
        <v>12</v>
      </c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>
        <f t="shared" si="210"/>
        <v>0</v>
      </c>
      <c r="R490" s="122"/>
    </row>
    <row r="491" spans="1:18" x14ac:dyDescent="0.25">
      <c r="A491" t="s">
        <v>28</v>
      </c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>
        <f t="shared" si="210"/>
        <v>0</v>
      </c>
    </row>
    <row r="492" spans="1:18" x14ac:dyDescent="0.25">
      <c r="A492" t="s">
        <v>35</v>
      </c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>
        <f t="shared" si="210"/>
        <v>0</v>
      </c>
    </row>
    <row r="493" spans="1:18" x14ac:dyDescent="0.25">
      <c r="A493" t="s">
        <v>96</v>
      </c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>
        <f t="shared" si="210"/>
        <v>0</v>
      </c>
    </row>
    <row r="494" spans="1:18" x14ac:dyDescent="0.25">
      <c r="A494" t="s">
        <v>85</v>
      </c>
      <c r="B494" s="41">
        <v>65.8</v>
      </c>
      <c r="C494" s="41"/>
      <c r="D494" s="41">
        <f>58.17+284.26</f>
        <v>342.43</v>
      </c>
      <c r="E494" s="41">
        <v>65.8</v>
      </c>
      <c r="F494" s="41"/>
      <c r="G494" s="41"/>
      <c r="H494" s="41"/>
      <c r="I494" s="41"/>
      <c r="J494" s="41"/>
      <c r="K494" s="41"/>
      <c r="L494" s="41"/>
      <c r="M494" s="41"/>
      <c r="N494" s="41">
        <f t="shared" si="210"/>
        <v>474.03000000000003</v>
      </c>
    </row>
    <row r="495" spans="1:18" x14ac:dyDescent="0.25">
      <c r="A495" t="s">
        <v>88</v>
      </c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>
        <f t="shared" si="210"/>
        <v>0</v>
      </c>
    </row>
    <row r="496" spans="1:18" x14ac:dyDescent="0.25">
      <c r="A496" t="s">
        <v>13</v>
      </c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>
        <f t="shared" si="210"/>
        <v>0</v>
      </c>
    </row>
    <row r="497" spans="1:18" x14ac:dyDescent="0.25">
      <c r="A497" s="9" t="s">
        <v>15</v>
      </c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>
        <f t="shared" si="210"/>
        <v>0</v>
      </c>
    </row>
    <row r="498" spans="1:18" x14ac:dyDescent="0.25">
      <c r="A498" t="s">
        <v>29</v>
      </c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>
        <f t="shared" si="210"/>
        <v>0</v>
      </c>
    </row>
    <row r="499" spans="1:18" x14ac:dyDescent="0.25">
      <c r="A499" t="s">
        <v>82</v>
      </c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>
        <f t="shared" si="210"/>
        <v>0</v>
      </c>
    </row>
    <row r="500" spans="1:18" x14ac:dyDescent="0.25">
      <c r="A500" t="s">
        <v>6</v>
      </c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>
        <f t="shared" si="210"/>
        <v>0</v>
      </c>
      <c r="R500" s="122"/>
    </row>
    <row r="501" spans="1:18" x14ac:dyDescent="0.25">
      <c r="A501" t="s">
        <v>31</v>
      </c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>
        <f t="shared" si="210"/>
        <v>0</v>
      </c>
      <c r="R501" s="122"/>
    </row>
    <row r="502" spans="1:18" x14ac:dyDescent="0.25">
      <c r="A502" t="s">
        <v>170</v>
      </c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>
        <f t="shared" si="210"/>
        <v>0</v>
      </c>
      <c r="R502" s="122"/>
    </row>
    <row r="503" spans="1:18" x14ac:dyDescent="0.25">
      <c r="A503" t="s">
        <v>218</v>
      </c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110"/>
      <c r="N503" s="41">
        <f t="shared" si="210"/>
        <v>0</v>
      </c>
      <c r="R503" s="122"/>
    </row>
    <row r="504" spans="1:18" x14ac:dyDescent="0.25">
      <c r="A504" t="s">
        <v>41</v>
      </c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>
        <f t="shared" si="210"/>
        <v>0</v>
      </c>
      <c r="R504" s="122"/>
    </row>
    <row r="505" spans="1:18" x14ac:dyDescent="0.25">
      <c r="A505" t="s">
        <v>219</v>
      </c>
      <c r="B505" s="41"/>
      <c r="C505" s="41"/>
      <c r="D505" s="41">
        <v>290.26</v>
      </c>
      <c r="E505" s="41"/>
      <c r="F505" s="41"/>
      <c r="G505" s="41"/>
      <c r="H505" s="41"/>
      <c r="I505" s="41"/>
      <c r="J505" s="41"/>
      <c r="K505" s="41"/>
      <c r="L505" s="41"/>
      <c r="M505" s="41"/>
      <c r="N505" s="41">
        <f t="shared" si="210"/>
        <v>290.26</v>
      </c>
      <c r="R505" s="122"/>
    </row>
    <row r="506" spans="1:18" x14ac:dyDescent="0.25">
      <c r="A506" t="s">
        <v>352</v>
      </c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>
        <f t="shared" si="210"/>
        <v>0</v>
      </c>
      <c r="R506" s="122"/>
    </row>
    <row r="507" spans="1:18" x14ac:dyDescent="0.25">
      <c r="A507" t="s">
        <v>216</v>
      </c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>
        <f t="shared" si="210"/>
        <v>0</v>
      </c>
      <c r="R507" s="75"/>
    </row>
    <row r="508" spans="1:18" x14ac:dyDescent="0.25">
      <c r="A508" t="s">
        <v>405</v>
      </c>
      <c r="B508" s="41">
        <v>136.72</v>
      </c>
      <c r="C508" s="41"/>
      <c r="D508" s="41">
        <v>244.64</v>
      </c>
      <c r="E508" s="41"/>
      <c r="F508" s="41"/>
      <c r="G508" s="41"/>
      <c r="H508" s="41"/>
      <c r="I508" s="41"/>
      <c r="J508" s="41"/>
      <c r="K508" s="41"/>
      <c r="L508" s="41"/>
      <c r="M508" s="41"/>
      <c r="N508" s="41">
        <f t="shared" si="210"/>
        <v>381.36</v>
      </c>
    </row>
    <row r="509" spans="1:18" x14ac:dyDescent="0.25">
      <c r="A509" t="s">
        <v>520</v>
      </c>
      <c r="B509" s="41"/>
      <c r="C509" s="41">
        <v>71.37</v>
      </c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>
        <f t="shared" si="210"/>
        <v>71.37</v>
      </c>
    </row>
    <row r="510" spans="1:18" x14ac:dyDescent="0.25">
      <c r="A510" s="46" t="s">
        <v>47</v>
      </c>
      <c r="B510" s="106">
        <f>SUM(B484:B509)</f>
        <v>202.51999999999998</v>
      </c>
      <c r="C510" s="106">
        <f>SUM(C484:C509)</f>
        <v>318.85000000000002</v>
      </c>
      <c r="D510" s="106">
        <f>SUM(D484:D509)</f>
        <v>1013.55</v>
      </c>
      <c r="E510" s="106">
        <f t="shared" ref="E510:G510" si="211">SUM(E484:E509)</f>
        <v>65.8</v>
      </c>
      <c r="F510" s="106">
        <f t="shared" si="211"/>
        <v>0</v>
      </c>
      <c r="G510" s="106">
        <f t="shared" si="211"/>
        <v>257.99</v>
      </c>
      <c r="H510" s="106">
        <f>SUM(H484:H509)</f>
        <v>0</v>
      </c>
      <c r="I510" s="106">
        <f t="shared" ref="I510:K510" si="212">SUM(I484:I509)</f>
        <v>0</v>
      </c>
      <c r="J510" s="106">
        <f t="shared" si="212"/>
        <v>0</v>
      </c>
      <c r="K510" s="106">
        <f t="shared" si="212"/>
        <v>0</v>
      </c>
      <c r="L510" s="106">
        <f>SUM(L484:L509)</f>
        <v>0</v>
      </c>
      <c r="M510" s="106">
        <f>SUM(M484:M509)</f>
        <v>0</v>
      </c>
      <c r="N510" s="106">
        <f>SUM(N484:N509)</f>
        <v>1858.71</v>
      </c>
    </row>
    <row r="511" spans="1:18" x14ac:dyDescent="0.25"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</row>
    <row r="512" spans="1:18" x14ac:dyDescent="0.25">
      <c r="A512" s="107" t="s">
        <v>188</v>
      </c>
      <c r="B512" s="109" t="s">
        <v>42</v>
      </c>
      <c r="C512" s="109" t="s">
        <v>43</v>
      </c>
      <c r="D512" s="109" t="s">
        <v>44</v>
      </c>
      <c r="E512" s="109" t="s">
        <v>45</v>
      </c>
      <c r="F512" s="109" t="s">
        <v>46</v>
      </c>
      <c r="G512" s="109" t="s">
        <v>20</v>
      </c>
      <c r="H512" s="109" t="s">
        <v>21</v>
      </c>
      <c r="I512" s="109" t="s">
        <v>22</v>
      </c>
      <c r="J512" s="109" t="s">
        <v>23</v>
      </c>
      <c r="K512" s="109" t="s">
        <v>24</v>
      </c>
      <c r="L512" s="109" t="s">
        <v>25</v>
      </c>
      <c r="M512" s="109" t="s">
        <v>26</v>
      </c>
      <c r="N512" s="104"/>
      <c r="P512" s="20"/>
    </row>
    <row r="513" spans="1:17" x14ac:dyDescent="0.25">
      <c r="A513" t="s">
        <v>173</v>
      </c>
      <c r="B513" s="41">
        <v>325.95</v>
      </c>
      <c r="C513" s="41">
        <v>344.4</v>
      </c>
      <c r="D513" s="41">
        <v>344.4</v>
      </c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P513" s="8"/>
      <c r="Q513" s="3"/>
    </row>
    <row r="514" spans="1:17" x14ac:dyDescent="0.25">
      <c r="A514" t="s">
        <v>222</v>
      </c>
      <c r="B514" s="41">
        <v>122.55</v>
      </c>
      <c r="C514" s="41">
        <v>122.55</v>
      </c>
      <c r="D514" s="41">
        <v>139.65</v>
      </c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P514" s="8"/>
      <c r="Q514" s="3"/>
    </row>
    <row r="515" spans="1:17" x14ac:dyDescent="0.25">
      <c r="A515" t="s">
        <v>180</v>
      </c>
      <c r="B515" s="41">
        <v>25.58</v>
      </c>
      <c r="C515" s="41">
        <v>15.76</v>
      </c>
      <c r="D515" s="41">
        <v>17.260000000000002</v>
      </c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P515" s="8"/>
      <c r="Q515" s="3"/>
    </row>
    <row r="516" spans="1:17" x14ac:dyDescent="0.25">
      <c r="A516" t="s">
        <v>184</v>
      </c>
      <c r="B516" s="41">
        <v>84</v>
      </c>
      <c r="C516" s="41">
        <v>60.9</v>
      </c>
      <c r="D516" s="41">
        <v>60.9</v>
      </c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P516" s="8"/>
      <c r="Q516" s="3"/>
    </row>
    <row r="517" spans="1:17" x14ac:dyDescent="0.25">
      <c r="A517" t="s">
        <v>234</v>
      </c>
      <c r="B517" s="41">
        <v>28</v>
      </c>
      <c r="C517" s="41">
        <v>38.799999999999997</v>
      </c>
      <c r="D517" s="41">
        <v>24</v>
      </c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P517" s="8"/>
      <c r="Q517" s="3"/>
    </row>
    <row r="518" spans="1:17" x14ac:dyDescent="0.25">
      <c r="A518" t="s">
        <v>221</v>
      </c>
      <c r="B518" s="41">
        <v>167.44</v>
      </c>
      <c r="C518" s="41">
        <v>191.36</v>
      </c>
      <c r="D518" s="41">
        <v>191.36</v>
      </c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P518" s="8"/>
      <c r="Q518" s="3"/>
    </row>
    <row r="519" spans="1:17" x14ac:dyDescent="0.25">
      <c r="A519" t="s">
        <v>183</v>
      </c>
      <c r="B519" s="41">
        <v>32.36</v>
      </c>
      <c r="C519" s="41">
        <v>29.97</v>
      </c>
      <c r="D519" s="41">
        <v>21.33</v>
      </c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P519" s="160"/>
      <c r="Q519" s="3"/>
    </row>
    <row r="520" spans="1:17" x14ac:dyDescent="0.25">
      <c r="A520" t="s">
        <v>220</v>
      </c>
      <c r="B520" s="41">
        <v>36</v>
      </c>
      <c r="C520" s="41">
        <v>36</v>
      </c>
      <c r="D520" s="41">
        <v>37.200000000000003</v>
      </c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P520" s="160"/>
      <c r="Q520" s="3"/>
    </row>
    <row r="521" spans="1:17" x14ac:dyDescent="0.25">
      <c r="A521" t="s">
        <v>181</v>
      </c>
      <c r="B521" s="41">
        <v>63</v>
      </c>
      <c r="C521" s="41">
        <v>63</v>
      </c>
      <c r="D521" s="41">
        <v>63</v>
      </c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P521" s="8"/>
      <c r="Q521" s="3"/>
    </row>
    <row r="522" spans="1:17" x14ac:dyDescent="0.25">
      <c r="A522" t="s">
        <v>186</v>
      </c>
      <c r="B522" s="41">
        <v>163</v>
      </c>
      <c r="C522" s="41">
        <v>141</v>
      </c>
      <c r="D522" s="41">
        <f>55+88</f>
        <v>143</v>
      </c>
      <c r="E522" s="41">
        <v>1585</v>
      </c>
      <c r="F522" s="41"/>
      <c r="G522" s="41"/>
      <c r="H522" s="41"/>
      <c r="I522" s="41"/>
      <c r="J522" s="41"/>
      <c r="K522" s="41"/>
      <c r="L522" s="41"/>
      <c r="M522" s="41"/>
      <c r="N522" s="41"/>
      <c r="P522" s="8"/>
      <c r="Q522" s="3"/>
    </row>
    <row r="523" spans="1:17" x14ac:dyDescent="0.25">
      <c r="A523" t="s">
        <v>169</v>
      </c>
      <c r="B523" s="41">
        <v>84.15</v>
      </c>
      <c r="C523" s="41">
        <v>91.8</v>
      </c>
      <c r="D523" s="41">
        <v>84.15</v>
      </c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P523" s="8"/>
      <c r="Q523" s="3"/>
    </row>
    <row r="524" spans="1:17" x14ac:dyDescent="0.25">
      <c r="A524" t="s">
        <v>217</v>
      </c>
      <c r="B524" s="41">
        <v>91.8</v>
      </c>
      <c r="C524" s="41">
        <v>88.74</v>
      </c>
      <c r="D524" s="41">
        <v>88.74</v>
      </c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P524" s="8"/>
      <c r="Q524" s="3"/>
    </row>
    <row r="525" spans="1:17" x14ac:dyDescent="0.25">
      <c r="A525" t="s">
        <v>267</v>
      </c>
      <c r="B525" s="41">
        <v>21.6</v>
      </c>
      <c r="C525" s="41">
        <v>20.399999999999999</v>
      </c>
      <c r="D525" s="41">
        <v>20.399999999999999</v>
      </c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P525" s="8"/>
      <c r="Q525" s="3"/>
    </row>
    <row r="526" spans="1:17" x14ac:dyDescent="0.25">
      <c r="A526" t="s">
        <v>270</v>
      </c>
      <c r="B526" s="20">
        <v>52.22</v>
      </c>
      <c r="C526" s="41">
        <v>26.95</v>
      </c>
      <c r="D526" s="41">
        <v>19.25</v>
      </c>
      <c r="E526" s="20"/>
      <c r="F526" s="20"/>
      <c r="G526" s="20"/>
      <c r="H526" s="20"/>
      <c r="I526" s="20"/>
      <c r="J526" s="20"/>
      <c r="K526" s="20"/>
      <c r="L526" s="20"/>
      <c r="M526" s="20"/>
      <c r="N526" s="41"/>
      <c r="P526" s="8"/>
      <c r="Q526" s="3"/>
    </row>
    <row r="527" spans="1:17" x14ac:dyDescent="0.25">
      <c r="A527" t="s">
        <v>276</v>
      </c>
      <c r="B527" s="20">
        <v>0</v>
      </c>
      <c r="C527" s="20">
        <v>0</v>
      </c>
      <c r="D527" s="41">
        <v>0</v>
      </c>
      <c r="E527" s="20"/>
      <c r="F527" s="20"/>
      <c r="G527" s="20"/>
      <c r="H527" s="20"/>
      <c r="I527" s="20"/>
      <c r="J527" s="20"/>
      <c r="K527" s="20"/>
      <c r="L527" s="20"/>
      <c r="M527" s="20"/>
      <c r="N527" s="41"/>
      <c r="P527" s="8"/>
      <c r="Q527" s="3"/>
    </row>
    <row r="528" spans="1:17" x14ac:dyDescent="0.25">
      <c r="A528" t="s">
        <v>355</v>
      </c>
      <c r="B528" s="20">
        <v>57.64</v>
      </c>
      <c r="C528" s="20">
        <v>51.75</v>
      </c>
      <c r="D528" s="20">
        <v>51.75</v>
      </c>
      <c r="E528" s="20"/>
      <c r="F528" s="20"/>
      <c r="G528" s="20"/>
      <c r="H528" s="20"/>
      <c r="I528" s="20"/>
      <c r="J528" s="20"/>
      <c r="K528" s="20"/>
      <c r="L528" s="20"/>
      <c r="M528" s="20"/>
      <c r="N528" s="41"/>
      <c r="P528" s="8"/>
      <c r="Q528" s="3"/>
    </row>
    <row r="529" spans="1:17" x14ac:dyDescent="0.25">
      <c r="A529" t="s">
        <v>495</v>
      </c>
      <c r="B529" s="20">
        <v>247.05</v>
      </c>
      <c r="C529" s="20">
        <v>210.16</v>
      </c>
      <c r="D529" s="20">
        <v>148</v>
      </c>
      <c r="E529" s="20"/>
      <c r="F529" s="20"/>
      <c r="G529" s="20"/>
      <c r="H529" s="20"/>
      <c r="I529" s="20"/>
      <c r="J529" s="20"/>
      <c r="K529" s="20"/>
      <c r="L529" s="20"/>
      <c r="M529" s="20"/>
      <c r="N529" s="41"/>
      <c r="P529" s="160"/>
      <c r="Q529" s="3"/>
    </row>
    <row r="530" spans="1:17" x14ac:dyDescent="0.25">
      <c r="A530" t="s">
        <v>377</v>
      </c>
      <c r="B530" s="20">
        <v>35.96</v>
      </c>
      <c r="C530" s="20">
        <v>35.96</v>
      </c>
      <c r="D530" s="20">
        <v>34.799999999999997</v>
      </c>
      <c r="E530" s="20"/>
      <c r="F530" s="20"/>
      <c r="G530" s="20"/>
      <c r="H530" s="20"/>
      <c r="I530" s="20"/>
      <c r="J530" s="20"/>
      <c r="K530" s="20"/>
      <c r="L530" s="20"/>
      <c r="M530" s="20"/>
      <c r="N530" s="41"/>
      <c r="P530" s="160"/>
      <c r="Q530" s="3"/>
    </row>
    <row r="531" spans="1:17" x14ac:dyDescent="0.25">
      <c r="A531" t="s">
        <v>374</v>
      </c>
      <c r="B531" s="41">
        <v>85.8</v>
      </c>
      <c r="C531" s="41">
        <v>78</v>
      </c>
      <c r="D531" s="41">
        <v>56.16</v>
      </c>
      <c r="E531" s="41"/>
      <c r="F531" s="41"/>
      <c r="G531" s="41"/>
      <c r="H531" s="41"/>
      <c r="I531" s="41"/>
      <c r="J531" s="41"/>
      <c r="K531" s="126"/>
      <c r="L531" s="20"/>
      <c r="M531" s="41"/>
      <c r="N531" s="41"/>
      <c r="P531" s="160"/>
      <c r="Q531" s="3"/>
    </row>
    <row r="532" spans="1:17" x14ac:dyDescent="0.25">
      <c r="A532" t="s">
        <v>383</v>
      </c>
      <c r="B532" s="41">
        <v>82.85</v>
      </c>
      <c r="C532" s="41">
        <v>52.2</v>
      </c>
      <c r="D532" s="41">
        <v>60</v>
      </c>
      <c r="E532" s="41"/>
      <c r="F532" s="41"/>
      <c r="G532" s="41"/>
      <c r="H532" s="41"/>
      <c r="I532" s="41"/>
      <c r="J532" s="41"/>
      <c r="K532" s="126"/>
      <c r="L532" s="20"/>
      <c r="M532" s="41"/>
      <c r="N532" s="41"/>
      <c r="P532" s="160"/>
      <c r="Q532" s="3"/>
    </row>
    <row r="533" spans="1:17" x14ac:dyDescent="0.25">
      <c r="A533" t="s">
        <v>408</v>
      </c>
      <c r="B533" s="41">
        <v>42</v>
      </c>
      <c r="C533" s="41">
        <v>45</v>
      </c>
      <c r="D533" s="41">
        <v>49.5</v>
      </c>
      <c r="E533" s="41"/>
      <c r="F533" s="41"/>
      <c r="G533" s="41"/>
      <c r="H533" s="41"/>
      <c r="I533" s="41"/>
      <c r="J533" s="41"/>
      <c r="K533" s="126"/>
      <c r="L533" s="20"/>
      <c r="M533" s="41"/>
      <c r="N533" s="41"/>
      <c r="P533" s="160"/>
      <c r="Q533" s="3"/>
    </row>
    <row r="534" spans="1:17" x14ac:dyDescent="0.25">
      <c r="A534" t="s">
        <v>510</v>
      </c>
      <c r="B534" s="41">
        <v>30.9</v>
      </c>
      <c r="C534" s="41">
        <v>32.4</v>
      </c>
      <c r="D534" s="41">
        <v>50.4</v>
      </c>
      <c r="E534" s="41">
        <v>51.6</v>
      </c>
      <c r="F534" s="41"/>
      <c r="G534" s="41"/>
      <c r="H534" s="41"/>
      <c r="I534" s="41"/>
      <c r="J534" s="41"/>
      <c r="K534" s="126"/>
      <c r="L534" s="20"/>
      <c r="M534" s="41"/>
      <c r="N534" s="41"/>
      <c r="P534" s="160"/>
      <c r="Q534" s="3"/>
    </row>
    <row r="535" spans="1:17" x14ac:dyDescent="0.25">
      <c r="B535" s="41"/>
      <c r="C535" s="41"/>
      <c r="D535" s="41"/>
      <c r="E535" s="41"/>
      <c r="F535" s="41"/>
      <c r="G535" s="41"/>
      <c r="H535" s="41"/>
      <c r="I535" s="41"/>
      <c r="J535" s="41"/>
      <c r="K535" s="126"/>
      <c r="L535" s="20"/>
      <c r="M535" s="41"/>
      <c r="N535" s="41"/>
      <c r="P535" s="160"/>
      <c r="Q535" s="119"/>
    </row>
    <row r="536" spans="1:17" x14ac:dyDescent="0.25">
      <c r="A536" s="46" t="s">
        <v>47</v>
      </c>
      <c r="B536" s="106">
        <f>SUM(B513:B535)</f>
        <v>1879.8500000000001</v>
      </c>
      <c r="C536" s="106">
        <f>SUM(C513:C535)</f>
        <v>1777.1000000000004</v>
      </c>
      <c r="D536" s="106">
        <f t="shared" ref="D536:E536" si="213">SUM(D513:D535)</f>
        <v>1705.2500000000002</v>
      </c>
      <c r="E536" s="106">
        <f t="shared" si="213"/>
        <v>1636.6</v>
      </c>
      <c r="F536" s="106">
        <f>SUM(F513:F535)</f>
        <v>0</v>
      </c>
      <c r="G536" s="106">
        <f t="shared" ref="G536" si="214">SUM(G513:G535)</f>
        <v>0</v>
      </c>
      <c r="H536" s="106">
        <f>SUM(H513:H535)</f>
        <v>0</v>
      </c>
      <c r="I536" s="106">
        <f>SUM(I513:I535)</f>
        <v>0</v>
      </c>
      <c r="J536" s="106">
        <f t="shared" ref="J536" si="215">SUM(J513:J535)</f>
        <v>0</v>
      </c>
      <c r="K536" s="106">
        <f>SUM(K513:K535)</f>
        <v>0</v>
      </c>
      <c r="L536" s="106">
        <f>SUM(L513:L535)</f>
        <v>0</v>
      </c>
      <c r="M536" s="106">
        <f>SUM(M513:M535)</f>
        <v>0</v>
      </c>
      <c r="N536" s="106">
        <f>SUM(N513:N535)</f>
        <v>0</v>
      </c>
      <c r="P536" s="161"/>
      <c r="Q536" s="3"/>
    </row>
    <row r="537" spans="1:17" x14ac:dyDescent="0.25"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</row>
    <row r="538" spans="1:17" x14ac:dyDescent="0.25">
      <c r="A538" s="107" t="s">
        <v>100</v>
      </c>
      <c r="B538" s="109" t="s">
        <v>42</v>
      </c>
      <c r="C538" s="109" t="s">
        <v>43</v>
      </c>
      <c r="D538" s="109" t="s">
        <v>44</v>
      </c>
      <c r="E538" s="109" t="s">
        <v>45</v>
      </c>
      <c r="F538" s="109" t="s">
        <v>46</v>
      </c>
      <c r="G538" s="109" t="s">
        <v>20</v>
      </c>
      <c r="H538" s="109" t="s">
        <v>21</v>
      </c>
      <c r="I538" s="109" t="s">
        <v>22</v>
      </c>
      <c r="J538" s="109" t="s">
        <v>23</v>
      </c>
      <c r="K538" s="109" t="s">
        <v>24</v>
      </c>
      <c r="L538" s="109" t="s">
        <v>25</v>
      </c>
      <c r="M538" s="109" t="s">
        <v>26</v>
      </c>
      <c r="N538" s="104"/>
    </row>
    <row r="539" spans="1:17" x14ac:dyDescent="0.25">
      <c r="A539" t="s">
        <v>223</v>
      </c>
      <c r="B539" s="41"/>
      <c r="C539" s="41">
        <v>453.64</v>
      </c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>
        <f t="shared" ref="N539:N541" si="216">SUM(B539:M539)</f>
        <v>453.64</v>
      </c>
    </row>
    <row r="540" spans="1:17" x14ac:dyDescent="0.25">
      <c r="A540" t="s">
        <v>240</v>
      </c>
      <c r="B540" s="41">
        <v>565.54</v>
      </c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>
        <f t="shared" si="216"/>
        <v>565.54</v>
      </c>
    </row>
    <row r="541" spans="1:17" x14ac:dyDescent="0.25"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>
        <f t="shared" si="216"/>
        <v>0</v>
      </c>
    </row>
    <row r="542" spans="1:17" x14ac:dyDescent="0.25">
      <c r="A542" s="46" t="s">
        <v>47</v>
      </c>
      <c r="B542" s="106">
        <f>SUM(B539:B541)</f>
        <v>565.54</v>
      </c>
      <c r="C542" s="106">
        <f>SUM(C539:C541)</f>
        <v>453.64</v>
      </c>
      <c r="D542" s="106">
        <f>SUM(D539:D541)</f>
        <v>0</v>
      </c>
      <c r="E542" s="106">
        <f t="shared" ref="E542:G542" si="217">SUM(E539:E541)</f>
        <v>0</v>
      </c>
      <c r="F542" s="106">
        <f t="shared" si="217"/>
        <v>0</v>
      </c>
      <c r="G542" s="106">
        <f t="shared" si="217"/>
        <v>0</v>
      </c>
      <c r="H542" s="106">
        <f>SUM(H539:H541)</f>
        <v>0</v>
      </c>
      <c r="I542" s="106">
        <f>SUM(I539:I541)</f>
        <v>0</v>
      </c>
      <c r="J542" s="106">
        <f t="shared" ref="J542:M542" si="218">SUM(J539:J541)</f>
        <v>0</v>
      </c>
      <c r="K542" s="106">
        <f t="shared" si="218"/>
        <v>0</v>
      </c>
      <c r="L542" s="106">
        <f t="shared" si="218"/>
        <v>0</v>
      </c>
      <c r="M542" s="106">
        <f t="shared" si="218"/>
        <v>0</v>
      </c>
      <c r="N542" s="106">
        <f>SUM(N539:N541)</f>
        <v>1019.18</v>
      </c>
    </row>
    <row r="543" spans="1:17" x14ac:dyDescent="0.25"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41"/>
    </row>
    <row r="544" spans="1:17" x14ac:dyDescent="0.25">
      <c r="A544" s="46" t="s">
        <v>241</v>
      </c>
      <c r="B544" s="106">
        <f>B510+B536+B542</f>
        <v>2647.91</v>
      </c>
      <c r="C544" s="106">
        <f t="shared" ref="C544:F544" si="219">C510+C536+C542</f>
        <v>2549.59</v>
      </c>
      <c r="D544" s="106">
        <f t="shared" si="219"/>
        <v>2718.8</v>
      </c>
      <c r="E544" s="106">
        <f t="shared" si="219"/>
        <v>1702.3999999999999</v>
      </c>
      <c r="F544" s="106">
        <f t="shared" si="219"/>
        <v>0</v>
      </c>
      <c r="G544" s="106">
        <f>G510+G536+G542</f>
        <v>257.99</v>
      </c>
      <c r="H544" s="106">
        <f>H510+H536+H542</f>
        <v>0</v>
      </c>
      <c r="I544" s="106">
        <f>I510+I536+I542</f>
        <v>0</v>
      </c>
      <c r="J544" s="106">
        <f>J510+J536+J542</f>
        <v>0</v>
      </c>
      <c r="K544" s="106">
        <f>K510+K536+K542</f>
        <v>0</v>
      </c>
      <c r="L544" s="106">
        <f t="shared" ref="L544:M544" si="220">L510+L536+L542</f>
        <v>0</v>
      </c>
      <c r="M544" s="106">
        <f t="shared" si="220"/>
        <v>0</v>
      </c>
      <c r="N544" s="106">
        <f>N510+N536+N542</f>
        <v>2877.89</v>
      </c>
    </row>
    <row r="549" spans="1:14" ht="15.75" x14ac:dyDescent="0.25">
      <c r="A549" s="51" t="s">
        <v>246</v>
      </c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</row>
    <row r="550" spans="1:14" x14ac:dyDescent="0.25">
      <c r="A550" s="108" t="s">
        <v>1</v>
      </c>
      <c r="B550" s="102" t="s">
        <v>42</v>
      </c>
      <c r="C550" s="102" t="s">
        <v>43</v>
      </c>
      <c r="D550" s="102" t="s">
        <v>44</v>
      </c>
      <c r="E550" s="102" t="s">
        <v>45</v>
      </c>
      <c r="F550" s="102" t="s">
        <v>46</v>
      </c>
      <c r="G550" s="102" t="s">
        <v>20</v>
      </c>
      <c r="H550" s="102" t="s">
        <v>21</v>
      </c>
      <c r="I550" s="102" t="s">
        <v>22</v>
      </c>
      <c r="J550" s="102" t="s">
        <v>23</v>
      </c>
      <c r="K550" s="102" t="s">
        <v>24</v>
      </c>
      <c r="L550" s="102" t="s">
        <v>25</v>
      </c>
      <c r="M550" s="102" t="s">
        <v>26</v>
      </c>
      <c r="N550" s="49" t="s">
        <v>4</v>
      </c>
    </row>
    <row r="551" spans="1:14" x14ac:dyDescent="0.25">
      <c r="A551" s="103" t="s">
        <v>99</v>
      </c>
      <c r="B551" s="104"/>
      <c r="C551" s="104"/>
      <c r="D551" s="104"/>
      <c r="E551" s="104"/>
      <c r="F551" s="104"/>
      <c r="G551" s="104"/>
      <c r="H551" s="104"/>
      <c r="I551" s="104"/>
      <c r="J551" s="105"/>
      <c r="K551" s="104"/>
      <c r="L551" s="104"/>
      <c r="M551" s="104"/>
      <c r="N551" s="104"/>
    </row>
    <row r="552" spans="1:14" x14ac:dyDescent="0.25">
      <c r="A552" t="s">
        <v>171</v>
      </c>
      <c r="B552" s="41">
        <f>B4+B62+B120+B178+B236+B294+B355+B418</f>
        <v>355.17</v>
      </c>
      <c r="C552" s="41">
        <f t="shared" ref="C552:M552" si="221">C4+C62+C120+C178+C236+C294+C355</f>
        <v>495.30999999999995</v>
      </c>
      <c r="D552" s="41">
        <f t="shared" si="221"/>
        <v>0</v>
      </c>
      <c r="E552" s="41">
        <f t="shared" si="221"/>
        <v>0</v>
      </c>
      <c r="F552" s="41">
        <f t="shared" si="221"/>
        <v>0</v>
      </c>
      <c r="G552" s="41">
        <f t="shared" si="221"/>
        <v>0</v>
      </c>
      <c r="H552" s="41">
        <f t="shared" si="221"/>
        <v>385.35</v>
      </c>
      <c r="I552" s="41">
        <f t="shared" si="221"/>
        <v>188.19</v>
      </c>
      <c r="J552" s="41">
        <f t="shared" si="221"/>
        <v>0</v>
      </c>
      <c r="K552" s="41">
        <f t="shared" si="221"/>
        <v>0</v>
      </c>
      <c r="L552" s="41">
        <f t="shared" si="221"/>
        <v>0</v>
      </c>
      <c r="M552" s="41">
        <f t="shared" si="221"/>
        <v>0</v>
      </c>
      <c r="N552" s="41">
        <f>SUM(B552:M552)</f>
        <v>1424.02</v>
      </c>
    </row>
    <row r="553" spans="1:14" x14ac:dyDescent="0.25">
      <c r="A553" s="9" t="s">
        <v>5</v>
      </c>
      <c r="B553" s="41">
        <f t="shared" ref="B553:B572" si="222">B5+B63+B121+B179+B237+B295+B356</f>
        <v>0</v>
      </c>
      <c r="C553" s="41">
        <f t="shared" ref="C553:M553" si="223">C5+C63+C121+C179+C237+C295+C356</f>
        <v>48.51</v>
      </c>
      <c r="D553" s="41">
        <f t="shared" si="223"/>
        <v>246.42999999999998</v>
      </c>
      <c r="E553" s="41">
        <f t="shared" si="223"/>
        <v>0</v>
      </c>
      <c r="F553" s="41">
        <f t="shared" si="223"/>
        <v>146.56</v>
      </c>
      <c r="G553" s="41">
        <f t="shared" si="223"/>
        <v>202.13</v>
      </c>
      <c r="H553" s="41">
        <f t="shared" si="223"/>
        <v>0</v>
      </c>
      <c r="I553" s="41">
        <f t="shared" si="223"/>
        <v>264.35000000000002</v>
      </c>
      <c r="J553" s="41">
        <f t="shared" si="223"/>
        <v>132.48000000000002</v>
      </c>
      <c r="K553" s="41">
        <f t="shared" si="223"/>
        <v>0</v>
      </c>
      <c r="L553" s="41">
        <f t="shared" si="223"/>
        <v>108.11</v>
      </c>
      <c r="M553" s="41">
        <f t="shared" si="223"/>
        <v>129.71</v>
      </c>
      <c r="N553" s="41">
        <f>SUM(B553:M553)</f>
        <v>1278.28</v>
      </c>
    </row>
    <row r="554" spans="1:14" x14ac:dyDescent="0.25">
      <c r="A554" t="s">
        <v>16</v>
      </c>
      <c r="B554" s="41">
        <f t="shared" si="222"/>
        <v>0</v>
      </c>
      <c r="C554" s="41">
        <f t="shared" ref="C554:M554" si="224">C6+C64+C122+C180+C238+C296+C357</f>
        <v>0</v>
      </c>
      <c r="D554" s="41">
        <f t="shared" si="224"/>
        <v>0</v>
      </c>
      <c r="E554" s="41">
        <f t="shared" si="224"/>
        <v>0</v>
      </c>
      <c r="F554" s="41">
        <f t="shared" si="224"/>
        <v>11.15</v>
      </c>
      <c r="G554" s="41">
        <f t="shared" si="224"/>
        <v>7.96</v>
      </c>
      <c r="H554" s="41">
        <f t="shared" si="224"/>
        <v>0</v>
      </c>
      <c r="I554" s="41">
        <f t="shared" si="224"/>
        <v>10.93</v>
      </c>
      <c r="J554" s="41">
        <f t="shared" si="224"/>
        <v>0</v>
      </c>
      <c r="K554" s="41">
        <f t="shared" si="224"/>
        <v>0</v>
      </c>
      <c r="L554" s="41">
        <f t="shared" si="224"/>
        <v>11.83</v>
      </c>
      <c r="M554" s="41">
        <f t="shared" si="224"/>
        <v>0</v>
      </c>
      <c r="N554" s="41">
        <f t="shared" ref="N554:N572" si="225">SUM(B554:M554)</f>
        <v>41.87</v>
      </c>
    </row>
    <row r="555" spans="1:14" x14ac:dyDescent="0.25">
      <c r="A555" t="s">
        <v>17</v>
      </c>
      <c r="B555" s="41">
        <f t="shared" si="222"/>
        <v>0</v>
      </c>
      <c r="C555" s="41">
        <f t="shared" ref="C555:M555" si="226">C7+C65+C123+C181+C239+C297+C358</f>
        <v>0</v>
      </c>
      <c r="D555" s="41">
        <f t="shared" si="226"/>
        <v>0</v>
      </c>
      <c r="E555" s="41">
        <f t="shared" si="226"/>
        <v>0</v>
      </c>
      <c r="F555" s="41">
        <f t="shared" si="226"/>
        <v>0</v>
      </c>
      <c r="G555" s="41">
        <f t="shared" si="226"/>
        <v>509.78999999999996</v>
      </c>
      <c r="H555" s="41">
        <f t="shared" si="226"/>
        <v>87.42</v>
      </c>
      <c r="I555" s="41">
        <f t="shared" si="226"/>
        <v>0</v>
      </c>
      <c r="J555" s="41">
        <f t="shared" si="226"/>
        <v>48</v>
      </c>
      <c r="K555" s="41">
        <f t="shared" si="226"/>
        <v>0</v>
      </c>
      <c r="L555" s="41">
        <f t="shared" si="226"/>
        <v>0</v>
      </c>
      <c r="M555" s="41">
        <f t="shared" si="226"/>
        <v>2211.86</v>
      </c>
      <c r="N555" s="41">
        <f t="shared" si="225"/>
        <v>2857.07</v>
      </c>
    </row>
    <row r="556" spans="1:14" x14ac:dyDescent="0.25">
      <c r="A556" t="s">
        <v>30</v>
      </c>
      <c r="B556" s="41">
        <f t="shared" si="222"/>
        <v>0</v>
      </c>
      <c r="C556" s="41">
        <f t="shared" ref="C556:M556" si="227">C8+C66+C124+C182+C240+C298+C359</f>
        <v>0</v>
      </c>
      <c r="D556" s="41">
        <f t="shared" si="227"/>
        <v>0</v>
      </c>
      <c r="E556" s="41">
        <f t="shared" si="227"/>
        <v>0</v>
      </c>
      <c r="F556" s="41">
        <f t="shared" si="227"/>
        <v>0</v>
      </c>
      <c r="G556" s="41">
        <f t="shared" si="227"/>
        <v>38.39</v>
      </c>
      <c r="H556" s="41">
        <f t="shared" si="227"/>
        <v>26.22</v>
      </c>
      <c r="I556" s="41">
        <f t="shared" si="227"/>
        <v>0</v>
      </c>
      <c r="J556" s="41">
        <f t="shared" si="227"/>
        <v>14.4</v>
      </c>
      <c r="K556" s="41">
        <f t="shared" si="227"/>
        <v>0</v>
      </c>
      <c r="L556" s="41">
        <f t="shared" si="227"/>
        <v>0</v>
      </c>
      <c r="M556" s="41">
        <f t="shared" si="227"/>
        <v>0</v>
      </c>
      <c r="N556" s="41">
        <f t="shared" si="225"/>
        <v>79.010000000000005</v>
      </c>
    </row>
    <row r="557" spans="1:14" x14ac:dyDescent="0.25">
      <c r="A557" t="s">
        <v>182</v>
      </c>
      <c r="B557" s="41">
        <f t="shared" si="222"/>
        <v>0</v>
      </c>
      <c r="C557" s="41">
        <f t="shared" ref="C557:M557" si="228">C9+C67+C125+C183+C241+C299+C360</f>
        <v>0</v>
      </c>
      <c r="D557" s="41">
        <f t="shared" si="228"/>
        <v>0</v>
      </c>
      <c r="E557" s="41">
        <f t="shared" si="228"/>
        <v>0</v>
      </c>
      <c r="F557" s="41">
        <f t="shared" si="228"/>
        <v>74.55</v>
      </c>
      <c r="G557" s="41">
        <f t="shared" si="228"/>
        <v>0</v>
      </c>
      <c r="H557" s="41">
        <f t="shared" si="228"/>
        <v>0</v>
      </c>
      <c r="I557" s="41">
        <f t="shared" si="228"/>
        <v>0</v>
      </c>
      <c r="J557" s="41">
        <f t="shared" si="228"/>
        <v>0</v>
      </c>
      <c r="K557" s="41">
        <f t="shared" si="228"/>
        <v>0</v>
      </c>
      <c r="L557" s="41">
        <f t="shared" si="228"/>
        <v>139.71</v>
      </c>
      <c r="M557" s="41">
        <f t="shared" si="228"/>
        <v>0</v>
      </c>
      <c r="N557" s="41">
        <f t="shared" si="225"/>
        <v>214.26</v>
      </c>
    </row>
    <row r="558" spans="1:14" x14ac:dyDescent="0.25">
      <c r="A558" t="s">
        <v>12</v>
      </c>
      <c r="B558" s="41">
        <f t="shared" si="222"/>
        <v>0</v>
      </c>
      <c r="C558" s="41">
        <f t="shared" ref="C558:M558" si="229">C10+C68+C126+C184+C242+C300+C361</f>
        <v>0</v>
      </c>
      <c r="D558" s="41">
        <f t="shared" si="229"/>
        <v>0</v>
      </c>
      <c r="E558" s="41">
        <f t="shared" si="229"/>
        <v>0</v>
      </c>
      <c r="F558" s="41">
        <f t="shared" si="229"/>
        <v>52.83</v>
      </c>
      <c r="G558" s="41">
        <f t="shared" si="229"/>
        <v>0</v>
      </c>
      <c r="H558" s="41">
        <f t="shared" si="229"/>
        <v>0</v>
      </c>
      <c r="I558" s="41">
        <f t="shared" si="229"/>
        <v>0</v>
      </c>
      <c r="J558" s="41">
        <f t="shared" si="229"/>
        <v>0</v>
      </c>
      <c r="K558" s="41">
        <f t="shared" si="229"/>
        <v>0</v>
      </c>
      <c r="L558" s="41">
        <f t="shared" si="229"/>
        <v>0</v>
      </c>
      <c r="M558" s="41">
        <f t="shared" si="229"/>
        <v>0</v>
      </c>
      <c r="N558" s="41">
        <f t="shared" si="225"/>
        <v>52.83</v>
      </c>
    </row>
    <row r="559" spans="1:14" x14ac:dyDescent="0.25">
      <c r="A559" t="s">
        <v>28</v>
      </c>
      <c r="B559" s="41">
        <f t="shared" si="222"/>
        <v>0</v>
      </c>
      <c r="C559" s="41">
        <f t="shared" ref="C559:M559" si="230">C11+C69+C127+C185+C243+C301+C362</f>
        <v>0</v>
      </c>
      <c r="D559" s="41">
        <f t="shared" si="230"/>
        <v>0</v>
      </c>
      <c r="E559" s="41">
        <f t="shared" si="230"/>
        <v>0</v>
      </c>
      <c r="F559" s="41">
        <f t="shared" si="230"/>
        <v>0</v>
      </c>
      <c r="G559" s="41">
        <f t="shared" si="230"/>
        <v>0</v>
      </c>
      <c r="H559" s="41">
        <f t="shared" si="230"/>
        <v>0</v>
      </c>
      <c r="I559" s="41">
        <f t="shared" si="230"/>
        <v>0</v>
      </c>
      <c r="J559" s="41">
        <f t="shared" si="230"/>
        <v>0</v>
      </c>
      <c r="K559" s="41">
        <f t="shared" si="230"/>
        <v>0</v>
      </c>
      <c r="L559" s="41">
        <f t="shared" si="230"/>
        <v>171.14</v>
      </c>
      <c r="M559" s="41">
        <f t="shared" si="230"/>
        <v>0</v>
      </c>
      <c r="N559" s="41">
        <f t="shared" si="225"/>
        <v>171.14</v>
      </c>
    </row>
    <row r="560" spans="1:14" x14ac:dyDescent="0.25">
      <c r="A560" t="s">
        <v>35</v>
      </c>
      <c r="B560" s="41">
        <f t="shared" si="222"/>
        <v>0</v>
      </c>
      <c r="C560" s="41">
        <f t="shared" ref="C560:M560" si="231">C12+C70+C128+C186+C244+C302+C363</f>
        <v>0</v>
      </c>
      <c r="D560" s="41">
        <f t="shared" si="231"/>
        <v>168.91</v>
      </c>
      <c r="E560" s="41">
        <f t="shared" si="231"/>
        <v>93.5</v>
      </c>
      <c r="F560" s="41">
        <f t="shared" si="231"/>
        <v>200</v>
      </c>
      <c r="G560" s="41">
        <f t="shared" si="231"/>
        <v>262.89999999999998</v>
      </c>
      <c r="H560" s="41">
        <f t="shared" si="231"/>
        <v>0</v>
      </c>
      <c r="I560" s="41">
        <f t="shared" si="231"/>
        <v>166.62</v>
      </c>
      <c r="J560" s="41">
        <f t="shared" si="231"/>
        <v>0</v>
      </c>
      <c r="K560" s="41">
        <f t="shared" si="231"/>
        <v>0</v>
      </c>
      <c r="L560" s="41">
        <f t="shared" si="231"/>
        <v>273.96000000000004</v>
      </c>
      <c r="M560" s="41">
        <f t="shared" si="231"/>
        <v>0</v>
      </c>
      <c r="N560" s="41">
        <f t="shared" si="225"/>
        <v>1165.8899999999999</v>
      </c>
    </row>
    <row r="561" spans="1:14" x14ac:dyDescent="0.25">
      <c r="A561" t="s">
        <v>96</v>
      </c>
      <c r="B561" s="41">
        <f t="shared" si="222"/>
        <v>105.32</v>
      </c>
      <c r="C561" s="41">
        <f t="shared" ref="C561:M561" si="232">C13+C71+C129+C187+C245+C303+C364</f>
        <v>0</v>
      </c>
      <c r="D561" s="41">
        <f t="shared" si="232"/>
        <v>0</v>
      </c>
      <c r="E561" s="41">
        <f t="shared" si="232"/>
        <v>60.48</v>
      </c>
      <c r="F561" s="41">
        <f t="shared" si="232"/>
        <v>208.39000000000001</v>
      </c>
      <c r="G561" s="41">
        <f t="shared" si="232"/>
        <v>166.70999999999998</v>
      </c>
      <c r="H561" s="41">
        <f t="shared" si="232"/>
        <v>53.89</v>
      </c>
      <c r="I561" s="41">
        <f t="shared" si="232"/>
        <v>114.7</v>
      </c>
      <c r="J561" s="41">
        <f t="shared" si="232"/>
        <v>154.4</v>
      </c>
      <c r="K561" s="41">
        <f t="shared" si="232"/>
        <v>165.29000000000002</v>
      </c>
      <c r="L561" s="41">
        <f t="shared" si="232"/>
        <v>123.9</v>
      </c>
      <c r="M561" s="41">
        <f t="shared" si="232"/>
        <v>81.61</v>
      </c>
      <c r="N561" s="41">
        <f t="shared" si="225"/>
        <v>1234.69</v>
      </c>
    </row>
    <row r="562" spans="1:14" x14ac:dyDescent="0.25">
      <c r="A562" t="s">
        <v>85</v>
      </c>
      <c r="B562" s="41">
        <f t="shared" si="222"/>
        <v>64.97999999999999</v>
      </c>
      <c r="C562" s="41">
        <f t="shared" ref="C562:M562" si="233">C14+C72+C130+C188+C246+C304+C365</f>
        <v>0</v>
      </c>
      <c r="D562" s="41">
        <f t="shared" si="233"/>
        <v>3274.0699999999997</v>
      </c>
      <c r="E562" s="41">
        <f t="shared" si="233"/>
        <v>584.93000000000006</v>
      </c>
      <c r="F562" s="41">
        <f t="shared" si="233"/>
        <v>0</v>
      </c>
      <c r="G562" s="41">
        <f t="shared" si="233"/>
        <v>0</v>
      </c>
      <c r="H562" s="41">
        <f t="shared" si="233"/>
        <v>109.92999999999999</v>
      </c>
      <c r="I562" s="41">
        <f t="shared" si="233"/>
        <v>1451.51</v>
      </c>
      <c r="J562" s="41">
        <f t="shared" si="233"/>
        <v>0</v>
      </c>
      <c r="K562" s="41">
        <f t="shared" si="233"/>
        <v>120.41999999999999</v>
      </c>
      <c r="L562" s="41">
        <f t="shared" si="233"/>
        <v>0</v>
      </c>
      <c r="M562" s="41">
        <f t="shared" si="233"/>
        <v>0</v>
      </c>
      <c r="N562" s="41">
        <f t="shared" si="225"/>
        <v>5605.8399999999992</v>
      </c>
    </row>
    <row r="563" spans="1:14" x14ac:dyDescent="0.25">
      <c r="A563" t="s">
        <v>88</v>
      </c>
      <c r="B563" s="41">
        <f t="shared" si="222"/>
        <v>0</v>
      </c>
      <c r="C563" s="41">
        <f t="shared" ref="C563:M563" si="234">C15+C73+C131+C189+C247+C305+C366</f>
        <v>316.03999999999996</v>
      </c>
      <c r="D563" s="41">
        <f t="shared" si="234"/>
        <v>0</v>
      </c>
      <c r="E563" s="41">
        <f t="shared" si="234"/>
        <v>0</v>
      </c>
      <c r="F563" s="41">
        <f t="shared" si="234"/>
        <v>286.86</v>
      </c>
      <c r="G563" s="41">
        <f t="shared" si="234"/>
        <v>0</v>
      </c>
      <c r="H563" s="41">
        <f t="shared" si="234"/>
        <v>0</v>
      </c>
      <c r="I563" s="41">
        <f t="shared" si="234"/>
        <v>309.15999999999997</v>
      </c>
      <c r="J563" s="41">
        <f t="shared" si="234"/>
        <v>0</v>
      </c>
      <c r="K563" s="41">
        <f t="shared" si="234"/>
        <v>0</v>
      </c>
      <c r="L563" s="41">
        <f t="shared" si="234"/>
        <v>529.11</v>
      </c>
      <c r="M563" s="41">
        <f t="shared" si="234"/>
        <v>0</v>
      </c>
      <c r="N563" s="41">
        <f t="shared" si="225"/>
        <v>1441.17</v>
      </c>
    </row>
    <row r="564" spans="1:14" x14ac:dyDescent="0.25">
      <c r="A564" t="s">
        <v>13</v>
      </c>
      <c r="B564" s="41">
        <f t="shared" si="222"/>
        <v>0</v>
      </c>
      <c r="C564" s="41">
        <f t="shared" ref="C564:M564" si="235">C16+C74+C132+C190+C248+C306+C367</f>
        <v>0</v>
      </c>
      <c r="D564" s="41">
        <f t="shared" si="235"/>
        <v>0</v>
      </c>
      <c r="E564" s="41">
        <f t="shared" si="235"/>
        <v>0</v>
      </c>
      <c r="F564" s="41">
        <f t="shared" si="235"/>
        <v>0</v>
      </c>
      <c r="G564" s="41">
        <f t="shared" si="235"/>
        <v>0</v>
      </c>
      <c r="H564" s="41">
        <f t="shared" si="235"/>
        <v>0</v>
      </c>
      <c r="I564" s="41">
        <f t="shared" si="235"/>
        <v>0</v>
      </c>
      <c r="J564" s="41">
        <f t="shared" si="235"/>
        <v>5.87</v>
      </c>
      <c r="K564" s="41">
        <f t="shared" si="235"/>
        <v>0</v>
      </c>
      <c r="L564" s="41">
        <f t="shared" si="235"/>
        <v>1.52</v>
      </c>
      <c r="M564" s="41">
        <f t="shared" si="235"/>
        <v>6.31</v>
      </c>
      <c r="N564" s="41">
        <f t="shared" si="225"/>
        <v>13.7</v>
      </c>
    </row>
    <row r="565" spans="1:14" x14ac:dyDescent="0.25">
      <c r="A565" s="9" t="s">
        <v>15</v>
      </c>
      <c r="B565" s="41">
        <f t="shared" si="222"/>
        <v>0</v>
      </c>
      <c r="C565" s="41">
        <f t="shared" ref="C565:M565" si="236">C17+C75+C133+C191+C249+C307+C368</f>
        <v>0</v>
      </c>
      <c r="D565" s="41">
        <f t="shared" si="236"/>
        <v>0</v>
      </c>
      <c r="E565" s="41">
        <f t="shared" si="236"/>
        <v>0</v>
      </c>
      <c r="F565" s="41">
        <f t="shared" si="236"/>
        <v>0</v>
      </c>
      <c r="G565" s="41">
        <f t="shared" si="236"/>
        <v>0</v>
      </c>
      <c r="H565" s="41">
        <f t="shared" si="236"/>
        <v>0</v>
      </c>
      <c r="I565" s="41">
        <f t="shared" si="236"/>
        <v>0</v>
      </c>
      <c r="J565" s="41">
        <f t="shared" si="236"/>
        <v>0</v>
      </c>
      <c r="K565" s="41">
        <f t="shared" si="236"/>
        <v>152.43</v>
      </c>
      <c r="L565" s="41">
        <f t="shared" si="236"/>
        <v>0</v>
      </c>
      <c r="M565" s="41">
        <f t="shared" si="236"/>
        <v>0</v>
      </c>
      <c r="N565" s="41">
        <f t="shared" si="225"/>
        <v>152.43</v>
      </c>
    </row>
    <row r="566" spans="1:14" x14ac:dyDescent="0.25">
      <c r="A566" t="s">
        <v>29</v>
      </c>
      <c r="B566" s="41">
        <f t="shared" si="222"/>
        <v>0</v>
      </c>
      <c r="C566" s="41">
        <f t="shared" ref="C566:M566" si="237">C18+C76+C134+C192+C250+C308+C369</f>
        <v>0</v>
      </c>
      <c r="D566" s="41">
        <f t="shared" si="237"/>
        <v>0</v>
      </c>
      <c r="E566" s="41">
        <f t="shared" si="237"/>
        <v>45.62</v>
      </c>
      <c r="F566" s="41">
        <f t="shared" si="237"/>
        <v>0</v>
      </c>
      <c r="G566" s="41">
        <f t="shared" si="237"/>
        <v>0</v>
      </c>
      <c r="H566" s="41">
        <f t="shared" si="237"/>
        <v>0</v>
      </c>
      <c r="I566" s="41">
        <f t="shared" si="237"/>
        <v>0</v>
      </c>
      <c r="J566" s="41">
        <f t="shared" si="237"/>
        <v>0</v>
      </c>
      <c r="K566" s="41">
        <f t="shared" si="237"/>
        <v>0</v>
      </c>
      <c r="L566" s="41">
        <f t="shared" si="237"/>
        <v>0</v>
      </c>
      <c r="M566" s="41">
        <f t="shared" si="237"/>
        <v>0</v>
      </c>
      <c r="N566" s="41">
        <f t="shared" si="225"/>
        <v>45.62</v>
      </c>
    </row>
    <row r="567" spans="1:14" x14ac:dyDescent="0.25">
      <c r="A567" t="s">
        <v>82</v>
      </c>
      <c r="B567" s="41">
        <f t="shared" si="222"/>
        <v>0</v>
      </c>
      <c r="C567" s="41">
        <f t="shared" ref="C567:M567" si="238">C19+C77+C135+C193+C251+C309</f>
        <v>0</v>
      </c>
      <c r="D567" s="41">
        <f t="shared" si="238"/>
        <v>0</v>
      </c>
      <c r="E567" s="41">
        <f t="shared" si="238"/>
        <v>0</v>
      </c>
      <c r="F567" s="41">
        <f t="shared" si="238"/>
        <v>8.5</v>
      </c>
      <c r="G567" s="41">
        <f t="shared" si="238"/>
        <v>0</v>
      </c>
      <c r="H567" s="41">
        <f t="shared" si="238"/>
        <v>0</v>
      </c>
      <c r="I567" s="41">
        <f t="shared" si="238"/>
        <v>8.5</v>
      </c>
      <c r="J567" s="41">
        <f t="shared" si="238"/>
        <v>0</v>
      </c>
      <c r="K567" s="41">
        <f t="shared" si="238"/>
        <v>0</v>
      </c>
      <c r="L567" s="41">
        <f t="shared" si="238"/>
        <v>0</v>
      </c>
      <c r="M567" s="41">
        <f t="shared" si="238"/>
        <v>17</v>
      </c>
      <c r="N567" s="41">
        <f t="shared" si="225"/>
        <v>34</v>
      </c>
    </row>
    <row r="568" spans="1:14" x14ac:dyDescent="0.25">
      <c r="A568" t="s">
        <v>6</v>
      </c>
      <c r="B568" s="41">
        <f t="shared" si="222"/>
        <v>0</v>
      </c>
      <c r="C568" s="41">
        <f t="shared" ref="C568:M568" si="239">C20+C78+C136+C194+C252+C310</f>
        <v>0</v>
      </c>
      <c r="D568" s="41">
        <f t="shared" si="239"/>
        <v>0</v>
      </c>
      <c r="E568" s="41">
        <f t="shared" si="239"/>
        <v>13.98</v>
      </c>
      <c r="F568" s="41">
        <f t="shared" si="239"/>
        <v>0</v>
      </c>
      <c r="G568" s="41">
        <f t="shared" si="239"/>
        <v>0</v>
      </c>
      <c r="H568" s="41">
        <f t="shared" si="239"/>
        <v>0</v>
      </c>
      <c r="I568" s="41">
        <f t="shared" si="239"/>
        <v>3.6</v>
      </c>
      <c r="J568" s="41">
        <f t="shared" si="239"/>
        <v>0</v>
      </c>
      <c r="K568" s="41">
        <f t="shared" si="239"/>
        <v>0</v>
      </c>
      <c r="L568" s="41">
        <f t="shared" si="239"/>
        <v>3.6</v>
      </c>
      <c r="M568" s="41">
        <f t="shared" si="239"/>
        <v>7.63</v>
      </c>
      <c r="N568" s="41">
        <f t="shared" si="225"/>
        <v>28.810000000000002</v>
      </c>
    </row>
    <row r="569" spans="1:14" x14ac:dyDescent="0.25">
      <c r="A569" t="s">
        <v>31</v>
      </c>
      <c r="B569" s="41">
        <f t="shared" si="222"/>
        <v>0</v>
      </c>
      <c r="C569" s="41">
        <f t="shared" ref="C569:M569" si="240">C21+C79+C137+C195+C253+C311</f>
        <v>0</v>
      </c>
      <c r="D569" s="41">
        <f t="shared" si="240"/>
        <v>0</v>
      </c>
      <c r="E569" s="41">
        <f t="shared" si="240"/>
        <v>0</v>
      </c>
      <c r="F569" s="41">
        <f t="shared" si="240"/>
        <v>23.2</v>
      </c>
      <c r="G569" s="41">
        <f t="shared" si="240"/>
        <v>0</v>
      </c>
      <c r="H569" s="41">
        <f t="shared" si="240"/>
        <v>0</v>
      </c>
      <c r="I569" s="41">
        <f t="shared" si="240"/>
        <v>0</v>
      </c>
      <c r="J569" s="41">
        <f t="shared" si="240"/>
        <v>0</v>
      </c>
      <c r="K569" s="41">
        <f t="shared" si="240"/>
        <v>0</v>
      </c>
      <c r="L569" s="41">
        <f t="shared" si="240"/>
        <v>0</v>
      </c>
      <c r="M569" s="41">
        <f t="shared" si="240"/>
        <v>0</v>
      </c>
      <c r="N569" s="41">
        <f t="shared" si="225"/>
        <v>23.2</v>
      </c>
    </row>
    <row r="570" spans="1:14" x14ac:dyDescent="0.25">
      <c r="A570" t="s">
        <v>170</v>
      </c>
      <c r="B570" s="41">
        <f t="shared" si="222"/>
        <v>0</v>
      </c>
      <c r="C570" s="41">
        <f t="shared" ref="C570:M570" si="241">C22+C80+C138+C196+C254+C312</f>
        <v>0</v>
      </c>
      <c r="D570" s="41">
        <f t="shared" si="241"/>
        <v>0</v>
      </c>
      <c r="E570" s="41">
        <f t="shared" si="241"/>
        <v>0</v>
      </c>
      <c r="F570" s="41">
        <f t="shared" si="241"/>
        <v>1075.25</v>
      </c>
      <c r="G570" s="41">
        <f t="shared" si="241"/>
        <v>0</v>
      </c>
      <c r="H570" s="41">
        <f t="shared" si="241"/>
        <v>0</v>
      </c>
      <c r="I570" s="41">
        <f t="shared" si="241"/>
        <v>404.08000000000004</v>
      </c>
      <c r="J570" s="41">
        <f t="shared" si="241"/>
        <v>0</v>
      </c>
      <c r="K570" s="41">
        <f t="shared" si="241"/>
        <v>0</v>
      </c>
      <c r="L570" s="41">
        <f t="shared" si="241"/>
        <v>552.36</v>
      </c>
      <c r="M570" s="41">
        <f t="shared" si="241"/>
        <v>514.83000000000004</v>
      </c>
      <c r="N570" s="41">
        <f t="shared" si="225"/>
        <v>2546.52</v>
      </c>
    </row>
    <row r="571" spans="1:14" x14ac:dyDescent="0.25">
      <c r="A571" t="s">
        <v>218</v>
      </c>
      <c r="B571" s="41">
        <f t="shared" si="222"/>
        <v>0</v>
      </c>
      <c r="C571" s="41">
        <f t="shared" ref="C571:M571" si="242">C23+C81+C139+C197+C255+C313</f>
        <v>0</v>
      </c>
      <c r="D571" s="41">
        <f t="shared" si="242"/>
        <v>0</v>
      </c>
      <c r="E571" s="41">
        <f t="shared" si="242"/>
        <v>0</v>
      </c>
      <c r="F571" s="41">
        <f t="shared" si="242"/>
        <v>0</v>
      </c>
      <c r="G571" s="41">
        <f t="shared" si="242"/>
        <v>0</v>
      </c>
      <c r="H571" s="41">
        <f t="shared" si="242"/>
        <v>0</v>
      </c>
      <c r="I571" s="41">
        <f t="shared" si="242"/>
        <v>0</v>
      </c>
      <c r="J571" s="41">
        <f t="shared" si="242"/>
        <v>0</v>
      </c>
      <c r="K571" s="41">
        <f t="shared" si="242"/>
        <v>0</v>
      </c>
      <c r="L571" s="41">
        <f t="shared" si="242"/>
        <v>10.01</v>
      </c>
      <c r="M571" s="41">
        <f t="shared" si="242"/>
        <v>0</v>
      </c>
      <c r="N571" s="41">
        <f t="shared" si="225"/>
        <v>10.01</v>
      </c>
    </row>
    <row r="572" spans="1:14" x14ac:dyDescent="0.25">
      <c r="A572" t="s">
        <v>41</v>
      </c>
      <c r="B572" s="41">
        <f t="shared" si="222"/>
        <v>0</v>
      </c>
      <c r="C572" s="41">
        <f t="shared" ref="C572:M572" si="243">C24+C82+C140+C198+C256+C314</f>
        <v>0</v>
      </c>
      <c r="D572" s="41">
        <f t="shared" si="243"/>
        <v>0</v>
      </c>
      <c r="E572" s="41">
        <f t="shared" si="243"/>
        <v>204.6</v>
      </c>
      <c r="F572" s="41">
        <f t="shared" si="243"/>
        <v>0</v>
      </c>
      <c r="G572" s="41">
        <f t="shared" si="243"/>
        <v>0</v>
      </c>
      <c r="H572" s="41">
        <f t="shared" si="243"/>
        <v>0</v>
      </c>
      <c r="I572" s="41">
        <f t="shared" si="243"/>
        <v>0</v>
      </c>
      <c r="J572" s="41">
        <f t="shared" si="243"/>
        <v>0</v>
      </c>
      <c r="K572" s="41">
        <f t="shared" si="243"/>
        <v>267.98</v>
      </c>
      <c r="L572" s="41">
        <f t="shared" si="243"/>
        <v>0</v>
      </c>
      <c r="M572" s="41">
        <f t="shared" si="243"/>
        <v>0</v>
      </c>
      <c r="N572" s="41">
        <f t="shared" si="225"/>
        <v>472.58000000000004</v>
      </c>
    </row>
    <row r="573" spans="1:14" x14ac:dyDescent="0.25">
      <c r="A573" t="s">
        <v>219</v>
      </c>
      <c r="B573" s="41">
        <f t="shared" ref="B573:M573" si="244">B24+B82+B140+B198+B256+B314+B376</f>
        <v>0</v>
      </c>
      <c r="C573" s="41">
        <f t="shared" si="244"/>
        <v>0</v>
      </c>
      <c r="D573" s="41">
        <f t="shared" si="244"/>
        <v>225.6</v>
      </c>
      <c r="E573" s="41">
        <f t="shared" si="244"/>
        <v>204.6</v>
      </c>
      <c r="F573" s="41">
        <f t="shared" si="244"/>
        <v>0</v>
      </c>
      <c r="G573" s="41">
        <f t="shared" si="244"/>
        <v>0</v>
      </c>
      <c r="H573" s="41">
        <f t="shared" si="244"/>
        <v>0</v>
      </c>
      <c r="I573" s="41">
        <f t="shared" si="244"/>
        <v>0</v>
      </c>
      <c r="J573" s="41">
        <f t="shared" si="244"/>
        <v>0</v>
      </c>
      <c r="K573" s="41">
        <f t="shared" si="244"/>
        <v>267.98</v>
      </c>
      <c r="L573" s="41">
        <f t="shared" si="244"/>
        <v>0</v>
      </c>
      <c r="M573" s="41">
        <f t="shared" si="244"/>
        <v>0</v>
      </c>
      <c r="N573" s="41">
        <f>SUM(B573:M573)</f>
        <v>698.18000000000006</v>
      </c>
    </row>
    <row r="574" spans="1:14" x14ac:dyDescent="0.25">
      <c r="A574" t="s">
        <v>352</v>
      </c>
      <c r="B574" s="41">
        <f t="shared" ref="B574:M574" si="245">B25+B83+B141+B199+B257+B315+B379</f>
        <v>0</v>
      </c>
      <c r="C574" s="41">
        <f t="shared" si="245"/>
        <v>0</v>
      </c>
      <c r="D574" s="41">
        <f t="shared" si="245"/>
        <v>0</v>
      </c>
      <c r="E574" s="41">
        <f t="shared" si="245"/>
        <v>0</v>
      </c>
      <c r="F574" s="41">
        <f t="shared" si="245"/>
        <v>0</v>
      </c>
      <c r="G574" s="41">
        <f t="shared" si="245"/>
        <v>0</v>
      </c>
      <c r="H574" s="41">
        <f t="shared" si="245"/>
        <v>0</v>
      </c>
      <c r="I574" s="41">
        <f t="shared" si="245"/>
        <v>0</v>
      </c>
      <c r="J574" s="41">
        <f t="shared" si="245"/>
        <v>0</v>
      </c>
      <c r="K574" s="41">
        <f t="shared" si="245"/>
        <v>0</v>
      </c>
      <c r="L574" s="41">
        <f t="shared" si="245"/>
        <v>0</v>
      </c>
      <c r="M574" s="41">
        <f t="shared" si="245"/>
        <v>0</v>
      </c>
      <c r="N574" s="41">
        <f>SUM(B574:M574)</f>
        <v>0</v>
      </c>
    </row>
    <row r="575" spans="1:14" x14ac:dyDescent="0.25">
      <c r="A575" t="s">
        <v>216</v>
      </c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</row>
    <row r="576" spans="1:14" x14ac:dyDescent="0.25">
      <c r="A576" t="s">
        <v>405</v>
      </c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</row>
    <row r="577" spans="1:14" x14ac:dyDescent="0.25">
      <c r="A577" t="s">
        <v>520</v>
      </c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</row>
    <row r="578" spans="1:14" x14ac:dyDescent="0.25"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</row>
    <row r="579" spans="1:14" x14ac:dyDescent="0.25">
      <c r="A579" s="46" t="s">
        <v>47</v>
      </c>
      <c r="B579" s="106">
        <f>SUM(B552:B577)</f>
        <v>525.47</v>
      </c>
      <c r="C579" s="106">
        <f t="shared" ref="C579:N579" si="246">SUM(C552:C577)</f>
        <v>859.8599999999999</v>
      </c>
      <c r="D579" s="106">
        <f t="shared" si="246"/>
        <v>3915.0099999999998</v>
      </c>
      <c r="E579" s="106">
        <f t="shared" si="246"/>
        <v>1207.71</v>
      </c>
      <c r="F579" s="106">
        <f t="shared" si="246"/>
        <v>2087.29</v>
      </c>
      <c r="G579" s="106">
        <f t="shared" si="246"/>
        <v>1187.8799999999999</v>
      </c>
      <c r="H579" s="106">
        <f t="shared" si="246"/>
        <v>662.81</v>
      </c>
      <c r="I579" s="106">
        <f t="shared" si="246"/>
        <v>2921.64</v>
      </c>
      <c r="J579" s="106">
        <f t="shared" si="246"/>
        <v>355.15000000000003</v>
      </c>
      <c r="K579" s="106">
        <f t="shared" si="246"/>
        <v>974.10000000000014</v>
      </c>
      <c r="L579" s="106">
        <f t="shared" si="246"/>
        <v>1925.2499999999998</v>
      </c>
      <c r="M579" s="106">
        <f t="shared" si="246"/>
        <v>2968.9500000000003</v>
      </c>
      <c r="N579" s="106">
        <f t="shared" si="246"/>
        <v>19591.120000000003</v>
      </c>
    </row>
    <row r="580" spans="1:14" x14ac:dyDescent="0.25"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</row>
    <row r="581" spans="1:14" x14ac:dyDescent="0.25"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</row>
    <row r="582" spans="1:14" x14ac:dyDescent="0.25"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</row>
    <row r="583" spans="1:14" x14ac:dyDescent="0.25"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</row>
    <row r="584" spans="1:14" x14ac:dyDescent="0.25"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</row>
    <row r="585" spans="1:14" x14ac:dyDescent="0.25">
      <c r="A585" s="107" t="s">
        <v>188</v>
      </c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</row>
    <row r="586" spans="1:14" x14ac:dyDescent="0.25">
      <c r="A586" t="s">
        <v>173</v>
      </c>
      <c r="B586" s="41">
        <f t="shared" ref="B586:M586" si="247">B30+B88+B146+B204+B262+B319+B383</f>
        <v>484.78000000000003</v>
      </c>
      <c r="C586" s="41">
        <f t="shared" si="247"/>
        <v>466.52</v>
      </c>
      <c r="D586" s="41">
        <f t="shared" si="247"/>
        <v>454.95</v>
      </c>
      <c r="E586" s="41">
        <f t="shared" si="247"/>
        <v>543.24</v>
      </c>
      <c r="F586" s="41">
        <f t="shared" si="247"/>
        <v>551.79999999999995</v>
      </c>
      <c r="G586" s="41">
        <f t="shared" si="247"/>
        <v>557.1</v>
      </c>
      <c r="H586" s="41">
        <f t="shared" si="247"/>
        <v>579.9</v>
      </c>
      <c r="I586" s="41">
        <f t="shared" si="247"/>
        <v>636.4</v>
      </c>
      <c r="J586" s="41">
        <f t="shared" si="247"/>
        <v>675.5</v>
      </c>
      <c r="K586" s="41">
        <f t="shared" si="247"/>
        <v>701.97</v>
      </c>
      <c r="L586" s="41">
        <f t="shared" si="247"/>
        <v>705.97</v>
      </c>
      <c r="M586" s="41">
        <f t="shared" si="247"/>
        <v>762.53</v>
      </c>
      <c r="N586" s="41">
        <f t="shared" ref="N586" si="248">SUM(B586:M586)</f>
        <v>7120.66</v>
      </c>
    </row>
    <row r="587" spans="1:14" x14ac:dyDescent="0.25">
      <c r="A587" t="s">
        <v>222</v>
      </c>
      <c r="B587" s="41">
        <f t="shared" ref="B587:M587" si="249">B31+B89+B147+B205+B263+B320+B384</f>
        <v>13.8</v>
      </c>
      <c r="C587" s="41">
        <f t="shared" si="249"/>
        <v>18.600000000000001</v>
      </c>
      <c r="D587" s="41">
        <f t="shared" si="249"/>
        <v>30.6</v>
      </c>
      <c r="E587" s="41">
        <f t="shared" si="249"/>
        <v>42.6</v>
      </c>
      <c r="F587" s="41">
        <f t="shared" si="249"/>
        <v>58.5</v>
      </c>
      <c r="G587" s="41">
        <f t="shared" si="249"/>
        <v>93.75</v>
      </c>
      <c r="H587" s="41">
        <f t="shared" si="249"/>
        <v>102.75</v>
      </c>
      <c r="I587" s="41">
        <f t="shared" si="249"/>
        <v>113.86</v>
      </c>
      <c r="J587" s="41">
        <f t="shared" si="249"/>
        <v>109.75</v>
      </c>
      <c r="K587" s="41">
        <f t="shared" si="249"/>
        <v>109.75</v>
      </c>
      <c r="L587" s="41">
        <f t="shared" si="249"/>
        <v>110.95</v>
      </c>
      <c r="M587" s="41">
        <f t="shared" si="249"/>
        <v>145.55000000000001</v>
      </c>
      <c r="N587" s="41">
        <f>SUM(B587:M587)</f>
        <v>950.46</v>
      </c>
    </row>
    <row r="588" spans="1:14" x14ac:dyDescent="0.25">
      <c r="A588" t="s">
        <v>180</v>
      </c>
      <c r="B588" s="41">
        <f t="shared" ref="B588:M588" si="250">B32+B90+B148+B206+B264+B321+B385</f>
        <v>37.82</v>
      </c>
      <c r="C588" s="41">
        <f t="shared" si="250"/>
        <v>25.4</v>
      </c>
      <c r="D588" s="41">
        <f t="shared" si="250"/>
        <v>19.13</v>
      </c>
      <c r="E588" s="41">
        <f t="shared" si="250"/>
        <v>20.8</v>
      </c>
      <c r="F588" s="41">
        <f t="shared" si="250"/>
        <v>19.940000000000001</v>
      </c>
      <c r="G588" s="41">
        <f t="shared" si="250"/>
        <v>28.7</v>
      </c>
      <c r="H588" s="41">
        <f t="shared" si="250"/>
        <v>30.11</v>
      </c>
      <c r="I588" s="41">
        <f t="shared" si="250"/>
        <v>27.39</v>
      </c>
      <c r="J588" s="41">
        <f t="shared" si="250"/>
        <v>29.479999999999997</v>
      </c>
      <c r="K588" s="41">
        <f t="shared" si="250"/>
        <v>35.879999999999995</v>
      </c>
      <c r="L588" s="41">
        <f t="shared" si="250"/>
        <v>42.96</v>
      </c>
      <c r="M588" s="41">
        <f t="shared" si="250"/>
        <v>44.849999999999994</v>
      </c>
      <c r="N588" s="41">
        <f t="shared" ref="N588:N596" si="251">SUM(B588:M588)</f>
        <v>362.45999999999992</v>
      </c>
    </row>
    <row r="589" spans="1:14" x14ac:dyDescent="0.25">
      <c r="A589" t="s">
        <v>184</v>
      </c>
      <c r="B589" s="41">
        <f t="shared" ref="B589:M589" si="252">B33+B91+B149+B207+B265+B322+B386</f>
        <v>87.49</v>
      </c>
      <c r="C589" s="41">
        <f t="shared" si="252"/>
        <v>108.33</v>
      </c>
      <c r="D589" s="41">
        <f t="shared" si="252"/>
        <v>108.33</v>
      </c>
      <c r="E589" s="41">
        <f t="shared" si="252"/>
        <v>108.33</v>
      </c>
      <c r="F589" s="41">
        <f t="shared" si="252"/>
        <v>71.67</v>
      </c>
      <c r="G589" s="41">
        <f t="shared" si="252"/>
        <v>89.16</v>
      </c>
      <c r="H589" s="41">
        <f t="shared" si="252"/>
        <v>68.3</v>
      </c>
      <c r="I589" s="41">
        <f t="shared" si="252"/>
        <v>99.13</v>
      </c>
      <c r="J589" s="41">
        <f t="shared" si="252"/>
        <v>85.9</v>
      </c>
      <c r="K589" s="41">
        <f t="shared" si="252"/>
        <v>74.989999999999995</v>
      </c>
      <c r="L589" s="41">
        <f t="shared" si="252"/>
        <v>79.16</v>
      </c>
      <c r="M589" s="41">
        <f t="shared" si="252"/>
        <v>79.17</v>
      </c>
      <c r="N589" s="41">
        <f t="shared" si="251"/>
        <v>1059.9599999999998</v>
      </c>
    </row>
    <row r="590" spans="1:14" x14ac:dyDescent="0.25">
      <c r="A590" t="s">
        <v>234</v>
      </c>
      <c r="B590" s="41">
        <f t="shared" ref="B590:M590" si="253">B34+B92+B150+B208+B266+B323+B387</f>
        <v>20.52</v>
      </c>
      <c r="C590" s="41">
        <f t="shared" si="253"/>
        <v>16.72</v>
      </c>
      <c r="D590" s="41">
        <f t="shared" si="253"/>
        <v>16.82</v>
      </c>
      <c r="E590" s="41">
        <f t="shared" si="253"/>
        <v>22.27</v>
      </c>
      <c r="F590" s="41">
        <f t="shared" si="253"/>
        <v>26.8</v>
      </c>
      <c r="G590" s="41">
        <f t="shared" si="253"/>
        <v>28.8</v>
      </c>
      <c r="H590" s="41">
        <f t="shared" si="253"/>
        <v>27.2</v>
      </c>
      <c r="I590" s="41">
        <f t="shared" si="253"/>
        <v>28.8</v>
      </c>
      <c r="J590" s="41">
        <f t="shared" si="253"/>
        <v>28.4</v>
      </c>
      <c r="K590" s="41">
        <f t="shared" si="253"/>
        <v>27.2</v>
      </c>
      <c r="L590" s="41">
        <f t="shared" si="253"/>
        <v>46.96</v>
      </c>
      <c r="M590" s="41">
        <f t="shared" si="253"/>
        <v>47.32</v>
      </c>
      <c r="N590" s="41">
        <f t="shared" si="251"/>
        <v>337.81</v>
      </c>
    </row>
    <row r="591" spans="1:14" x14ac:dyDescent="0.25">
      <c r="A591" t="s">
        <v>221</v>
      </c>
      <c r="B591" s="41">
        <f t="shared" ref="B591:M591" si="254">B35+B93+B151+B209+B267+B324+B388</f>
        <v>18</v>
      </c>
      <c r="C591" s="41">
        <f t="shared" si="254"/>
        <v>18</v>
      </c>
      <c r="D591" s="41">
        <f t="shared" si="254"/>
        <v>31.5</v>
      </c>
      <c r="E591" s="41">
        <f t="shared" si="254"/>
        <v>35</v>
      </c>
      <c r="F591" s="41">
        <f t="shared" si="254"/>
        <v>45.15</v>
      </c>
      <c r="G591" s="41">
        <f t="shared" si="254"/>
        <v>45.15</v>
      </c>
      <c r="H591" s="41">
        <f t="shared" si="254"/>
        <v>52.5</v>
      </c>
      <c r="I591" s="41">
        <f t="shared" si="254"/>
        <v>56.5</v>
      </c>
      <c r="J591" s="41">
        <f t="shared" si="254"/>
        <v>73.5</v>
      </c>
      <c r="K591" s="41">
        <f t="shared" si="254"/>
        <v>108.5</v>
      </c>
      <c r="L591" s="41">
        <f t="shared" si="254"/>
        <v>118.56</v>
      </c>
      <c r="M591" s="41">
        <f t="shared" si="254"/>
        <v>118.56</v>
      </c>
      <c r="N591" s="41">
        <f t="shared" si="251"/>
        <v>720.92000000000007</v>
      </c>
    </row>
    <row r="592" spans="1:14" x14ac:dyDescent="0.25">
      <c r="A592" t="s">
        <v>183</v>
      </c>
      <c r="B592" s="41">
        <f t="shared" ref="B592:M592" si="255">B36+B94+B152+B210+B268+B325+B389</f>
        <v>6.39</v>
      </c>
      <c r="C592" s="41">
        <f t="shared" si="255"/>
        <v>10.11</v>
      </c>
      <c r="D592" s="41">
        <f t="shared" si="255"/>
        <v>22.57</v>
      </c>
      <c r="E592" s="41">
        <f t="shared" si="255"/>
        <v>18.100000000000001</v>
      </c>
      <c r="F592" s="41">
        <f t="shared" si="255"/>
        <v>12.82</v>
      </c>
      <c r="G592" s="41">
        <f t="shared" si="255"/>
        <v>17.89</v>
      </c>
      <c r="H592" s="41">
        <f t="shared" si="255"/>
        <v>17.600000000000001</v>
      </c>
      <c r="I592" s="41">
        <f t="shared" si="255"/>
        <v>22.23</v>
      </c>
      <c r="J592" s="41">
        <f t="shared" si="255"/>
        <v>22.27</v>
      </c>
      <c r="K592" s="41">
        <f t="shared" si="255"/>
        <v>26.700000000000003</v>
      </c>
      <c r="L592" s="41">
        <f t="shared" si="255"/>
        <v>21.44</v>
      </c>
      <c r="M592" s="41">
        <f t="shared" si="255"/>
        <v>25.58</v>
      </c>
      <c r="N592" s="41">
        <f t="shared" si="251"/>
        <v>223.7</v>
      </c>
    </row>
    <row r="593" spans="1:14" x14ac:dyDescent="0.25">
      <c r="A593" t="s">
        <v>220</v>
      </c>
      <c r="B593" s="41">
        <f t="shared" ref="B593:M593" si="256">B37+B95+B153+B211+B269+B326+B390</f>
        <v>14.07</v>
      </c>
      <c r="C593" s="41">
        <f t="shared" si="256"/>
        <v>15.58</v>
      </c>
      <c r="D593" s="41">
        <f t="shared" si="256"/>
        <v>19.5</v>
      </c>
      <c r="E593" s="41">
        <f t="shared" si="256"/>
        <v>19.5</v>
      </c>
      <c r="F593" s="41">
        <f t="shared" si="256"/>
        <v>20.43</v>
      </c>
      <c r="G593" s="41">
        <f t="shared" si="256"/>
        <v>22</v>
      </c>
      <c r="H593" s="41">
        <f t="shared" si="256"/>
        <v>21.91</v>
      </c>
      <c r="I593" s="41">
        <f t="shared" si="256"/>
        <v>26.32</v>
      </c>
      <c r="J593" s="41">
        <f t="shared" si="256"/>
        <v>31.1</v>
      </c>
      <c r="K593" s="41">
        <f t="shared" si="256"/>
        <v>32.700000000000003</v>
      </c>
      <c r="L593" s="41">
        <f t="shared" si="256"/>
        <v>33.83</v>
      </c>
      <c r="M593" s="41">
        <f t="shared" si="256"/>
        <v>38</v>
      </c>
      <c r="N593" s="41">
        <f t="shared" si="251"/>
        <v>294.94</v>
      </c>
    </row>
    <row r="594" spans="1:14" x14ac:dyDescent="0.25">
      <c r="A594" t="s">
        <v>181</v>
      </c>
      <c r="B594" s="41">
        <f t="shared" ref="B594:M594" si="257">B38+B96+B154+B212+B270+B327+B391</f>
        <v>46.23</v>
      </c>
      <c r="C594" s="41">
        <f t="shared" si="257"/>
        <v>51.2</v>
      </c>
      <c r="D594" s="41">
        <f t="shared" si="257"/>
        <v>51.2</v>
      </c>
      <c r="E594" s="41">
        <f t="shared" si="257"/>
        <v>63.6</v>
      </c>
      <c r="F594" s="41">
        <f t="shared" si="257"/>
        <v>63.6</v>
      </c>
      <c r="G594" s="41">
        <f t="shared" si="257"/>
        <v>76.400000000000006</v>
      </c>
      <c r="H594" s="41">
        <f t="shared" si="257"/>
        <v>92.93</v>
      </c>
      <c r="I594" s="41">
        <f t="shared" si="257"/>
        <v>106.24000000000001</v>
      </c>
      <c r="J594" s="41">
        <f t="shared" si="257"/>
        <v>112</v>
      </c>
      <c r="K594" s="41">
        <f t="shared" si="257"/>
        <v>112</v>
      </c>
      <c r="L594" s="41">
        <f t="shared" si="257"/>
        <v>104.65</v>
      </c>
      <c r="M594" s="41">
        <f t="shared" si="257"/>
        <v>104.65</v>
      </c>
      <c r="N594" s="41">
        <f t="shared" si="251"/>
        <v>984.7</v>
      </c>
    </row>
    <row r="595" spans="1:14" x14ac:dyDescent="0.25">
      <c r="A595" t="s">
        <v>186</v>
      </c>
      <c r="B595" s="41">
        <f t="shared" ref="B595:M595" si="258">B39+B97+B155+B213+B271+B328+B392</f>
        <v>45.75</v>
      </c>
      <c r="C595" s="41">
        <f t="shared" si="258"/>
        <v>51.85</v>
      </c>
      <c r="D595" s="41">
        <f t="shared" si="258"/>
        <v>51.85</v>
      </c>
      <c r="E595" s="41">
        <f t="shared" si="258"/>
        <v>51.85</v>
      </c>
      <c r="F595" s="41">
        <f t="shared" si="258"/>
        <v>51.85</v>
      </c>
      <c r="G595" s="41">
        <f t="shared" si="258"/>
        <v>51.85</v>
      </c>
      <c r="H595" s="41">
        <f t="shared" si="258"/>
        <v>62.85</v>
      </c>
      <c r="I595" s="41">
        <f t="shared" si="258"/>
        <v>68.349999999999994</v>
      </c>
      <c r="J595" s="41">
        <f t="shared" si="258"/>
        <v>73.849999999999994</v>
      </c>
      <c r="K595" s="41">
        <f t="shared" si="258"/>
        <v>76.900000000000006</v>
      </c>
      <c r="L595" s="41">
        <f t="shared" si="258"/>
        <v>88.5</v>
      </c>
      <c r="M595" s="41">
        <f t="shared" si="258"/>
        <v>545.65</v>
      </c>
      <c r="N595" s="41">
        <f t="shared" si="251"/>
        <v>1221.0999999999999</v>
      </c>
    </row>
    <row r="596" spans="1:14" x14ac:dyDescent="0.25">
      <c r="A596" t="s">
        <v>169</v>
      </c>
      <c r="B596" s="41">
        <f t="shared" ref="B596:M596" si="259">B40+B98+B156+B214+B272+B329+B393</f>
        <v>81.789999999999992</v>
      </c>
      <c r="C596" s="41">
        <f t="shared" si="259"/>
        <v>90.859999999999985</v>
      </c>
      <c r="D596" s="41">
        <f t="shared" si="259"/>
        <v>103</v>
      </c>
      <c r="E596" s="41">
        <f t="shared" si="259"/>
        <v>109.04</v>
      </c>
      <c r="F596" s="41">
        <f t="shared" si="259"/>
        <v>96.65</v>
      </c>
      <c r="G596" s="41">
        <f t="shared" si="259"/>
        <v>115</v>
      </c>
      <c r="H596" s="41">
        <f t="shared" si="259"/>
        <v>119.7</v>
      </c>
      <c r="I596" s="41">
        <f t="shared" si="259"/>
        <v>136.94999999999999</v>
      </c>
      <c r="J596" s="41">
        <f t="shared" si="259"/>
        <v>176.10000000000002</v>
      </c>
      <c r="K596" s="41">
        <f t="shared" si="259"/>
        <v>182.2</v>
      </c>
      <c r="L596" s="41">
        <f t="shared" si="259"/>
        <v>146.25</v>
      </c>
      <c r="M596" s="41">
        <f t="shared" si="259"/>
        <v>160.94999999999999</v>
      </c>
      <c r="N596" s="41">
        <f t="shared" si="251"/>
        <v>1518.4900000000002</v>
      </c>
    </row>
    <row r="597" spans="1:14" x14ac:dyDescent="0.25">
      <c r="A597" t="s">
        <v>217</v>
      </c>
      <c r="B597" s="41">
        <f t="shared" ref="B597:M597" si="260">B41+B99+B157+B215+B273+B330+B394</f>
        <v>35.64</v>
      </c>
      <c r="C597" s="41">
        <f t="shared" si="260"/>
        <v>46.9</v>
      </c>
      <c r="D597" s="41">
        <f t="shared" si="260"/>
        <v>53.6</v>
      </c>
      <c r="E597" s="41">
        <f t="shared" si="260"/>
        <v>68</v>
      </c>
      <c r="F597" s="41">
        <f t="shared" si="260"/>
        <v>68</v>
      </c>
      <c r="G597" s="41">
        <f t="shared" si="260"/>
        <v>65.88</v>
      </c>
      <c r="H597" s="41">
        <f t="shared" si="260"/>
        <v>76.25</v>
      </c>
      <c r="I597" s="41">
        <f t="shared" si="260"/>
        <v>80.64</v>
      </c>
      <c r="J597" s="41">
        <f t="shared" si="260"/>
        <v>92.82</v>
      </c>
      <c r="K597" s="41">
        <f t="shared" si="260"/>
        <v>103.91999999999999</v>
      </c>
      <c r="L597" s="41">
        <f t="shared" si="260"/>
        <v>115.92</v>
      </c>
      <c r="M597" s="41">
        <f t="shared" si="260"/>
        <v>123.72</v>
      </c>
      <c r="N597" s="41">
        <f>SUM(B597:M597)</f>
        <v>931.29</v>
      </c>
    </row>
    <row r="598" spans="1:14" x14ac:dyDescent="0.25">
      <c r="A598" t="s">
        <v>267</v>
      </c>
      <c r="B598" s="41">
        <f t="shared" ref="B598:M598" si="261">B42+B100+B158+B216+B274+B331+B395</f>
        <v>0</v>
      </c>
      <c r="C598" s="41">
        <f t="shared" si="261"/>
        <v>13.6</v>
      </c>
      <c r="D598" s="41">
        <f t="shared" si="261"/>
        <v>20.399999999999999</v>
      </c>
      <c r="E598" s="41">
        <f t="shared" si="261"/>
        <v>20.399999999999999</v>
      </c>
      <c r="F598" s="41">
        <f t="shared" si="261"/>
        <v>20.399999999999999</v>
      </c>
      <c r="G598" s="41">
        <f t="shared" si="261"/>
        <v>20.399999999999999</v>
      </c>
      <c r="H598" s="41">
        <f t="shared" si="261"/>
        <v>20.399999999999999</v>
      </c>
      <c r="I598" s="41">
        <f t="shared" si="261"/>
        <v>20.399999999999999</v>
      </c>
      <c r="J598" s="41">
        <f t="shared" si="261"/>
        <v>20.399999999999999</v>
      </c>
      <c r="K598" s="41">
        <f t="shared" si="261"/>
        <v>20.399999999999999</v>
      </c>
      <c r="L598" s="41">
        <f t="shared" si="261"/>
        <v>20.399999999999999</v>
      </c>
      <c r="M598" s="41">
        <f t="shared" si="261"/>
        <v>20.399999999999999</v>
      </c>
      <c r="N598" s="41">
        <f t="shared" ref="N598:N602" si="262">SUM(B598:M598)</f>
        <v>217.60000000000002</v>
      </c>
    </row>
    <row r="599" spans="1:14" x14ac:dyDescent="0.25">
      <c r="A599" t="s">
        <v>270</v>
      </c>
      <c r="B599" s="41">
        <f t="shared" ref="B599:M599" si="263">B43+B101+B159+B217+B275+B332+B396</f>
        <v>0</v>
      </c>
      <c r="C599" s="41">
        <f t="shared" si="263"/>
        <v>12</v>
      </c>
      <c r="D599" s="41">
        <f t="shared" si="263"/>
        <v>12.54</v>
      </c>
      <c r="E599" s="41">
        <f t="shared" si="263"/>
        <v>28.08</v>
      </c>
      <c r="F599" s="41">
        <f t="shared" si="263"/>
        <v>31.62</v>
      </c>
      <c r="G599" s="41">
        <f t="shared" si="263"/>
        <v>33.479999999999997</v>
      </c>
      <c r="H599" s="41">
        <f t="shared" si="263"/>
        <v>34.72</v>
      </c>
      <c r="I599" s="41">
        <f t="shared" si="263"/>
        <v>35.340000000000003</v>
      </c>
      <c r="J599" s="41">
        <f t="shared" si="263"/>
        <v>35.340000000000003</v>
      </c>
      <c r="K599" s="41">
        <f t="shared" si="263"/>
        <v>36.58</v>
      </c>
      <c r="L599" s="41">
        <f t="shared" si="263"/>
        <v>37.96</v>
      </c>
      <c r="M599" s="41">
        <f t="shared" si="263"/>
        <v>40.04</v>
      </c>
      <c r="N599" s="41">
        <f t="shared" si="262"/>
        <v>337.7</v>
      </c>
    </row>
    <row r="600" spans="1:14" x14ac:dyDescent="0.25">
      <c r="A600" t="s">
        <v>276</v>
      </c>
      <c r="B600" s="41">
        <f t="shared" ref="B600:M600" si="264">B44+B102+B160+B218+B276+B333+B397</f>
        <v>0</v>
      </c>
      <c r="C600" s="41">
        <f t="shared" si="264"/>
        <v>0</v>
      </c>
      <c r="D600" s="41">
        <f t="shared" si="264"/>
        <v>5.8</v>
      </c>
      <c r="E600" s="41">
        <f t="shared" si="264"/>
        <v>7.7</v>
      </c>
      <c r="F600" s="41">
        <f t="shared" si="264"/>
        <v>10.69</v>
      </c>
      <c r="G600" s="41">
        <f t="shared" si="264"/>
        <v>16</v>
      </c>
      <c r="H600" s="41">
        <f t="shared" si="264"/>
        <v>6.35</v>
      </c>
      <c r="I600" s="41">
        <f t="shared" si="264"/>
        <v>6.19</v>
      </c>
      <c r="J600" s="41">
        <f t="shared" si="264"/>
        <v>5.52</v>
      </c>
      <c r="K600" s="41">
        <f t="shared" si="264"/>
        <v>9.32</v>
      </c>
      <c r="L600" s="41">
        <f t="shared" si="264"/>
        <v>10.42</v>
      </c>
      <c r="M600" s="41">
        <f t="shared" si="264"/>
        <v>9.81</v>
      </c>
      <c r="N600" s="41">
        <f t="shared" si="262"/>
        <v>87.8</v>
      </c>
    </row>
    <row r="601" spans="1:14" x14ac:dyDescent="0.25">
      <c r="A601" t="s">
        <v>355</v>
      </c>
      <c r="B601" s="41">
        <f t="shared" ref="B601:M601" si="265">B45+B103+B161+B219+B277+B334+B398</f>
        <v>0</v>
      </c>
      <c r="C601" s="41">
        <f t="shared" si="265"/>
        <v>0</v>
      </c>
      <c r="D601" s="41">
        <f t="shared" si="265"/>
        <v>0</v>
      </c>
      <c r="E601" s="41">
        <f t="shared" si="265"/>
        <v>0</v>
      </c>
      <c r="F601" s="41">
        <f t="shared" si="265"/>
        <v>0</v>
      </c>
      <c r="G601" s="41">
        <f t="shared" si="265"/>
        <v>12.8</v>
      </c>
      <c r="H601" s="41">
        <f t="shared" si="265"/>
        <v>22.2</v>
      </c>
      <c r="I601" s="41">
        <f t="shared" si="265"/>
        <v>29.75</v>
      </c>
      <c r="J601" s="41">
        <f t="shared" si="265"/>
        <v>25.53</v>
      </c>
      <c r="K601" s="41">
        <f t="shared" si="265"/>
        <v>50.25</v>
      </c>
      <c r="L601" s="41">
        <f t="shared" si="265"/>
        <v>65.55</v>
      </c>
      <c r="M601" s="41">
        <f t="shared" si="265"/>
        <v>57</v>
      </c>
      <c r="N601" s="41">
        <f t="shared" si="262"/>
        <v>263.08</v>
      </c>
    </row>
    <row r="602" spans="1:14" x14ac:dyDescent="0.25">
      <c r="A602" t="s">
        <v>495</v>
      </c>
      <c r="B602" s="41">
        <f t="shared" ref="B602:M602" si="266">B46+B104+B162+B220+B278+B335+B399</f>
        <v>0</v>
      </c>
      <c r="C602" s="41">
        <f t="shared" si="266"/>
        <v>0</v>
      </c>
      <c r="D602" s="41">
        <f t="shared" si="266"/>
        <v>0</v>
      </c>
      <c r="E602" s="41">
        <f t="shared" si="266"/>
        <v>0</v>
      </c>
      <c r="F602" s="41">
        <f t="shared" si="266"/>
        <v>0</v>
      </c>
      <c r="G602" s="41">
        <f t="shared" si="266"/>
        <v>0</v>
      </c>
      <c r="H602" s="41">
        <f t="shared" si="266"/>
        <v>5.64</v>
      </c>
      <c r="I602" s="41">
        <f t="shared" si="266"/>
        <v>15.91</v>
      </c>
      <c r="J602" s="41">
        <f t="shared" si="266"/>
        <v>15.43</v>
      </c>
      <c r="K602" s="41">
        <f t="shared" si="266"/>
        <v>15.09</v>
      </c>
      <c r="L602" s="41">
        <f t="shared" si="266"/>
        <v>21.96</v>
      </c>
      <c r="M602" s="41">
        <f t="shared" si="266"/>
        <v>30.32</v>
      </c>
      <c r="N602" s="41">
        <f t="shared" si="262"/>
        <v>104.35</v>
      </c>
    </row>
    <row r="603" spans="1:14" x14ac:dyDescent="0.25">
      <c r="A603" t="s">
        <v>377</v>
      </c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</row>
    <row r="604" spans="1:14" x14ac:dyDescent="0.25">
      <c r="A604" t="s">
        <v>374</v>
      </c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</row>
    <row r="605" spans="1:14" x14ac:dyDescent="0.25">
      <c r="A605" t="s">
        <v>383</v>
      </c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</row>
    <row r="606" spans="1:14" x14ac:dyDescent="0.25">
      <c r="A606" t="s">
        <v>408</v>
      </c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</row>
    <row r="607" spans="1:14" x14ac:dyDescent="0.25">
      <c r="A607" t="s">
        <v>510</v>
      </c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</row>
    <row r="608" spans="1:14" x14ac:dyDescent="0.25"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</row>
    <row r="609" spans="1:14" x14ac:dyDescent="0.25"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</row>
    <row r="610" spans="1:14" x14ac:dyDescent="0.25">
      <c r="A610" s="46" t="s">
        <v>47</v>
      </c>
      <c r="B610" s="106">
        <f>SUM(B586:B609)</f>
        <v>892.28000000000009</v>
      </c>
      <c r="C610" s="106">
        <f>SUM(C586:C609)</f>
        <v>945.67000000000019</v>
      </c>
      <c r="D610" s="106">
        <f>SUM(D586:D609)</f>
        <v>1001.7900000000001</v>
      </c>
      <c r="E610" s="106">
        <f t="shared" ref="E610:N610" si="267">SUM(E586:E609)</f>
        <v>1158.5100000000002</v>
      </c>
      <c r="F610" s="106">
        <f t="shared" si="267"/>
        <v>1149.92</v>
      </c>
      <c r="G610" s="106">
        <f t="shared" si="267"/>
        <v>1274.3599999999999</v>
      </c>
      <c r="H610" s="106">
        <f t="shared" si="267"/>
        <v>1341.3100000000002</v>
      </c>
      <c r="I610" s="106">
        <f t="shared" si="267"/>
        <v>1510.4</v>
      </c>
      <c r="J610" s="106">
        <f t="shared" si="267"/>
        <v>1612.8899999999999</v>
      </c>
      <c r="K610" s="106">
        <f t="shared" si="267"/>
        <v>1724.3500000000001</v>
      </c>
      <c r="L610" s="106">
        <f t="shared" si="267"/>
        <v>1771.4400000000005</v>
      </c>
      <c r="M610" s="106">
        <f t="shared" si="267"/>
        <v>2354.0999999999995</v>
      </c>
      <c r="N610" s="106">
        <f t="shared" si="267"/>
        <v>16737.02</v>
      </c>
    </row>
    <row r="611" spans="1:14" x14ac:dyDescent="0.25"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</row>
    <row r="612" spans="1:14" x14ac:dyDescent="0.25">
      <c r="A612" s="107" t="s">
        <v>100</v>
      </c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</row>
    <row r="613" spans="1:14" x14ac:dyDescent="0.25">
      <c r="A613" t="s">
        <v>223</v>
      </c>
      <c r="B613" s="41">
        <f t="shared" ref="B613:M613" si="268">B50+B108+B166+B224+B282+B339+B406</f>
        <v>0</v>
      </c>
      <c r="C613" s="41">
        <f t="shared" si="268"/>
        <v>924.97</v>
      </c>
      <c r="D613" s="41">
        <f t="shared" si="268"/>
        <v>0</v>
      </c>
      <c r="E613" s="41">
        <f t="shared" si="268"/>
        <v>0</v>
      </c>
      <c r="F613" s="41">
        <f t="shared" si="268"/>
        <v>0</v>
      </c>
      <c r="G613" s="41">
        <f t="shared" si="268"/>
        <v>0</v>
      </c>
      <c r="H613" s="41">
        <f t="shared" si="268"/>
        <v>0</v>
      </c>
      <c r="I613" s="41">
        <f t="shared" si="268"/>
        <v>1124.73</v>
      </c>
      <c r="J613" s="41">
        <f t="shared" si="268"/>
        <v>0</v>
      </c>
      <c r="K613" s="41">
        <f t="shared" si="268"/>
        <v>0</v>
      </c>
      <c r="L613" s="41">
        <f t="shared" si="268"/>
        <v>0</v>
      </c>
      <c r="M613" s="41">
        <f t="shared" si="268"/>
        <v>0</v>
      </c>
      <c r="N613" s="41">
        <f t="shared" ref="N613:N615" si="269">SUM(B613:M613)</f>
        <v>2049.6999999999998</v>
      </c>
    </row>
    <row r="614" spans="1:14" x14ac:dyDescent="0.25">
      <c r="A614" t="s">
        <v>240</v>
      </c>
      <c r="B614" s="41">
        <f t="shared" ref="B614:M614" si="270">B51+B109+B167+B225+B283+B340</f>
        <v>0</v>
      </c>
      <c r="C614" s="41">
        <f t="shared" si="270"/>
        <v>0</v>
      </c>
      <c r="D614" s="41">
        <f t="shared" si="270"/>
        <v>0</v>
      </c>
      <c r="E614" s="41">
        <f t="shared" si="270"/>
        <v>0</v>
      </c>
      <c r="F614" s="41">
        <f t="shared" si="270"/>
        <v>0</v>
      </c>
      <c r="G614" s="41">
        <f t="shared" si="270"/>
        <v>0</v>
      </c>
      <c r="H614" s="41">
        <f t="shared" si="270"/>
        <v>0</v>
      </c>
      <c r="I614" s="41">
        <f t="shared" si="270"/>
        <v>0</v>
      </c>
      <c r="J614" s="41">
        <f t="shared" si="270"/>
        <v>0</v>
      </c>
      <c r="K614" s="41">
        <f t="shared" si="270"/>
        <v>0</v>
      </c>
      <c r="L614" s="41">
        <f t="shared" si="270"/>
        <v>0</v>
      </c>
      <c r="M614" s="41">
        <f t="shared" si="270"/>
        <v>0</v>
      </c>
      <c r="N614" s="41">
        <f t="shared" si="269"/>
        <v>0</v>
      </c>
    </row>
    <row r="615" spans="1:14" x14ac:dyDescent="0.25"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>
        <f t="shared" si="269"/>
        <v>0</v>
      </c>
    </row>
    <row r="616" spans="1:14" x14ac:dyDescent="0.25">
      <c r="A616" s="46" t="s">
        <v>47</v>
      </c>
      <c r="B616" s="106">
        <f>SUM(B613:B615)</f>
        <v>0</v>
      </c>
      <c r="C616" s="106">
        <f t="shared" ref="C616" si="271">SUM(C613:C615)</f>
        <v>924.97</v>
      </c>
      <c r="D616" s="106">
        <f t="shared" ref="D616" si="272">SUM(D613:D615)</f>
        <v>0</v>
      </c>
      <c r="E616" s="106">
        <f t="shared" ref="E616" si="273">SUM(E613:E615)</f>
        <v>0</v>
      </c>
      <c r="F616" s="106">
        <f t="shared" ref="F616" si="274">SUM(F613:F615)</f>
        <v>0</v>
      </c>
      <c r="G616" s="106">
        <f t="shared" ref="G616" si="275">SUM(G613:G615)</f>
        <v>0</v>
      </c>
      <c r="H616" s="106">
        <f t="shared" ref="H616" si="276">SUM(H613:H615)</f>
        <v>0</v>
      </c>
      <c r="I616" s="106">
        <f t="shared" ref="I616" si="277">SUM(I613:I615)</f>
        <v>1124.73</v>
      </c>
      <c r="J616" s="106">
        <f t="shared" ref="J616" si="278">SUM(J613:J615)</f>
        <v>0</v>
      </c>
      <c r="K616" s="106">
        <f t="shared" ref="K616" si="279">SUM(K613:K615)</f>
        <v>0</v>
      </c>
      <c r="L616" s="106">
        <f t="shared" ref="L616" si="280">SUM(L613:L615)</f>
        <v>0</v>
      </c>
      <c r="M616" s="106">
        <f t="shared" ref="M616" si="281">SUM(M613:M615)</f>
        <v>0</v>
      </c>
      <c r="N616" s="106">
        <f>SUM(N613:N615)</f>
        <v>2049.6999999999998</v>
      </c>
    </row>
    <row r="617" spans="1:14" x14ac:dyDescent="0.25">
      <c r="B617" s="76" t="s">
        <v>42</v>
      </c>
      <c r="C617" s="76" t="s">
        <v>43</v>
      </c>
      <c r="D617" s="76" t="s">
        <v>44</v>
      </c>
      <c r="E617" s="76" t="s">
        <v>45</v>
      </c>
      <c r="F617" s="76" t="s">
        <v>46</v>
      </c>
      <c r="G617" s="76" t="s">
        <v>20</v>
      </c>
      <c r="H617" s="76" t="s">
        <v>21</v>
      </c>
      <c r="I617" s="76" t="s">
        <v>22</v>
      </c>
      <c r="J617" s="76" t="s">
        <v>23</v>
      </c>
      <c r="K617" s="76" t="s">
        <v>24</v>
      </c>
      <c r="L617" s="76" t="s">
        <v>25</v>
      </c>
      <c r="M617" s="76" t="s">
        <v>26</v>
      </c>
      <c r="N617" s="41"/>
    </row>
    <row r="618" spans="1:14" x14ac:dyDescent="0.25">
      <c r="A618" s="46" t="s">
        <v>241</v>
      </c>
      <c r="B618" s="106">
        <f t="shared" ref="B618:N618" si="282">B579+B610+B616</f>
        <v>1417.75</v>
      </c>
      <c r="C618" s="106">
        <f t="shared" si="282"/>
        <v>2730.5</v>
      </c>
      <c r="D618" s="106">
        <f t="shared" si="282"/>
        <v>4916.8</v>
      </c>
      <c r="E618" s="106">
        <f t="shared" si="282"/>
        <v>2366.2200000000003</v>
      </c>
      <c r="F618" s="106">
        <f t="shared" si="282"/>
        <v>3237.21</v>
      </c>
      <c r="G618" s="106">
        <f t="shared" si="282"/>
        <v>2462.2399999999998</v>
      </c>
      <c r="H618" s="106">
        <f t="shared" si="282"/>
        <v>2004.1200000000001</v>
      </c>
      <c r="I618" s="106">
        <f t="shared" si="282"/>
        <v>5556.77</v>
      </c>
      <c r="J618" s="106">
        <f t="shared" si="282"/>
        <v>1968.04</v>
      </c>
      <c r="K618" s="106">
        <f t="shared" si="282"/>
        <v>2698.4500000000003</v>
      </c>
      <c r="L618" s="106">
        <f t="shared" si="282"/>
        <v>3696.6900000000005</v>
      </c>
      <c r="M618" s="106">
        <f t="shared" si="282"/>
        <v>5323.0499999999993</v>
      </c>
      <c r="N618" s="106">
        <f t="shared" si="282"/>
        <v>38377.839999999997</v>
      </c>
    </row>
  </sheetData>
  <sortState xmlns:xlrd2="http://schemas.microsoft.com/office/spreadsheetml/2017/richdata2" ref="A294:M340">
    <sortCondition ref="A294:A340"/>
  </sortState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400"/>
  <sheetViews>
    <sheetView topLeftCell="A143" zoomScale="80" zoomScaleNormal="80" workbookViewId="0">
      <selection activeCell="E165" sqref="E165"/>
    </sheetView>
  </sheetViews>
  <sheetFormatPr defaultRowHeight="15" x14ac:dyDescent="0.25"/>
  <cols>
    <col min="1" max="1" width="17.28515625" customWidth="1"/>
    <col min="2" max="2" width="12" customWidth="1"/>
    <col min="3" max="3" width="11.5703125" customWidth="1"/>
    <col min="4" max="4" width="14" customWidth="1"/>
    <col min="5" max="5" width="11.42578125" customWidth="1"/>
    <col min="6" max="6" width="12.140625" customWidth="1"/>
    <col min="7" max="7" width="10.85546875" customWidth="1"/>
    <col min="8" max="8" width="13.28515625" customWidth="1"/>
    <col min="9" max="9" width="10.85546875" customWidth="1"/>
    <col min="10" max="13" width="12.42578125" customWidth="1"/>
    <col min="14" max="14" width="12" customWidth="1"/>
    <col min="16" max="16" width="10.85546875" bestFit="1" customWidth="1"/>
    <col min="18" max="18" width="10.5703125" customWidth="1"/>
    <col min="20" max="20" width="12.28515625" customWidth="1"/>
    <col min="21" max="21" width="11" customWidth="1"/>
    <col min="22" max="22" width="11.7109375" customWidth="1"/>
    <col min="23" max="23" width="14.85546875" bestFit="1" customWidth="1"/>
    <col min="24" max="29" width="14.7109375" customWidth="1"/>
    <col min="30" max="30" width="16.42578125" style="20" bestFit="1" customWidth="1"/>
    <col min="31" max="31" width="14.140625" style="20" customWidth="1"/>
    <col min="32" max="32" width="11.5703125" customWidth="1"/>
    <col min="34" max="34" width="13" customWidth="1"/>
    <col min="36" max="36" width="9.85546875" bestFit="1" customWidth="1"/>
    <col min="37" max="37" width="13.5703125" bestFit="1" customWidth="1"/>
    <col min="38" max="38" width="16.5703125" customWidth="1"/>
    <col min="39" max="39" width="12.42578125" customWidth="1"/>
    <col min="40" max="40" width="12" customWidth="1"/>
    <col min="41" max="41" width="13.140625" customWidth="1"/>
    <col min="42" max="42" width="12" customWidth="1"/>
    <col min="43" max="43" width="10.28515625" customWidth="1"/>
    <col min="44" max="44" width="12.140625" customWidth="1"/>
    <col min="45" max="45" width="11" bestFit="1" customWidth="1"/>
    <col min="48" max="48" width="11" bestFit="1" customWidth="1"/>
  </cols>
  <sheetData>
    <row r="1" spans="1:38" x14ac:dyDescent="0.25">
      <c r="A1" s="74" t="s">
        <v>95</v>
      </c>
      <c r="T1" s="180" t="s">
        <v>102</v>
      </c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L1" s="127" t="s">
        <v>375</v>
      </c>
    </row>
    <row r="2" spans="1:38" x14ac:dyDescent="0.25">
      <c r="A2" s="46" t="s">
        <v>38</v>
      </c>
      <c r="B2" s="46"/>
      <c r="C2" s="46" t="s">
        <v>86</v>
      </c>
      <c r="D2" s="46"/>
      <c r="E2" s="49" t="s">
        <v>40</v>
      </c>
      <c r="F2" s="49" t="s">
        <v>36</v>
      </c>
      <c r="G2" s="49" t="s">
        <v>27</v>
      </c>
      <c r="H2" s="49" t="s">
        <v>37</v>
      </c>
      <c r="I2" s="48"/>
      <c r="J2" s="49" t="s">
        <v>39</v>
      </c>
      <c r="K2" s="49"/>
      <c r="R2" s="50"/>
      <c r="T2" s="76" t="s">
        <v>97</v>
      </c>
      <c r="U2" s="77" t="s">
        <v>98</v>
      </c>
      <c r="V2" s="77" t="s">
        <v>99</v>
      </c>
      <c r="W2" s="77" t="s">
        <v>162</v>
      </c>
      <c r="X2" s="77" t="s">
        <v>100</v>
      </c>
      <c r="Y2" s="77" t="s">
        <v>185</v>
      </c>
      <c r="Z2" s="77"/>
      <c r="AA2" s="77"/>
      <c r="AB2" s="77" t="s">
        <v>103</v>
      </c>
      <c r="AC2" s="77" t="s">
        <v>105</v>
      </c>
      <c r="AD2" s="89" t="s">
        <v>174</v>
      </c>
      <c r="AE2" s="89" t="s">
        <v>175</v>
      </c>
      <c r="AF2" s="77" t="s">
        <v>4</v>
      </c>
      <c r="AH2" s="50"/>
      <c r="AL2" s="20"/>
    </row>
    <row r="3" spans="1:38" x14ac:dyDescent="0.25">
      <c r="A3" t="s">
        <v>35</v>
      </c>
      <c r="B3">
        <v>3800</v>
      </c>
      <c r="C3">
        <v>5000</v>
      </c>
      <c r="E3">
        <f t="shared" ref="E3:E9" si="0">C3-B3</f>
        <v>1200</v>
      </c>
      <c r="F3" s="10">
        <f t="shared" ref="F3:F9" si="1">B3/C3</f>
        <v>0.76</v>
      </c>
      <c r="G3" s="20">
        <v>1.41</v>
      </c>
      <c r="H3" s="20">
        <f>G3*B3</f>
        <v>5358</v>
      </c>
      <c r="T3" t="s">
        <v>21</v>
      </c>
      <c r="U3" s="20"/>
      <c r="V3" s="20">
        <f>842+3570+1174+2082</f>
        <v>7668</v>
      </c>
      <c r="W3" s="20">
        <v>0</v>
      </c>
      <c r="X3" s="20">
        <v>600.91999999999996</v>
      </c>
      <c r="Y3" s="20">
        <v>0</v>
      </c>
      <c r="Z3" s="20"/>
      <c r="AA3" s="20"/>
      <c r="AB3" s="20">
        <v>0</v>
      </c>
      <c r="AC3" s="20">
        <v>0</v>
      </c>
      <c r="AF3" s="20">
        <f>SUM(U3:AB3)</f>
        <v>8268.92</v>
      </c>
      <c r="AH3" s="85"/>
      <c r="AK3" s="52"/>
      <c r="AL3" s="20"/>
    </row>
    <row r="4" spans="1:38" x14ac:dyDescent="0.25">
      <c r="A4" t="s">
        <v>17</v>
      </c>
      <c r="B4">
        <v>1800</v>
      </c>
      <c r="C4">
        <v>2000</v>
      </c>
      <c r="E4">
        <f t="shared" si="0"/>
        <v>200</v>
      </c>
      <c r="F4" s="10">
        <f t="shared" si="1"/>
        <v>0.9</v>
      </c>
      <c r="G4" s="20">
        <v>7.53</v>
      </c>
      <c r="H4" s="20">
        <f>G4*B4</f>
        <v>13554</v>
      </c>
      <c r="T4" t="s">
        <v>22</v>
      </c>
      <c r="U4" s="20">
        <v>0</v>
      </c>
      <c r="V4" s="20">
        <f>2344+875+1264+1417+1308+894+864+866</f>
        <v>9832</v>
      </c>
      <c r="W4" s="20">
        <v>0</v>
      </c>
      <c r="X4" s="20">
        <v>592</v>
      </c>
      <c r="Y4" s="20">
        <v>0</v>
      </c>
      <c r="Z4" s="20"/>
      <c r="AA4" s="20"/>
      <c r="AB4" s="20">
        <v>0</v>
      </c>
      <c r="AC4" s="20">
        <v>0</v>
      </c>
      <c r="AF4" s="20">
        <f>SUM(U4:AC4)</f>
        <v>10424</v>
      </c>
      <c r="AH4" s="85"/>
      <c r="AK4" s="52"/>
      <c r="AL4" s="20"/>
    </row>
    <row r="5" spans="1:38" x14ac:dyDescent="0.25">
      <c r="A5" t="s">
        <v>82</v>
      </c>
      <c r="B5">
        <v>100</v>
      </c>
      <c r="C5">
        <v>500</v>
      </c>
      <c r="E5">
        <f t="shared" si="0"/>
        <v>400</v>
      </c>
      <c r="F5" s="10">
        <f t="shared" si="1"/>
        <v>0.2</v>
      </c>
      <c r="G5" s="20">
        <v>15.6</v>
      </c>
      <c r="H5" s="20">
        <f t="shared" ref="H5:H9" si="2">G5*B5</f>
        <v>1560</v>
      </c>
      <c r="T5" t="s">
        <v>23</v>
      </c>
      <c r="U5" s="20">
        <v>0</v>
      </c>
      <c r="V5" s="20">
        <f>2628+1691+869</f>
        <v>5188</v>
      </c>
      <c r="W5" s="20">
        <v>0</v>
      </c>
      <c r="X5" s="20">
        <f>538.15+568.05</f>
        <v>1106.1999999999998</v>
      </c>
      <c r="Y5" s="20">
        <v>0</v>
      </c>
      <c r="Z5" s="20"/>
      <c r="AA5" s="20"/>
      <c r="AB5" s="20">
        <v>0</v>
      </c>
      <c r="AC5" s="20">
        <v>0</v>
      </c>
      <c r="AF5" s="20">
        <f>SUM(U5:AC5)</f>
        <v>6294.2</v>
      </c>
      <c r="AH5" s="85"/>
      <c r="AK5" s="52"/>
      <c r="AL5" s="20"/>
    </row>
    <row r="6" spans="1:38" x14ac:dyDescent="0.25">
      <c r="A6" t="s">
        <v>85</v>
      </c>
      <c r="B6">
        <v>1300</v>
      </c>
      <c r="C6">
        <v>2000</v>
      </c>
      <c r="E6">
        <f t="shared" si="0"/>
        <v>700</v>
      </c>
      <c r="F6" s="10">
        <f t="shared" si="1"/>
        <v>0.65</v>
      </c>
      <c r="G6" s="20">
        <v>8.07</v>
      </c>
      <c r="H6" s="20">
        <f t="shared" si="2"/>
        <v>10491</v>
      </c>
      <c r="T6" t="s">
        <v>24</v>
      </c>
      <c r="U6" s="20">
        <v>0</v>
      </c>
      <c r="V6" s="20">
        <f>2090+1771+1799+1779</f>
        <v>7439</v>
      </c>
      <c r="W6" s="20">
        <v>0</v>
      </c>
      <c r="X6" s="20">
        <v>603.85</v>
      </c>
      <c r="Y6" s="20">
        <v>0</v>
      </c>
      <c r="Z6" s="20"/>
      <c r="AA6" s="20"/>
      <c r="AB6" s="20">
        <v>0</v>
      </c>
      <c r="AC6" s="20">
        <v>0</v>
      </c>
      <c r="AF6" s="20">
        <f>SUM(U6:AC6)</f>
        <v>8042.85</v>
      </c>
      <c r="AH6" s="85"/>
      <c r="AK6" s="52"/>
      <c r="AL6" s="20"/>
    </row>
    <row r="7" spans="1:38" x14ac:dyDescent="0.25">
      <c r="A7" t="s">
        <v>5</v>
      </c>
      <c r="B7">
        <v>100</v>
      </c>
      <c r="C7">
        <v>500</v>
      </c>
      <c r="E7">
        <f t="shared" si="0"/>
        <v>400</v>
      </c>
      <c r="F7" s="10">
        <f t="shared" si="1"/>
        <v>0.2</v>
      </c>
      <c r="G7" s="20">
        <v>25.68</v>
      </c>
      <c r="H7" s="20">
        <f t="shared" si="2"/>
        <v>2568</v>
      </c>
      <c r="T7" t="s">
        <v>25</v>
      </c>
      <c r="U7" s="20">
        <v>0</v>
      </c>
      <c r="V7" s="20">
        <f>1561+903+1121+1211+883</f>
        <v>5679</v>
      </c>
      <c r="W7" s="20">
        <v>0</v>
      </c>
      <c r="X7" s="20">
        <f>450.17+585.55</f>
        <v>1035.72</v>
      </c>
      <c r="Y7" s="20">
        <v>0</v>
      </c>
      <c r="Z7" s="20"/>
      <c r="AA7" s="20"/>
      <c r="AB7" s="20">
        <v>0</v>
      </c>
      <c r="AC7" s="20">
        <v>0</v>
      </c>
      <c r="AF7" s="20">
        <f>SUM(U7:AC7)</f>
        <v>6714.72</v>
      </c>
      <c r="AH7" s="85"/>
      <c r="AK7" s="52"/>
      <c r="AL7" s="20"/>
    </row>
    <row r="8" spans="1:38" x14ac:dyDescent="0.25">
      <c r="A8" t="s">
        <v>87</v>
      </c>
      <c r="B8">
        <v>400</v>
      </c>
      <c r="C8">
        <v>500</v>
      </c>
      <c r="E8">
        <f t="shared" si="0"/>
        <v>100</v>
      </c>
      <c r="F8" s="10">
        <f t="shared" si="1"/>
        <v>0.8</v>
      </c>
      <c r="G8" s="20">
        <v>19.600000000000001</v>
      </c>
      <c r="H8" s="20">
        <f t="shared" si="2"/>
        <v>7840.0000000000009</v>
      </c>
      <c r="T8" t="s">
        <v>26</v>
      </c>
      <c r="U8" s="20">
        <v>0</v>
      </c>
      <c r="V8" s="20">
        <f>1559+828+802</f>
        <v>3189</v>
      </c>
      <c r="W8" s="20">
        <v>0</v>
      </c>
      <c r="X8" s="20">
        <f>295.94+360.29+602.96</f>
        <v>1259.19</v>
      </c>
      <c r="Y8" s="20">
        <v>0</v>
      </c>
      <c r="Z8" s="20"/>
      <c r="AA8" s="20"/>
      <c r="AB8" s="20">
        <v>250</v>
      </c>
      <c r="AC8" s="20">
        <v>2.0499999999999998</v>
      </c>
      <c r="AF8" s="20">
        <f>SUM(U8:AB8)</f>
        <v>4698.1900000000005</v>
      </c>
      <c r="AH8" s="85"/>
      <c r="AK8" s="52"/>
      <c r="AL8" s="20"/>
    </row>
    <row r="9" spans="1:38" x14ac:dyDescent="0.25">
      <c r="A9" t="s">
        <v>88</v>
      </c>
      <c r="B9">
        <v>1000</v>
      </c>
      <c r="C9">
        <v>2000</v>
      </c>
      <c r="E9">
        <f t="shared" si="0"/>
        <v>1000</v>
      </c>
      <c r="F9" s="10">
        <f t="shared" si="1"/>
        <v>0.5</v>
      </c>
      <c r="G9" s="20">
        <v>2.7</v>
      </c>
      <c r="H9" s="20">
        <f t="shared" si="2"/>
        <v>2700</v>
      </c>
      <c r="T9" s="74" t="s">
        <v>47</v>
      </c>
      <c r="U9" s="75">
        <f>SUM(U3:U8)</f>
        <v>0</v>
      </c>
      <c r="V9" s="75">
        <f>SUM(V3:V8)</f>
        <v>38995</v>
      </c>
      <c r="W9" s="75">
        <v>0</v>
      </c>
      <c r="X9" s="75">
        <f>SUM(X3:X8)</f>
        <v>5197.8799999999992</v>
      </c>
      <c r="Y9" s="75">
        <f>SUM(Y3:Y8)</f>
        <v>0</v>
      </c>
      <c r="Z9" s="75"/>
      <c r="AA9" s="75"/>
      <c r="AB9" s="75">
        <f>SUM(AB3:AB8)</f>
        <v>250</v>
      </c>
      <c r="AC9" s="75">
        <f>SUM(AC3:AC8)</f>
        <v>2.0499999999999998</v>
      </c>
      <c r="AD9" s="75"/>
      <c r="AE9" s="75"/>
      <c r="AF9" s="75">
        <f>SUM(AF3:AF8)</f>
        <v>44442.880000000005</v>
      </c>
      <c r="AH9" s="85"/>
      <c r="AJ9" s="20"/>
      <c r="AK9" s="52"/>
      <c r="AL9" s="20"/>
    </row>
    <row r="10" spans="1:38" x14ac:dyDescent="0.25">
      <c r="A10" s="46" t="s">
        <v>4</v>
      </c>
      <c r="B10" s="46">
        <f>SUM(B3:B9)</f>
        <v>8500</v>
      </c>
      <c r="C10" s="46">
        <f>SUM(C3:C9)</f>
        <v>12500</v>
      </c>
      <c r="D10" s="46"/>
      <c r="E10" s="46">
        <f>SUM(E3:E9)</f>
        <v>4000</v>
      </c>
      <c r="F10" s="46"/>
      <c r="G10" s="46"/>
      <c r="H10" s="47">
        <f>SUM(H3:H9)</f>
        <v>44071</v>
      </c>
      <c r="I10" s="48"/>
      <c r="J10" s="48"/>
      <c r="K10" s="48"/>
      <c r="U10" s="20"/>
      <c r="V10" s="20"/>
      <c r="W10" s="20"/>
      <c r="AK10" s="52"/>
      <c r="AL10" s="20"/>
    </row>
    <row r="11" spans="1:38" x14ac:dyDescent="0.25">
      <c r="U11" s="20"/>
      <c r="V11" s="20"/>
      <c r="W11" s="20"/>
      <c r="X11" s="20"/>
      <c r="Y11" s="20"/>
      <c r="Z11" s="20"/>
      <c r="AA11" s="20"/>
      <c r="AB11" s="20"/>
      <c r="AC11" s="20"/>
      <c r="AF11" s="20"/>
      <c r="AK11" s="52"/>
      <c r="AL11" s="20"/>
    </row>
    <row r="12" spans="1:38" x14ac:dyDescent="0.25">
      <c r="A12" s="74" t="s">
        <v>290</v>
      </c>
      <c r="T12" s="180" t="s">
        <v>101</v>
      </c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K12" s="52"/>
      <c r="AL12" s="136" t="s">
        <v>375</v>
      </c>
    </row>
    <row r="13" spans="1:38" x14ac:dyDescent="0.25">
      <c r="A13" s="46" t="s">
        <v>38</v>
      </c>
      <c r="B13" s="46"/>
      <c r="C13" s="46" t="s">
        <v>289</v>
      </c>
      <c r="D13" s="46"/>
      <c r="E13" s="49" t="s">
        <v>40</v>
      </c>
      <c r="F13" s="49" t="s">
        <v>36</v>
      </c>
      <c r="G13" s="49" t="s">
        <v>27</v>
      </c>
      <c r="H13" s="49" t="s">
        <v>37</v>
      </c>
      <c r="I13" s="48"/>
      <c r="J13" s="49" t="s">
        <v>39</v>
      </c>
      <c r="K13" s="49"/>
      <c r="T13" s="137" t="s">
        <v>97</v>
      </c>
      <c r="U13" s="77" t="s">
        <v>98</v>
      </c>
      <c r="V13" s="77" t="s">
        <v>99</v>
      </c>
      <c r="W13" s="77" t="s">
        <v>162</v>
      </c>
      <c r="X13" s="77" t="s">
        <v>100</v>
      </c>
      <c r="Y13" s="77" t="s">
        <v>185</v>
      </c>
      <c r="Z13" s="77"/>
      <c r="AA13" s="77"/>
      <c r="AB13" s="77" t="s">
        <v>104</v>
      </c>
      <c r="AC13" s="77" t="s">
        <v>105</v>
      </c>
      <c r="AD13" s="89"/>
      <c r="AE13" s="89"/>
      <c r="AF13" s="77" t="s">
        <v>4</v>
      </c>
      <c r="AH13" s="50" t="s">
        <v>187</v>
      </c>
      <c r="AK13" s="52"/>
      <c r="AL13" s="20"/>
    </row>
    <row r="14" spans="1:38" x14ac:dyDescent="0.25">
      <c r="A14" t="s">
        <v>171</v>
      </c>
      <c r="B14">
        <v>861</v>
      </c>
      <c r="C14">
        <v>1000</v>
      </c>
      <c r="E14">
        <f t="shared" ref="E14:E52" si="3">C14-B14</f>
        <v>139</v>
      </c>
      <c r="F14" s="10">
        <f t="shared" ref="F14:F52" si="4">B14/C14</f>
        <v>0.86099999999999999</v>
      </c>
      <c r="G14" s="20">
        <v>14.44</v>
      </c>
      <c r="H14" s="20">
        <f t="shared" ref="H14:H52" si="5">G14*B14</f>
        <v>12432.84</v>
      </c>
      <c r="T14" t="s">
        <v>42</v>
      </c>
      <c r="U14" s="20">
        <v>0</v>
      </c>
      <c r="V14" s="20">
        <f>719+852+879+1582</f>
        <v>4032</v>
      </c>
      <c r="W14" s="20">
        <v>0</v>
      </c>
      <c r="X14" s="20">
        <v>624.04</v>
      </c>
      <c r="Y14" s="20">
        <v>0</v>
      </c>
      <c r="Z14" s="20"/>
      <c r="AA14" s="20"/>
      <c r="AB14" s="20">
        <v>0</v>
      </c>
      <c r="AC14" s="20">
        <v>0</v>
      </c>
      <c r="AF14" s="20">
        <f t="shared" ref="AF14:AF20" si="6">SUM(U14:AB14)</f>
        <v>4656.04</v>
      </c>
      <c r="AH14" s="85">
        <f>AF14/(B62+B71)</f>
        <v>0.33687375735457975</v>
      </c>
      <c r="AK14" s="52"/>
      <c r="AL14" s="20">
        <f>B75-AF14</f>
        <v>9165.2799999999988</v>
      </c>
    </row>
    <row r="15" spans="1:38" x14ac:dyDescent="0.25">
      <c r="A15" t="s">
        <v>5</v>
      </c>
      <c r="B15">
        <v>334</v>
      </c>
      <c r="C15">
        <v>1000</v>
      </c>
      <c r="E15">
        <f t="shared" si="3"/>
        <v>666</v>
      </c>
      <c r="F15" s="10">
        <f t="shared" si="4"/>
        <v>0.33400000000000002</v>
      </c>
      <c r="G15" s="20">
        <v>34.75</v>
      </c>
      <c r="H15" s="20">
        <f t="shared" si="5"/>
        <v>11606.5</v>
      </c>
      <c r="T15" t="s">
        <v>43</v>
      </c>
      <c r="U15" s="20">
        <v>0</v>
      </c>
      <c r="V15" s="20">
        <f>2967+1379+1638</f>
        <v>5984</v>
      </c>
      <c r="W15" s="20">
        <v>0</v>
      </c>
      <c r="X15" s="20">
        <f>626.97+530.62</f>
        <v>1157.5900000000001</v>
      </c>
      <c r="Y15" s="20">
        <v>0</v>
      </c>
      <c r="Z15" s="20"/>
      <c r="AA15" s="20"/>
      <c r="AB15" s="20">
        <v>0</v>
      </c>
      <c r="AC15" s="20">
        <v>0</v>
      </c>
      <c r="AF15" s="20">
        <f t="shared" si="6"/>
        <v>7141.59</v>
      </c>
      <c r="AH15" s="85">
        <f>AF15/(C$62+C$71)</f>
        <v>0.47801103330473049</v>
      </c>
      <c r="AK15" s="52"/>
      <c r="AL15" s="20">
        <f>C75-AF15</f>
        <v>7798.6299999999992</v>
      </c>
    </row>
    <row r="16" spans="1:38" x14ac:dyDescent="0.25">
      <c r="A16" t="s">
        <v>173</v>
      </c>
      <c r="B16">
        <v>615</v>
      </c>
      <c r="C16">
        <v>1000</v>
      </c>
      <c r="E16">
        <f t="shared" si="3"/>
        <v>385</v>
      </c>
      <c r="F16" s="10">
        <f t="shared" si="4"/>
        <v>0.61499999999999999</v>
      </c>
      <c r="G16" s="20">
        <v>88.7</v>
      </c>
      <c r="H16" s="20">
        <f t="shared" si="5"/>
        <v>54550.5</v>
      </c>
      <c r="T16" t="s">
        <v>44</v>
      </c>
      <c r="U16" s="20">
        <v>0</v>
      </c>
      <c r="V16" s="20">
        <f>1010+1399+977</f>
        <v>3386</v>
      </c>
      <c r="W16" s="20">
        <v>0</v>
      </c>
      <c r="X16" s="20">
        <f>754.9+792.7</f>
        <v>1547.6</v>
      </c>
      <c r="Y16" s="20">
        <v>0</v>
      </c>
      <c r="Z16" s="20"/>
      <c r="AA16" s="20"/>
      <c r="AB16" s="20">
        <v>0</v>
      </c>
      <c r="AC16" s="20">
        <v>0</v>
      </c>
      <c r="AF16" s="20">
        <f t="shared" si="6"/>
        <v>4933.6000000000004</v>
      </c>
      <c r="AH16" s="85">
        <f>AF16/(D$62+D$71)</f>
        <v>0.36756028656232492</v>
      </c>
      <c r="AK16" s="52"/>
      <c r="AL16" s="20">
        <f>D75-AF16</f>
        <v>8488.9600000000009</v>
      </c>
    </row>
    <row r="17" spans="1:38" x14ac:dyDescent="0.25">
      <c r="A17" t="s">
        <v>219</v>
      </c>
      <c r="B17">
        <v>400</v>
      </c>
      <c r="C17">
        <v>500</v>
      </c>
      <c r="E17">
        <f t="shared" si="3"/>
        <v>100</v>
      </c>
      <c r="F17" s="10">
        <f t="shared" si="4"/>
        <v>0.8</v>
      </c>
      <c r="G17" s="20">
        <v>12.12</v>
      </c>
      <c r="H17" s="20">
        <f t="shared" si="5"/>
        <v>4848</v>
      </c>
      <c r="T17" t="s">
        <v>45</v>
      </c>
      <c r="U17" s="20">
        <v>0</v>
      </c>
      <c r="V17" s="20">
        <v>1319</v>
      </c>
      <c r="W17" s="20">
        <v>0</v>
      </c>
      <c r="X17" s="20">
        <v>476.82</v>
      </c>
      <c r="Y17" s="20">
        <v>0</v>
      </c>
      <c r="Z17" s="20"/>
      <c r="AA17" s="20"/>
      <c r="AB17" s="20">
        <v>0</v>
      </c>
      <c r="AC17" s="20">
        <v>0</v>
      </c>
      <c r="AF17" s="20">
        <f t="shared" si="6"/>
        <v>1795.82</v>
      </c>
      <c r="AH17" s="85">
        <f>AF17/(E$62+E$71)</f>
        <v>0.17065130524273209</v>
      </c>
      <c r="AK17" s="52"/>
      <c r="AL17" s="20">
        <f>E75-AF17</f>
        <v>8727.51</v>
      </c>
    </row>
    <row r="18" spans="1:38" x14ac:dyDescent="0.25">
      <c r="A18" t="s">
        <v>222</v>
      </c>
      <c r="B18">
        <v>245</v>
      </c>
      <c r="C18">
        <v>500</v>
      </c>
      <c r="E18">
        <f t="shared" si="3"/>
        <v>255</v>
      </c>
      <c r="F18" s="10">
        <f t="shared" si="4"/>
        <v>0.49</v>
      </c>
      <c r="G18" s="20">
        <v>95.8</v>
      </c>
      <c r="H18" s="20">
        <f t="shared" si="5"/>
        <v>23471</v>
      </c>
      <c r="T18" t="s">
        <v>46</v>
      </c>
      <c r="U18" s="20">
        <v>0</v>
      </c>
      <c r="V18" s="20">
        <f>813+797+1795</f>
        <v>3405</v>
      </c>
      <c r="W18" s="20">
        <v>0</v>
      </c>
      <c r="X18" s="20">
        <v>1096.42</v>
      </c>
      <c r="Y18" s="20">
        <v>0</v>
      </c>
      <c r="Z18" s="20"/>
      <c r="AA18" s="20"/>
      <c r="AB18" s="20">
        <v>0</v>
      </c>
      <c r="AC18" s="20">
        <v>0</v>
      </c>
      <c r="AF18" s="20">
        <f t="shared" si="6"/>
        <v>4501.42</v>
      </c>
      <c r="AH18" s="85">
        <f>AF18/(F$62+F$71)</f>
        <v>0.26612127045235806</v>
      </c>
      <c r="AK18" s="52"/>
      <c r="AL18" s="20">
        <f>F75-AF18</f>
        <v>12413.499999999998</v>
      </c>
    </row>
    <row r="19" spans="1:38" x14ac:dyDescent="0.25">
      <c r="A19" t="s">
        <v>405</v>
      </c>
      <c r="B19">
        <v>1000</v>
      </c>
      <c r="C19">
        <v>2000</v>
      </c>
      <c r="E19">
        <f t="shared" si="3"/>
        <v>1000</v>
      </c>
      <c r="F19" s="10">
        <f t="shared" si="4"/>
        <v>0.5</v>
      </c>
      <c r="G19" s="20">
        <v>14.32</v>
      </c>
      <c r="H19" s="20">
        <f t="shared" si="5"/>
        <v>14320</v>
      </c>
      <c r="T19" t="s">
        <v>20</v>
      </c>
      <c r="U19" s="20">
        <f>3000+5000+2000</f>
        <v>10000</v>
      </c>
      <c r="V19" s="20">
        <f>1953+1777</f>
        <v>3730</v>
      </c>
      <c r="W19" s="20">
        <v>0</v>
      </c>
      <c r="X19" s="20">
        <v>475.11</v>
      </c>
      <c r="Y19" s="20">
        <v>0</v>
      </c>
      <c r="Z19" s="20"/>
      <c r="AA19" s="20"/>
      <c r="AB19" s="20">
        <v>300</v>
      </c>
      <c r="AC19" s="20">
        <v>2.12</v>
      </c>
      <c r="AF19" s="20">
        <f t="shared" si="6"/>
        <v>14505.11</v>
      </c>
      <c r="AH19" s="85">
        <f>AF19/(G$62+G$71)</f>
        <v>1.0904392395775699</v>
      </c>
      <c r="AK19" s="52"/>
      <c r="AL19" s="20">
        <f>G75-AF19</f>
        <v>-1203.0300000000007</v>
      </c>
    </row>
    <row r="20" spans="1:38" x14ac:dyDescent="0.25">
      <c r="A20" t="s">
        <v>17</v>
      </c>
      <c r="B20">
        <v>1500</v>
      </c>
      <c r="C20">
        <v>5000</v>
      </c>
      <c r="E20">
        <f t="shared" si="3"/>
        <v>3500</v>
      </c>
      <c r="F20" s="10">
        <f t="shared" si="4"/>
        <v>0.3</v>
      </c>
      <c r="G20" s="20">
        <v>11.72</v>
      </c>
      <c r="H20" s="20">
        <f t="shared" si="5"/>
        <v>17580</v>
      </c>
      <c r="T20" t="s">
        <v>21</v>
      </c>
      <c r="U20" s="20">
        <v>5000</v>
      </c>
      <c r="V20" s="20">
        <v>1365</v>
      </c>
      <c r="W20" s="20">
        <v>4330</v>
      </c>
      <c r="X20" s="20">
        <v>944.29</v>
      </c>
      <c r="Y20" s="20">
        <v>0</v>
      </c>
      <c r="Z20" s="20"/>
      <c r="AA20" s="20"/>
      <c r="AB20" s="20">
        <v>350</v>
      </c>
      <c r="AC20" s="20">
        <v>2.2999999999999998</v>
      </c>
      <c r="AF20" s="20">
        <f t="shared" si="6"/>
        <v>11989.29</v>
      </c>
      <c r="AH20" s="85">
        <f>AF20/(H$62+H$71)</f>
        <v>0.71281405212709414</v>
      </c>
      <c r="AJ20" s="20"/>
      <c r="AK20" s="52"/>
      <c r="AL20" s="20">
        <f>H75-AF20</f>
        <v>4830.369999999999</v>
      </c>
    </row>
    <row r="21" spans="1:38" x14ac:dyDescent="0.25">
      <c r="A21" t="s">
        <v>30</v>
      </c>
      <c r="B21">
        <v>100</v>
      </c>
      <c r="C21">
        <v>1000</v>
      </c>
      <c r="E21">
        <f t="shared" si="3"/>
        <v>900</v>
      </c>
      <c r="F21" s="10">
        <f t="shared" si="4"/>
        <v>0.1</v>
      </c>
      <c r="G21" s="20">
        <v>11.26</v>
      </c>
      <c r="H21" s="20">
        <f t="shared" si="5"/>
        <v>1126</v>
      </c>
      <c r="T21" t="s">
        <v>22</v>
      </c>
      <c r="U21" s="20">
        <v>4000</v>
      </c>
      <c r="V21" s="20">
        <v>0</v>
      </c>
      <c r="W21" s="20">
        <f>3970+2090</f>
        <v>6060</v>
      </c>
      <c r="X21" s="20">
        <v>0</v>
      </c>
      <c r="Y21" s="20">
        <v>0</v>
      </c>
      <c r="Z21" s="20"/>
      <c r="AA21" s="20"/>
      <c r="AB21" s="20">
        <v>300</v>
      </c>
      <c r="AC21" s="20">
        <v>2.1</v>
      </c>
      <c r="AF21" s="20">
        <f t="shared" ref="AF21:AF22" si="7">SUM(U21:AB21)</f>
        <v>10360</v>
      </c>
      <c r="AH21" s="85">
        <f>AF21/(I$62+I$71)</f>
        <v>0.59909984669751992</v>
      </c>
      <c r="AK21" s="52"/>
      <c r="AL21" s="20">
        <f>I75-AF21</f>
        <v>6932.6100000000006</v>
      </c>
    </row>
    <row r="22" spans="1:38" x14ac:dyDescent="0.25">
      <c r="A22" t="s">
        <v>182</v>
      </c>
      <c r="B22">
        <v>400</v>
      </c>
      <c r="C22">
        <v>1000</v>
      </c>
      <c r="E22">
        <f t="shared" si="3"/>
        <v>600</v>
      </c>
      <c r="F22" s="10">
        <f t="shared" si="4"/>
        <v>0.4</v>
      </c>
      <c r="G22" s="20">
        <v>14.17</v>
      </c>
      <c r="H22" s="20">
        <f t="shared" si="5"/>
        <v>5668</v>
      </c>
      <c r="T22" t="s">
        <v>23</v>
      </c>
      <c r="U22" s="20">
        <v>0</v>
      </c>
      <c r="V22" s="20">
        <v>2330</v>
      </c>
      <c r="W22" s="20">
        <f>2100+1750</f>
        <v>3850</v>
      </c>
      <c r="X22" s="20">
        <v>0</v>
      </c>
      <c r="Y22" s="20">
        <v>0</v>
      </c>
      <c r="Z22" s="20"/>
      <c r="AA22" s="20"/>
      <c r="AB22" s="20">
        <v>0</v>
      </c>
      <c r="AC22" s="20">
        <v>0</v>
      </c>
      <c r="AF22" s="20">
        <f t="shared" si="7"/>
        <v>6180</v>
      </c>
      <c r="AH22" s="85">
        <f>AF22/(J$62+J$71)</f>
        <v>0.397626338048015</v>
      </c>
      <c r="AK22" s="52"/>
      <c r="AL22" s="20">
        <f>J75-AF22</f>
        <v>9362.23</v>
      </c>
    </row>
    <row r="23" spans="1:38" x14ac:dyDescent="0.25">
      <c r="A23" t="s">
        <v>180</v>
      </c>
      <c r="B23">
        <v>116</v>
      </c>
      <c r="C23">
        <v>200</v>
      </c>
      <c r="E23">
        <f t="shared" si="3"/>
        <v>84</v>
      </c>
      <c r="F23" s="10">
        <f t="shared" si="4"/>
        <v>0.57999999999999996</v>
      </c>
      <c r="G23" s="20">
        <v>33.72</v>
      </c>
      <c r="H23" s="20">
        <f t="shared" si="5"/>
        <v>3911.52</v>
      </c>
      <c r="T23" t="s">
        <v>24</v>
      </c>
      <c r="U23" s="20">
        <v>2000</v>
      </c>
      <c r="V23" s="20">
        <f>768+1620</f>
        <v>2388</v>
      </c>
      <c r="W23" s="20">
        <f>1470+2274</f>
        <v>3744</v>
      </c>
      <c r="X23" s="20">
        <v>0</v>
      </c>
      <c r="Y23" s="20">
        <v>0</v>
      </c>
      <c r="Z23" s="20"/>
      <c r="AA23" s="20"/>
      <c r="AB23" s="20">
        <v>0</v>
      </c>
      <c r="AC23" s="20">
        <v>0</v>
      </c>
      <c r="AF23" s="20">
        <f>SUM(U23:AB23)</f>
        <v>8132</v>
      </c>
      <c r="AH23" s="85">
        <f>AF23/(K$62+K$71)</f>
        <v>0.47094088568390668</v>
      </c>
      <c r="AK23" s="52"/>
      <c r="AL23" s="20">
        <f>K75-AF23</f>
        <v>9135.5600000000013</v>
      </c>
    </row>
    <row r="24" spans="1:38" x14ac:dyDescent="0.25">
      <c r="A24" t="s">
        <v>35</v>
      </c>
      <c r="B24">
        <v>550</v>
      </c>
      <c r="C24">
        <v>550</v>
      </c>
      <c r="E24">
        <f t="shared" si="3"/>
        <v>0</v>
      </c>
      <c r="F24" s="10">
        <f t="shared" si="4"/>
        <v>1</v>
      </c>
      <c r="G24" s="20">
        <v>8.59</v>
      </c>
      <c r="H24" s="20">
        <f t="shared" si="5"/>
        <v>4724.5</v>
      </c>
      <c r="T24" t="s">
        <v>25</v>
      </c>
      <c r="U24" s="20">
        <v>0</v>
      </c>
      <c r="V24" s="20">
        <f>1657+1970</f>
        <v>3627</v>
      </c>
      <c r="W24" s="20">
        <f>1025+1147+2340+1010</f>
        <v>5522</v>
      </c>
      <c r="X24" s="20">
        <v>0</v>
      </c>
      <c r="Y24" s="20">
        <v>0</v>
      </c>
      <c r="Z24" s="20"/>
      <c r="AA24" s="20"/>
      <c r="AB24" s="20">
        <v>365.42</v>
      </c>
      <c r="AC24" s="20">
        <v>2.38</v>
      </c>
      <c r="AF24" s="20">
        <f>SUM(U24:AB24)</f>
        <v>9514.42</v>
      </c>
      <c r="AH24" s="85">
        <f>AF24/(L$62+L$71)</f>
        <v>0.56986497299939154</v>
      </c>
      <c r="AK24" s="52"/>
      <c r="AL24" s="20">
        <f>L75-AF24</f>
        <v>7181.4999999999982</v>
      </c>
    </row>
    <row r="25" spans="1:38" x14ac:dyDescent="0.25">
      <c r="A25" t="s">
        <v>184</v>
      </c>
      <c r="B25">
        <v>200</v>
      </c>
      <c r="C25">
        <v>200</v>
      </c>
      <c r="E25">
        <f t="shared" si="3"/>
        <v>0</v>
      </c>
      <c r="F25" s="10">
        <f t="shared" si="4"/>
        <v>1</v>
      </c>
      <c r="G25" s="20">
        <v>60.1</v>
      </c>
      <c r="H25" s="20">
        <f t="shared" si="5"/>
        <v>12020</v>
      </c>
      <c r="T25" t="s">
        <v>26</v>
      </c>
      <c r="U25" s="20">
        <v>0</v>
      </c>
      <c r="V25" s="20">
        <f>1591+1576+836</f>
        <v>4003</v>
      </c>
      <c r="W25" s="20">
        <f>993+1184+1165+1019</f>
        <v>4361</v>
      </c>
      <c r="X25" s="20">
        <v>229.43</v>
      </c>
      <c r="Y25" s="20">
        <v>0</v>
      </c>
      <c r="Z25" s="20"/>
      <c r="AA25" s="20"/>
      <c r="AB25" s="20">
        <v>0</v>
      </c>
      <c r="AC25" s="20">
        <v>0</v>
      </c>
      <c r="AD25" s="20">
        <f>592</f>
        <v>592</v>
      </c>
      <c r="AE25" s="20">
        <v>2261.6999999999998</v>
      </c>
      <c r="AF25" s="20">
        <f>SUM(U25:AB25)</f>
        <v>8593.43</v>
      </c>
      <c r="AH25" s="85">
        <f>AF25/(M$62+M$71)</f>
        <v>0.51782935926869988</v>
      </c>
      <c r="AK25" s="52"/>
      <c r="AL25" s="20">
        <f>M75-AF25</f>
        <v>8001.6699999999983</v>
      </c>
    </row>
    <row r="26" spans="1:38" x14ac:dyDescent="0.25">
      <c r="A26" t="s">
        <v>234</v>
      </c>
      <c r="B26">
        <v>40</v>
      </c>
      <c r="C26">
        <v>500</v>
      </c>
      <c r="E26">
        <f t="shared" si="3"/>
        <v>460</v>
      </c>
      <c r="F26" s="10">
        <f t="shared" si="4"/>
        <v>0.08</v>
      </c>
      <c r="G26" s="20">
        <v>123.97</v>
      </c>
      <c r="H26" s="20">
        <f t="shared" si="5"/>
        <v>4958.8</v>
      </c>
      <c r="T26" s="74" t="s">
        <v>47</v>
      </c>
      <c r="U26" s="75">
        <f>SUM(U14:U25)</f>
        <v>21000</v>
      </c>
      <c r="V26" s="75">
        <f>SUM(V14:V25)</f>
        <v>35569</v>
      </c>
      <c r="W26" s="75">
        <f>SUM(W14:W25)</f>
        <v>27867</v>
      </c>
      <c r="X26" s="75">
        <f>SUM(X14:X25)</f>
        <v>6551.3</v>
      </c>
      <c r="Y26" s="75">
        <f>SUM(Y14:Y25)</f>
        <v>0</v>
      </c>
      <c r="Z26" s="75"/>
      <c r="AA26" s="75"/>
      <c r="AB26" s="75">
        <f>SUM(AB14:AB25)</f>
        <v>1315.42</v>
      </c>
      <c r="AC26" s="75">
        <f>SUM(AC14:AC25)</f>
        <v>8.8999999999999986</v>
      </c>
      <c r="AD26" s="75">
        <f>SUM(AD14:AD25)</f>
        <v>592</v>
      </c>
      <c r="AE26" s="75">
        <f>SUM(AE14:AE25)</f>
        <v>2261.6999999999998</v>
      </c>
      <c r="AF26" s="75">
        <f>SUM(AF14:AF25)</f>
        <v>92302.720000000001</v>
      </c>
      <c r="AH26" s="85">
        <f>AF26/(N$62+N$71)</f>
        <v>0.50400772621621859</v>
      </c>
      <c r="AJ26" s="20">
        <f>AVERAGE(AF14:AF25)</f>
        <v>7691.8933333333334</v>
      </c>
      <c r="AK26" s="52"/>
      <c r="AL26" s="75">
        <f>N75-AF26</f>
        <v>90834.790000000037</v>
      </c>
    </row>
    <row r="27" spans="1:38" x14ac:dyDescent="0.25">
      <c r="A27" t="s">
        <v>267</v>
      </c>
      <c r="B27">
        <v>30</v>
      </c>
      <c r="C27">
        <v>200</v>
      </c>
      <c r="E27">
        <f t="shared" si="3"/>
        <v>170</v>
      </c>
      <c r="F27" s="10">
        <f t="shared" si="4"/>
        <v>0.15</v>
      </c>
      <c r="G27" s="20">
        <v>130.19999999999999</v>
      </c>
      <c r="H27" s="20">
        <f t="shared" si="5"/>
        <v>3905.9999999999995</v>
      </c>
      <c r="M27" s="20"/>
      <c r="U27" s="20"/>
      <c r="V27" s="20"/>
      <c r="W27" s="20"/>
      <c r="X27" s="20"/>
      <c r="Y27" s="20"/>
      <c r="Z27" s="20"/>
      <c r="AA27" s="20"/>
      <c r="AB27" s="20"/>
      <c r="AC27" s="20"/>
      <c r="AF27" s="20"/>
      <c r="AH27" s="73"/>
      <c r="AK27" s="52"/>
      <c r="AL27" s="20"/>
    </row>
    <row r="28" spans="1:38" x14ac:dyDescent="0.25">
      <c r="A28" t="s">
        <v>96</v>
      </c>
      <c r="B28">
        <v>0</v>
      </c>
      <c r="C28">
        <v>1000</v>
      </c>
      <c r="E28">
        <f t="shared" si="3"/>
        <v>1000</v>
      </c>
      <c r="F28" s="10">
        <f t="shared" si="4"/>
        <v>0</v>
      </c>
      <c r="G28" s="20">
        <v>28</v>
      </c>
      <c r="H28" s="20">
        <f t="shared" si="5"/>
        <v>0</v>
      </c>
    </row>
    <row r="29" spans="1:38" x14ac:dyDescent="0.25">
      <c r="A29" t="s">
        <v>276</v>
      </c>
      <c r="B29">
        <v>10</v>
      </c>
      <c r="C29">
        <v>300</v>
      </c>
      <c r="E29">
        <f t="shared" si="3"/>
        <v>290</v>
      </c>
      <c r="F29" s="10">
        <f t="shared" si="4"/>
        <v>3.3333333333333333E-2</v>
      </c>
      <c r="G29" s="20">
        <v>118.51</v>
      </c>
      <c r="H29" s="20">
        <f t="shared" si="5"/>
        <v>1185.1000000000001</v>
      </c>
      <c r="T29" s="180" t="s">
        <v>176</v>
      </c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K29" s="52"/>
      <c r="AL29" s="136" t="s">
        <v>375</v>
      </c>
    </row>
    <row r="30" spans="1:38" x14ac:dyDescent="0.25">
      <c r="A30" t="s">
        <v>85</v>
      </c>
      <c r="B30">
        <v>3290</v>
      </c>
      <c r="C30">
        <v>5000</v>
      </c>
      <c r="E30">
        <f t="shared" si="3"/>
        <v>1710</v>
      </c>
      <c r="F30" s="10">
        <f t="shared" si="4"/>
        <v>0.65800000000000003</v>
      </c>
      <c r="G30" s="20">
        <v>9.9</v>
      </c>
      <c r="H30" s="20">
        <f t="shared" si="5"/>
        <v>32571</v>
      </c>
      <c r="T30" s="76" t="s">
        <v>97</v>
      </c>
      <c r="U30" s="77" t="s">
        <v>98</v>
      </c>
      <c r="V30" s="77" t="s">
        <v>99</v>
      </c>
      <c r="W30" s="77" t="s">
        <v>162</v>
      </c>
      <c r="X30" s="77" t="s">
        <v>100</v>
      </c>
      <c r="Y30" s="77" t="s">
        <v>185</v>
      </c>
      <c r="Z30" s="77"/>
      <c r="AA30" s="77"/>
      <c r="AB30" s="77" t="s">
        <v>104</v>
      </c>
      <c r="AC30" s="77" t="s">
        <v>105</v>
      </c>
      <c r="AD30" s="89" t="s">
        <v>174</v>
      </c>
      <c r="AE30" s="89" t="s">
        <v>175</v>
      </c>
      <c r="AF30" s="77" t="s">
        <v>4</v>
      </c>
      <c r="AH30" s="50" t="s">
        <v>187</v>
      </c>
      <c r="AK30" s="52"/>
      <c r="AL30" s="20"/>
    </row>
    <row r="31" spans="1:38" x14ac:dyDescent="0.25">
      <c r="A31" t="s">
        <v>88</v>
      </c>
      <c r="B31">
        <v>4100</v>
      </c>
      <c r="C31">
        <v>5000</v>
      </c>
      <c r="E31">
        <f t="shared" si="3"/>
        <v>900</v>
      </c>
      <c r="F31" s="10">
        <f t="shared" si="4"/>
        <v>0.82</v>
      </c>
      <c r="G31" s="20">
        <v>3.9</v>
      </c>
      <c r="H31" s="20">
        <f t="shared" si="5"/>
        <v>15990</v>
      </c>
      <c r="T31" t="s">
        <v>42</v>
      </c>
      <c r="U31" s="20">
        <v>0</v>
      </c>
      <c r="V31" s="20">
        <f>2032</f>
        <v>2032</v>
      </c>
      <c r="W31" s="20">
        <f>2371.5+1212</f>
        <v>3583.5</v>
      </c>
      <c r="X31" s="20">
        <v>0</v>
      </c>
      <c r="Y31" s="20">
        <v>0</v>
      </c>
      <c r="Z31" s="20"/>
      <c r="AA31" s="20"/>
      <c r="AB31" s="20"/>
      <c r="AC31" s="20"/>
      <c r="AE31" s="20">
        <f>880+660</f>
        <v>1540</v>
      </c>
      <c r="AF31" s="20">
        <f>SUM(U31:AB31)</f>
        <v>5615.5</v>
      </c>
      <c r="AH31" s="85">
        <f>AF31/(B62+B71)</f>
        <v>0.40629259723383876</v>
      </c>
      <c r="AK31" s="52"/>
      <c r="AL31" s="20">
        <f>B97-AF31</f>
        <v>12533.04</v>
      </c>
    </row>
    <row r="32" spans="1:38" x14ac:dyDescent="0.25">
      <c r="A32" t="s">
        <v>377</v>
      </c>
      <c r="B32">
        <v>25</v>
      </c>
      <c r="C32">
        <v>500</v>
      </c>
      <c r="E32">
        <f t="shared" si="3"/>
        <v>475</v>
      </c>
      <c r="F32" s="10">
        <f t="shared" si="4"/>
        <v>0.05</v>
      </c>
      <c r="G32" s="20">
        <v>88.57</v>
      </c>
      <c r="H32" s="20">
        <f t="shared" si="5"/>
        <v>2214.25</v>
      </c>
      <c r="T32" t="s">
        <v>43</v>
      </c>
      <c r="U32" s="20">
        <v>0</v>
      </c>
      <c r="V32" s="20">
        <v>1078.5999999999999</v>
      </c>
      <c r="W32" s="20">
        <v>7456.65</v>
      </c>
      <c r="X32" s="20">
        <v>1169.45</v>
      </c>
      <c r="Y32" s="20">
        <v>0</v>
      </c>
      <c r="Z32" s="20"/>
      <c r="AA32" s="20"/>
      <c r="AB32" s="20"/>
      <c r="AC32" s="20"/>
      <c r="AF32" s="20">
        <f t="shared" ref="AF32" si="8">SUM(U32:AB32)</f>
        <v>9704.7000000000007</v>
      </c>
      <c r="AH32" s="85">
        <f>AF32/(C62+C71)</f>
        <v>0.64956874798363085</v>
      </c>
      <c r="AK32" s="52"/>
      <c r="AL32" s="20">
        <f>C97-AF32</f>
        <v>11946.119999999999</v>
      </c>
    </row>
    <row r="33" spans="1:40" x14ac:dyDescent="0.25">
      <c r="A33" t="s">
        <v>221</v>
      </c>
      <c r="B33">
        <v>2122</v>
      </c>
      <c r="C33">
        <v>5000</v>
      </c>
      <c r="E33">
        <f t="shared" si="3"/>
        <v>2878</v>
      </c>
      <c r="F33" s="10">
        <f t="shared" si="4"/>
        <v>0.4244</v>
      </c>
      <c r="G33" s="20">
        <v>10.91</v>
      </c>
      <c r="H33" s="20">
        <f t="shared" si="5"/>
        <v>23151.02</v>
      </c>
      <c r="T33" t="s">
        <v>44</v>
      </c>
      <c r="U33" s="20">
        <v>0</v>
      </c>
      <c r="V33" s="20">
        <f>1887+1670</f>
        <v>3557</v>
      </c>
      <c r="W33" s="20">
        <v>8053.64</v>
      </c>
      <c r="X33" s="20">
        <v>0</v>
      </c>
      <c r="Y33" s="20">
        <v>0</v>
      </c>
      <c r="Z33" s="20"/>
      <c r="AA33" s="20"/>
      <c r="AB33" s="20"/>
      <c r="AC33" s="20"/>
      <c r="AF33" s="20">
        <f>SUM(U33:AB33)</f>
        <v>11610.64</v>
      </c>
      <c r="AH33" s="85">
        <f>AF33/(D62+D71)</f>
        <v>0.86500935738041018</v>
      </c>
      <c r="AK33" s="52"/>
      <c r="AL33" s="20">
        <f>D97-AF33</f>
        <v>6072.7000000000007</v>
      </c>
    </row>
    <row r="34" spans="1:40" x14ac:dyDescent="0.25">
      <c r="A34" t="s">
        <v>15</v>
      </c>
      <c r="B34">
        <v>1500</v>
      </c>
      <c r="C34">
        <v>5000</v>
      </c>
      <c r="E34">
        <f t="shared" si="3"/>
        <v>3500</v>
      </c>
      <c r="F34" s="10">
        <f t="shared" si="4"/>
        <v>0.3</v>
      </c>
      <c r="G34" s="20">
        <v>0.82</v>
      </c>
      <c r="H34" s="20">
        <f t="shared" si="5"/>
        <v>1230</v>
      </c>
      <c r="T34" t="s">
        <v>45</v>
      </c>
      <c r="U34" s="20">
        <v>0</v>
      </c>
      <c r="V34" s="20">
        <f>351</f>
        <v>351</v>
      </c>
      <c r="W34" s="20">
        <f>1672+895.6</f>
        <v>2567.6</v>
      </c>
      <c r="X34" s="20">
        <v>0</v>
      </c>
      <c r="Y34" s="20">
        <v>0</v>
      </c>
      <c r="Z34" s="20"/>
      <c r="AA34" s="20"/>
      <c r="AB34" s="20"/>
      <c r="AC34" s="20"/>
      <c r="AF34" s="20">
        <f>SUM(U34:AB34)</f>
        <v>2918.6</v>
      </c>
      <c r="AH34" s="85">
        <f>AF34/(E62+E71)</f>
        <v>0.27734566909903996</v>
      </c>
      <c r="AK34" s="52"/>
      <c r="AL34" s="20">
        <f>E97-AF34</f>
        <v>12319.07</v>
      </c>
    </row>
    <row r="35" spans="1:40" x14ac:dyDescent="0.25">
      <c r="A35" t="s">
        <v>383</v>
      </c>
      <c r="B35">
        <v>70</v>
      </c>
      <c r="C35">
        <v>500</v>
      </c>
      <c r="E35">
        <f t="shared" si="3"/>
        <v>430</v>
      </c>
      <c r="F35" s="10">
        <f t="shared" si="4"/>
        <v>0.14000000000000001</v>
      </c>
      <c r="G35" s="20">
        <v>85</v>
      </c>
      <c r="H35" s="20">
        <f t="shared" si="5"/>
        <v>5950</v>
      </c>
      <c r="T35" t="s">
        <v>46</v>
      </c>
      <c r="U35" s="20">
        <f>3000+3000</f>
        <v>6000</v>
      </c>
      <c r="V35" s="20">
        <f>945+801</f>
        <v>1746</v>
      </c>
      <c r="W35" s="20">
        <f>1074.1+1560.6+1925.5+882</f>
        <v>5442.2</v>
      </c>
      <c r="X35" s="20">
        <f>500.08+460.17+655.95</f>
        <v>1616.2</v>
      </c>
      <c r="Y35" s="20">
        <v>502.54</v>
      </c>
      <c r="Z35" s="20"/>
      <c r="AA35" s="20"/>
      <c r="AB35" s="20"/>
      <c r="AC35" s="20"/>
      <c r="AF35" s="20">
        <f>SUM(U35:AB35)</f>
        <v>15306.940000000002</v>
      </c>
      <c r="AH35" s="85">
        <f>AF35/(F62+F71)</f>
        <v>0.9049371797206256</v>
      </c>
      <c r="AK35" s="52"/>
      <c r="AL35" s="20">
        <f>F97-AF35</f>
        <v>6363.6999999999971</v>
      </c>
    </row>
    <row r="36" spans="1:40" x14ac:dyDescent="0.25">
      <c r="A36" t="s">
        <v>82</v>
      </c>
      <c r="B36">
        <v>200</v>
      </c>
      <c r="C36">
        <v>1000</v>
      </c>
      <c r="E36">
        <f t="shared" si="3"/>
        <v>800</v>
      </c>
      <c r="F36" s="10">
        <f t="shared" si="4"/>
        <v>0.2</v>
      </c>
      <c r="G36" s="20">
        <v>20.84</v>
      </c>
      <c r="H36" s="20">
        <f t="shared" si="5"/>
        <v>4168</v>
      </c>
      <c r="T36" t="s">
        <v>20</v>
      </c>
      <c r="U36" s="20">
        <v>2000</v>
      </c>
      <c r="V36" s="20">
        <f>1015+1782</f>
        <v>2797</v>
      </c>
      <c r="W36" s="20">
        <f>706+610.92+393.6+896.5+720+998.2</f>
        <v>4325.22</v>
      </c>
      <c r="X36" s="20">
        <v>0</v>
      </c>
      <c r="Y36" s="20">
        <v>502.54</v>
      </c>
      <c r="Z36" s="20"/>
      <c r="AA36" s="20"/>
      <c r="AB36" s="20"/>
      <c r="AC36" s="20"/>
      <c r="AF36" s="20">
        <f>SUM(U36:AB36)</f>
        <v>9624.760000000002</v>
      </c>
      <c r="AH36" s="85">
        <f>AF36/(G62+G71)</f>
        <v>0.72355300825134128</v>
      </c>
      <c r="AK36" s="52"/>
      <c r="AL36" s="20">
        <f>G97-AF36</f>
        <v>4546.6699999999983</v>
      </c>
    </row>
    <row r="37" spans="1:40" x14ac:dyDescent="0.25">
      <c r="A37" t="s">
        <v>249</v>
      </c>
      <c r="B37">
        <v>100</v>
      </c>
      <c r="C37">
        <v>500</v>
      </c>
      <c r="E37">
        <f t="shared" si="3"/>
        <v>400</v>
      </c>
      <c r="F37" s="10">
        <f t="shared" si="4"/>
        <v>0.2</v>
      </c>
      <c r="G37" s="20">
        <v>13.65</v>
      </c>
      <c r="H37" s="20">
        <f t="shared" si="5"/>
        <v>1365</v>
      </c>
      <c r="T37" t="s">
        <v>21</v>
      </c>
      <c r="U37" s="20">
        <v>1000</v>
      </c>
      <c r="V37" s="20">
        <f>431.7+892</f>
        <v>1323.7</v>
      </c>
      <c r="W37" s="20">
        <f>887.8+685+480+477.5+736+478.5+501.5+733.2</f>
        <v>4979.5</v>
      </c>
      <c r="X37" s="20">
        <f>490.27+295.49</f>
        <v>785.76</v>
      </c>
      <c r="Y37" s="20">
        <f>502.54+423.88</f>
        <v>926.42000000000007</v>
      </c>
      <c r="Z37" s="20"/>
      <c r="AA37" s="20"/>
      <c r="AB37" s="20"/>
      <c r="AC37" s="20"/>
      <c r="AF37" s="20">
        <f>SUM(U37:AB37)</f>
        <v>9015.380000000001</v>
      </c>
      <c r="AH37" s="85">
        <f>AF37/(H62+H71)</f>
        <v>0.53600251134684063</v>
      </c>
      <c r="AI37" s="20"/>
      <c r="AJ37" s="20"/>
      <c r="AK37" s="52"/>
      <c r="AL37" s="20">
        <f>H97-AF37</f>
        <v>6432.7699999999968</v>
      </c>
    </row>
    <row r="38" spans="1:40" x14ac:dyDescent="0.25">
      <c r="A38" t="s">
        <v>374</v>
      </c>
      <c r="B38">
        <v>146</v>
      </c>
      <c r="C38">
        <v>500</v>
      </c>
      <c r="E38">
        <f t="shared" si="3"/>
        <v>354</v>
      </c>
      <c r="F38" s="10">
        <f t="shared" si="4"/>
        <v>0.29199999999999998</v>
      </c>
      <c r="G38" s="20">
        <v>73.45</v>
      </c>
      <c r="H38" s="20">
        <f t="shared" si="5"/>
        <v>10723.7</v>
      </c>
      <c r="T38" t="s">
        <v>22</v>
      </c>
      <c r="U38" s="20">
        <f>1000</f>
        <v>1000</v>
      </c>
      <c r="V38" s="20">
        <f>552+895.8</f>
        <v>1447.8</v>
      </c>
      <c r="W38" s="20">
        <f>630.7+450.5+665+381+385.5+303.3+779</f>
        <v>3595</v>
      </c>
      <c r="X38" s="20">
        <f>368.86+133.07+506.23+492</f>
        <v>1500.16</v>
      </c>
      <c r="Y38" s="20">
        <v>502.54</v>
      </c>
      <c r="Z38" s="20"/>
      <c r="AA38" s="20"/>
      <c r="AB38" s="20"/>
      <c r="AC38" s="20"/>
      <c r="AF38" s="20">
        <f t="shared" ref="AF38" si="9">SUM(U38:AB38)</f>
        <v>8045.5</v>
      </c>
      <c r="AH38" s="85">
        <f>AF38/(I62+I71)</f>
        <v>0.46525654600433364</v>
      </c>
      <c r="AL38" s="20">
        <f>I97-AF38</f>
        <v>8648.9000000000015</v>
      </c>
    </row>
    <row r="39" spans="1:40" x14ac:dyDescent="0.25">
      <c r="A39" t="s">
        <v>220</v>
      </c>
      <c r="B39">
        <v>60</v>
      </c>
      <c r="C39">
        <v>500</v>
      </c>
      <c r="E39">
        <f t="shared" si="3"/>
        <v>440</v>
      </c>
      <c r="F39" s="10">
        <f t="shared" si="4"/>
        <v>0.12</v>
      </c>
      <c r="G39" s="20">
        <v>99.6</v>
      </c>
      <c r="H39" s="20">
        <f t="shared" si="5"/>
        <v>5976</v>
      </c>
      <c r="T39" t="s">
        <v>23</v>
      </c>
      <c r="U39" s="20">
        <v>0</v>
      </c>
      <c r="V39" s="20">
        <f>721.5+717.5+485+966</f>
        <v>2890</v>
      </c>
      <c r="W39" s="20">
        <f>714.4+979.7+487.5+781.5+250+810+439.5+676.8+441.9+370.5</f>
        <v>5951.8</v>
      </c>
      <c r="X39" s="20">
        <f>496.6+533.75+475.22+407.52</f>
        <v>1913.09</v>
      </c>
      <c r="Y39" s="20">
        <v>527.65</v>
      </c>
      <c r="Z39" s="20"/>
      <c r="AA39" s="20"/>
      <c r="AB39" s="20"/>
      <c r="AC39" s="20"/>
      <c r="AF39" s="20">
        <f>SUM(U39:AB39)</f>
        <v>11282.539999999999</v>
      </c>
      <c r="AH39" s="85">
        <f>AF39/(J62+J71)</f>
        <v>0.72592800389648071</v>
      </c>
      <c r="AL39" s="20">
        <f>J97-AF39</f>
        <v>6813.24</v>
      </c>
    </row>
    <row r="40" spans="1:40" x14ac:dyDescent="0.25">
      <c r="A40" t="s">
        <v>179</v>
      </c>
      <c r="B40">
        <v>75</v>
      </c>
      <c r="C40">
        <v>500</v>
      </c>
      <c r="E40">
        <f t="shared" si="3"/>
        <v>425</v>
      </c>
      <c r="F40" s="10">
        <f t="shared" si="4"/>
        <v>0.15</v>
      </c>
      <c r="G40" s="20">
        <v>42.82</v>
      </c>
      <c r="H40" s="20">
        <f t="shared" si="5"/>
        <v>3211.5</v>
      </c>
      <c r="T40" t="s">
        <v>24</v>
      </c>
      <c r="U40" s="20">
        <v>0</v>
      </c>
      <c r="V40" s="20">
        <f>781+753.5+799</f>
        <v>2333.5</v>
      </c>
      <c r="W40" s="20">
        <f>711.5+608.79+969.1+493+436.45+335.55+9.87+616.25</f>
        <v>4180.51</v>
      </c>
      <c r="X40" s="20">
        <v>498.12</v>
      </c>
      <c r="Y40" s="20">
        <v>527.65</v>
      </c>
      <c r="Z40" s="20"/>
      <c r="AA40" s="20"/>
      <c r="AB40" s="20"/>
      <c r="AC40" s="20"/>
      <c r="AF40" s="20">
        <f>SUM(U40:AB40)</f>
        <v>7539.78</v>
      </c>
      <c r="AH40" s="85">
        <f>AF40/(K62+K71)</f>
        <v>0.43664420450833813</v>
      </c>
      <c r="AL40" s="20">
        <f>K97-AF40</f>
        <v>8152.22</v>
      </c>
    </row>
    <row r="41" spans="1:40" x14ac:dyDescent="0.25">
      <c r="A41" t="s">
        <v>216</v>
      </c>
      <c r="B41">
        <v>600</v>
      </c>
      <c r="C41">
        <v>500</v>
      </c>
      <c r="E41">
        <f t="shared" si="3"/>
        <v>-100</v>
      </c>
      <c r="F41" s="10">
        <f t="shared" si="4"/>
        <v>1.2</v>
      </c>
      <c r="G41" s="20">
        <v>5.88</v>
      </c>
      <c r="H41" s="20">
        <f t="shared" si="5"/>
        <v>3528</v>
      </c>
      <c r="P41" s="20"/>
      <c r="T41" t="s">
        <v>25</v>
      </c>
      <c r="U41" s="20">
        <v>0</v>
      </c>
      <c r="V41" s="20">
        <f>586+1042+1597</f>
        <v>3225</v>
      </c>
      <c r="W41" s="20">
        <f>1110.06+503.6+519.5+515.83+597.6+539.94+504.75</f>
        <v>4291.28</v>
      </c>
      <c r="X41" s="20">
        <f>495.01+505.52</f>
        <v>1000.53</v>
      </c>
      <c r="Y41" s="20">
        <v>530.62</v>
      </c>
      <c r="Z41" s="20"/>
      <c r="AA41" s="20"/>
      <c r="AB41" s="20"/>
      <c r="AC41" s="20"/>
      <c r="AF41" s="20">
        <f>SUM(U41:AB41)</f>
        <v>9047.43</v>
      </c>
      <c r="AH41" s="85">
        <f>AF41/(L62+L71)</f>
        <v>0.54189466648139195</v>
      </c>
      <c r="AL41" s="20">
        <f>L97-AF41</f>
        <v>6898.99</v>
      </c>
    </row>
    <row r="42" spans="1:40" x14ac:dyDescent="0.25">
      <c r="A42" t="s">
        <v>181</v>
      </c>
      <c r="B42">
        <v>105</v>
      </c>
      <c r="C42">
        <v>500</v>
      </c>
      <c r="E42">
        <f t="shared" si="3"/>
        <v>395</v>
      </c>
      <c r="F42" s="10">
        <f t="shared" si="4"/>
        <v>0.21</v>
      </c>
      <c r="G42" s="20">
        <v>93.6</v>
      </c>
      <c r="H42" s="20">
        <f t="shared" si="5"/>
        <v>9828</v>
      </c>
      <c r="T42" t="s">
        <v>26</v>
      </c>
      <c r="U42" s="20">
        <v>0</v>
      </c>
      <c r="V42" s="20">
        <f>694+1062+710</f>
        <v>2466</v>
      </c>
      <c r="W42" s="20">
        <f>911.7+481.75+493.92</f>
        <v>1887.3700000000001</v>
      </c>
      <c r="X42" s="20">
        <f>994.03+498.24</f>
        <v>1492.27</v>
      </c>
      <c r="Y42" s="20">
        <f>530.62+520.2</f>
        <v>1050.8200000000002</v>
      </c>
      <c r="Z42" s="20"/>
      <c r="AA42" s="20"/>
      <c r="AB42" s="20"/>
      <c r="AC42" s="20"/>
      <c r="AF42" s="20">
        <f>SUM(U42:AB42)</f>
        <v>6896.4599999999991</v>
      </c>
      <c r="AH42" s="85">
        <f>AF42/(M62+M71)</f>
        <v>0.41557206645335065</v>
      </c>
      <c r="AL42" s="20">
        <f>M97-AF42</f>
        <v>11563.7</v>
      </c>
    </row>
    <row r="43" spans="1:40" x14ac:dyDescent="0.25">
      <c r="A43" t="s">
        <v>186</v>
      </c>
      <c r="B43">
        <v>100</v>
      </c>
      <c r="C43">
        <v>500</v>
      </c>
      <c r="E43">
        <f t="shared" si="3"/>
        <v>400</v>
      </c>
      <c r="F43" s="10">
        <f t="shared" si="4"/>
        <v>0.2</v>
      </c>
      <c r="G43" s="20">
        <v>67.95</v>
      </c>
      <c r="H43" s="20">
        <f t="shared" si="5"/>
        <v>6795</v>
      </c>
      <c r="T43" s="74" t="s">
        <v>47</v>
      </c>
      <c r="U43" s="75">
        <f>SUM(U31:U42)</f>
        <v>10000</v>
      </c>
      <c r="V43" s="75">
        <f>SUM(V31:V42)</f>
        <v>25247.599999999999</v>
      </c>
      <c r="W43" s="75">
        <f>SUM(W31:W42)</f>
        <v>56314.270000000004</v>
      </c>
      <c r="X43" s="75">
        <f>SUM(X31:X42)</f>
        <v>9975.58</v>
      </c>
      <c r="Y43" s="75">
        <f>SUM(Y31:Y42)</f>
        <v>5070.7800000000007</v>
      </c>
      <c r="Z43" s="75"/>
      <c r="AA43" s="75"/>
      <c r="AB43" s="75"/>
      <c r="AC43" s="75"/>
      <c r="AD43" s="75"/>
      <c r="AE43" s="75"/>
      <c r="AF43" s="75">
        <f>SUM(AF31:AF42)</f>
        <v>106608.22999999998</v>
      </c>
      <c r="AG43" s="74"/>
      <c r="AH43" s="86">
        <f>AF43/(N71+N84)</f>
        <v>0.57350286691639896</v>
      </c>
      <c r="AJ43" s="20">
        <f>AVERAGE(AF31:AF42)</f>
        <v>8884.0191666666651</v>
      </c>
      <c r="AK43" s="74"/>
      <c r="AL43" s="20">
        <f>N97-AF43</f>
        <v>102291.12000000002</v>
      </c>
    </row>
    <row r="44" spans="1:40" x14ac:dyDescent="0.25">
      <c r="A44" t="s">
        <v>170</v>
      </c>
      <c r="B44">
        <v>625</v>
      </c>
      <c r="C44">
        <v>1000</v>
      </c>
      <c r="E44">
        <f t="shared" si="3"/>
        <v>375</v>
      </c>
      <c r="F44" s="10">
        <f t="shared" si="4"/>
        <v>0.625</v>
      </c>
      <c r="G44" s="20">
        <v>28.47</v>
      </c>
      <c r="H44" s="20">
        <f t="shared" si="5"/>
        <v>17793.75</v>
      </c>
    </row>
    <row r="45" spans="1:40" x14ac:dyDescent="0.25">
      <c r="A45" t="s">
        <v>218</v>
      </c>
      <c r="B45">
        <v>500</v>
      </c>
      <c r="C45">
        <v>2000</v>
      </c>
      <c r="E45">
        <f t="shared" si="3"/>
        <v>1500</v>
      </c>
      <c r="F45" s="10">
        <f t="shared" si="4"/>
        <v>0.25</v>
      </c>
      <c r="G45" s="20">
        <v>14.3</v>
      </c>
      <c r="H45" s="20">
        <f t="shared" si="5"/>
        <v>7150</v>
      </c>
      <c r="P45" s="20"/>
    </row>
    <row r="46" spans="1:40" x14ac:dyDescent="0.25">
      <c r="A46" t="s">
        <v>495</v>
      </c>
      <c r="B46">
        <v>148</v>
      </c>
      <c r="C46">
        <v>500</v>
      </c>
      <c r="E46">
        <f t="shared" si="3"/>
        <v>352</v>
      </c>
      <c r="F46" s="10">
        <f t="shared" si="4"/>
        <v>0.29599999999999999</v>
      </c>
      <c r="G46" s="20">
        <v>99.96</v>
      </c>
      <c r="H46" s="20">
        <f t="shared" si="5"/>
        <v>14794.08</v>
      </c>
      <c r="P46" s="20"/>
      <c r="T46" s="180" t="s">
        <v>264</v>
      </c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I46" s="73"/>
      <c r="AL46" s="130" t="s">
        <v>375</v>
      </c>
      <c r="AM46" s="73"/>
      <c r="AN46" s="20"/>
    </row>
    <row r="47" spans="1:40" x14ac:dyDescent="0.25">
      <c r="A47" t="s">
        <v>355</v>
      </c>
      <c r="B47">
        <v>115</v>
      </c>
      <c r="C47">
        <v>500</v>
      </c>
      <c r="E47">
        <f t="shared" si="3"/>
        <v>385</v>
      </c>
      <c r="F47" s="10">
        <f t="shared" si="4"/>
        <v>0.23</v>
      </c>
      <c r="G47" s="20">
        <v>88.22</v>
      </c>
      <c r="H47" s="20">
        <f t="shared" si="5"/>
        <v>10145.299999999999</v>
      </c>
      <c r="P47" s="20"/>
      <c r="T47" s="131" t="s">
        <v>97</v>
      </c>
      <c r="U47" s="77" t="s">
        <v>98</v>
      </c>
      <c r="V47" s="77" t="s">
        <v>99</v>
      </c>
      <c r="W47" s="77" t="s">
        <v>162</v>
      </c>
      <c r="X47" s="77" t="s">
        <v>100</v>
      </c>
      <c r="Y47" s="77" t="s">
        <v>185</v>
      </c>
      <c r="Z47" s="77" t="s">
        <v>268</v>
      </c>
      <c r="AA47" s="77"/>
      <c r="AB47" s="77" t="s">
        <v>104</v>
      </c>
      <c r="AC47" s="77" t="s">
        <v>105</v>
      </c>
      <c r="AD47" s="89" t="s">
        <v>174</v>
      </c>
      <c r="AE47" s="89" t="s">
        <v>287</v>
      </c>
      <c r="AF47" s="77" t="s">
        <v>4</v>
      </c>
      <c r="AL47" s="20"/>
    </row>
    <row r="48" spans="1:40" x14ac:dyDescent="0.25">
      <c r="A48" t="s">
        <v>408</v>
      </c>
      <c r="B48">
        <v>90</v>
      </c>
      <c r="C48">
        <v>500</v>
      </c>
      <c r="E48">
        <f t="shared" si="3"/>
        <v>410</v>
      </c>
      <c r="F48" s="10">
        <f t="shared" si="4"/>
        <v>0.18</v>
      </c>
      <c r="G48" s="20">
        <v>60.2</v>
      </c>
      <c r="H48" s="20">
        <f t="shared" si="5"/>
        <v>5418</v>
      </c>
      <c r="T48" t="s">
        <v>42</v>
      </c>
      <c r="U48" s="20">
        <v>2000</v>
      </c>
      <c r="V48" s="20">
        <f>730+690+1178</f>
        <v>2598</v>
      </c>
      <c r="W48" s="20">
        <f>435+453.75+869.7+576+368.4+276.15+509.8+1084.4+436.5+540.6+1061+1017.5+1065+1069.9+1050.5+596.5+797</f>
        <v>12207.7</v>
      </c>
      <c r="X48" s="20">
        <f>466.86+597.21</f>
        <v>1064.0700000000002</v>
      </c>
      <c r="Y48" s="20">
        <f>530.62+447.57</f>
        <v>978.19</v>
      </c>
      <c r="Z48" s="20">
        <v>2000</v>
      </c>
      <c r="AA48" s="20"/>
      <c r="AB48" s="20"/>
      <c r="AC48" s="20"/>
      <c r="AF48" s="20">
        <f t="shared" ref="AF48:AF54" si="10">SUM(U48:AB48)</f>
        <v>20847.96</v>
      </c>
      <c r="AL48" s="20">
        <f>B119-AF48</f>
        <v>-1322.5</v>
      </c>
    </row>
    <row r="49" spans="1:47" x14ac:dyDescent="0.25">
      <c r="A49" t="s">
        <v>169</v>
      </c>
      <c r="B49">
        <v>153</v>
      </c>
      <c r="C49">
        <v>200</v>
      </c>
      <c r="E49">
        <f t="shared" si="3"/>
        <v>47</v>
      </c>
      <c r="F49" s="10">
        <f t="shared" si="4"/>
        <v>0.76500000000000001</v>
      </c>
      <c r="G49" s="20">
        <v>117.22</v>
      </c>
      <c r="H49" s="20">
        <f t="shared" si="5"/>
        <v>17934.66</v>
      </c>
      <c r="L49" s="134"/>
      <c r="T49" t="s">
        <v>43</v>
      </c>
      <c r="U49" s="20">
        <v>2000</v>
      </c>
      <c r="V49" s="20">
        <f>343.98+760</f>
        <v>1103.98</v>
      </c>
      <c r="W49" s="20">
        <f>547.5+1057.53+534.5+482.55+528.5+746.5+298.9+449.55+502.45+472+504.35+1167+1074.2+1062.2</f>
        <v>9427.7300000000014</v>
      </c>
      <c r="X49" s="20">
        <f>599.72</f>
        <v>599.72</v>
      </c>
      <c r="Y49" s="20">
        <f>530.62</f>
        <v>530.62</v>
      </c>
      <c r="Z49" s="20">
        <v>0</v>
      </c>
      <c r="AA49" s="20"/>
      <c r="AB49" s="20"/>
      <c r="AC49" s="20"/>
      <c r="AF49" s="20">
        <f t="shared" si="10"/>
        <v>13662.050000000001</v>
      </c>
      <c r="AL49" s="20">
        <f>C119-AF49</f>
        <v>7148.3099999999995</v>
      </c>
    </row>
    <row r="50" spans="1:47" x14ac:dyDescent="0.25">
      <c r="A50" t="s">
        <v>252</v>
      </c>
      <c r="B50">
        <v>200</v>
      </c>
      <c r="C50">
        <v>1000</v>
      </c>
      <c r="E50">
        <f t="shared" si="3"/>
        <v>800</v>
      </c>
      <c r="F50" s="10">
        <f t="shared" si="4"/>
        <v>0.2</v>
      </c>
      <c r="G50" s="20">
        <v>10.46</v>
      </c>
      <c r="H50" s="20">
        <f t="shared" si="5"/>
        <v>2092</v>
      </c>
      <c r="L50" s="134"/>
      <c r="T50" t="s">
        <v>44</v>
      </c>
      <c r="U50" s="20">
        <v>2000</v>
      </c>
      <c r="V50" s="20">
        <f>1128</f>
        <v>1128</v>
      </c>
      <c r="W50" s="20">
        <f>932+1073+442.5+641.2+564.5+1034+1079.9+1088+914.7+1019.7</f>
        <v>8789.5</v>
      </c>
      <c r="X50" s="20">
        <v>0</v>
      </c>
      <c r="Y50" s="20">
        <f>530.62</f>
        <v>530.62</v>
      </c>
      <c r="Z50" s="20">
        <v>0</v>
      </c>
      <c r="AA50" s="20"/>
      <c r="AB50" s="20"/>
      <c r="AC50" s="20"/>
      <c r="AF50" s="20">
        <f t="shared" si="10"/>
        <v>12448.12</v>
      </c>
      <c r="AL50" s="20">
        <f>D119-AF50</f>
        <v>8143.99</v>
      </c>
    </row>
    <row r="51" spans="1:47" x14ac:dyDescent="0.25">
      <c r="A51" t="s">
        <v>217</v>
      </c>
      <c r="B51">
        <v>153</v>
      </c>
      <c r="C51">
        <v>500</v>
      </c>
      <c r="E51">
        <f t="shared" si="3"/>
        <v>347</v>
      </c>
      <c r="F51" s="10">
        <f t="shared" si="4"/>
        <v>0.30599999999999999</v>
      </c>
      <c r="G51" s="20">
        <v>135.5</v>
      </c>
      <c r="H51" s="20">
        <f t="shared" si="5"/>
        <v>20731.5</v>
      </c>
      <c r="L51" s="134"/>
      <c r="T51" t="s">
        <v>45</v>
      </c>
      <c r="U51" s="20">
        <v>0</v>
      </c>
      <c r="V51" s="20">
        <f>1015</f>
        <v>1015</v>
      </c>
      <c r="W51" s="20">
        <f>537+672.24+838.8+770.4+1106+1010+490.5+540.3+826.65+927.5</f>
        <v>7719.39</v>
      </c>
      <c r="X51" s="20">
        <v>394.61</v>
      </c>
      <c r="Y51" s="20">
        <v>530.62</v>
      </c>
      <c r="Z51" s="20">
        <v>0</v>
      </c>
      <c r="AA51" s="20"/>
      <c r="AB51" s="20"/>
      <c r="AC51" s="20"/>
      <c r="AF51" s="20">
        <f t="shared" si="10"/>
        <v>9659.6200000000008</v>
      </c>
      <c r="AL51" s="20">
        <f>E119-AF51</f>
        <v>7553.5899999999983</v>
      </c>
    </row>
    <row r="52" spans="1:47" x14ac:dyDescent="0.25">
      <c r="A52" t="s">
        <v>270</v>
      </c>
      <c r="B52">
        <v>77</v>
      </c>
      <c r="C52">
        <v>500</v>
      </c>
      <c r="E52">
        <f t="shared" si="3"/>
        <v>423</v>
      </c>
      <c r="F52" s="10">
        <f t="shared" si="4"/>
        <v>0.154</v>
      </c>
      <c r="G52" s="20">
        <v>105.02</v>
      </c>
      <c r="H52" s="20">
        <f t="shared" si="5"/>
        <v>8086.54</v>
      </c>
      <c r="L52" s="134"/>
      <c r="T52" t="s">
        <v>46</v>
      </c>
      <c r="U52" s="20">
        <v>0</v>
      </c>
      <c r="V52" s="20">
        <v>0</v>
      </c>
      <c r="W52" s="20">
        <f>514.35+170.8+919.4+1065.9+1441.95+457+807.6+918.9+924.75+929+726.88</f>
        <v>8876.5300000000007</v>
      </c>
      <c r="X52" s="20">
        <v>0</v>
      </c>
      <c r="Y52" s="20">
        <v>530.62</v>
      </c>
      <c r="Z52" s="20">
        <v>0</v>
      </c>
      <c r="AA52" s="20"/>
      <c r="AB52" s="20"/>
      <c r="AC52" s="20"/>
      <c r="AF52" s="20">
        <f t="shared" si="10"/>
        <v>9407.1500000000015</v>
      </c>
      <c r="AL52" s="20">
        <f>F119-AF52</f>
        <v>6303.5599999999995</v>
      </c>
    </row>
    <row r="53" spans="1:47" x14ac:dyDescent="0.25">
      <c r="A53" s="46" t="s">
        <v>4</v>
      </c>
      <c r="B53" s="46">
        <f>SUM(B14:B52)</f>
        <v>20955</v>
      </c>
      <c r="C53" s="46">
        <f>SUM(C14:C52)</f>
        <v>48150</v>
      </c>
      <c r="D53" s="46"/>
      <c r="E53" s="46">
        <f>SUM(E14:E52)</f>
        <v>27195</v>
      </c>
      <c r="F53" s="46"/>
      <c r="G53" s="46"/>
      <c r="H53" s="47">
        <f>SUM(H14:H52)</f>
        <v>407156.05999999994</v>
      </c>
      <c r="I53" s="48"/>
      <c r="J53" s="48"/>
      <c r="K53" s="48"/>
      <c r="L53" s="134"/>
      <c r="T53" t="s">
        <v>20</v>
      </c>
      <c r="U53" s="20">
        <v>0</v>
      </c>
      <c r="V53" s="20">
        <v>0</v>
      </c>
      <c r="W53" s="20">
        <f>719.1+867+506.75+651+506.9+469.45+514.8+577.5+625.35+931.05</f>
        <v>6368.9000000000005</v>
      </c>
      <c r="X53" s="20">
        <v>0</v>
      </c>
      <c r="Y53" s="20">
        <v>530.62</v>
      </c>
      <c r="Z53" s="20">
        <v>0</v>
      </c>
      <c r="AA53" s="20"/>
      <c r="AB53" s="20"/>
      <c r="AC53" s="20"/>
      <c r="AF53" s="20">
        <f t="shared" si="10"/>
        <v>6899.52</v>
      </c>
      <c r="AI53" s="73"/>
      <c r="AL53" s="20">
        <f>G119-AF53</f>
        <v>8386.5300000000007</v>
      </c>
      <c r="AM53" s="73"/>
    </row>
    <row r="54" spans="1:47" x14ac:dyDescent="0.25">
      <c r="A54" s="132"/>
      <c r="B54" s="132"/>
      <c r="C54" s="132"/>
      <c r="D54" s="132"/>
      <c r="E54" s="132"/>
      <c r="F54" s="132"/>
      <c r="G54" s="132"/>
      <c r="H54" s="133"/>
      <c r="I54" s="134"/>
      <c r="J54" s="134"/>
      <c r="K54" s="134"/>
      <c r="L54" s="134"/>
      <c r="T54" t="s">
        <v>21</v>
      </c>
      <c r="U54" s="20">
        <v>3000</v>
      </c>
      <c r="V54" s="20">
        <v>0</v>
      </c>
      <c r="W54" s="20">
        <f>656.94+642.4+944+655.8+634.9+781.6+648+549.5+515+542.5+525.05</f>
        <v>7095.6900000000005</v>
      </c>
      <c r="X54" s="20">
        <v>0</v>
      </c>
      <c r="Y54" s="20">
        <v>978.19</v>
      </c>
      <c r="Z54" s="20">
        <v>0</v>
      </c>
      <c r="AA54" s="20"/>
      <c r="AB54" s="20"/>
      <c r="AC54" s="20"/>
      <c r="AF54" s="20">
        <f t="shared" si="10"/>
        <v>11073.880000000001</v>
      </c>
      <c r="AI54" s="73"/>
      <c r="AL54" s="20">
        <f>H119-AF54</f>
        <v>9964.64</v>
      </c>
      <c r="AM54" s="3"/>
    </row>
    <row r="55" spans="1:47" x14ac:dyDescent="0.25">
      <c r="A55" s="132"/>
      <c r="B55" s="132"/>
      <c r="C55" s="132"/>
      <c r="D55" s="132"/>
      <c r="E55" s="132"/>
      <c r="F55" s="132"/>
      <c r="G55" s="132"/>
      <c r="H55" s="133"/>
      <c r="I55" s="134"/>
      <c r="J55" s="134"/>
      <c r="K55" s="134"/>
      <c r="L55" s="134"/>
      <c r="T55" t="s">
        <v>22</v>
      </c>
      <c r="U55" s="20">
        <v>2000</v>
      </c>
      <c r="V55" s="20">
        <f>580+568</f>
        <v>1148</v>
      </c>
      <c r="W55" s="20">
        <f>586+530+522.5+550+755.3+2020</f>
        <v>4963.8</v>
      </c>
      <c r="X55" s="20">
        <v>0</v>
      </c>
      <c r="Y55" s="20">
        <v>530.62</v>
      </c>
      <c r="Z55" s="20">
        <v>0</v>
      </c>
      <c r="AA55" s="20"/>
      <c r="AB55" s="20"/>
      <c r="AC55" s="20"/>
      <c r="AF55" s="20">
        <f t="shared" ref="AF55" si="11">SUM(U55:AB55)</f>
        <v>8642.42</v>
      </c>
      <c r="AH55" s="73"/>
      <c r="AI55" s="73"/>
      <c r="AL55" s="20">
        <f>I119-AF55</f>
        <v>9036.0899999999983</v>
      </c>
      <c r="AM55" s="73"/>
    </row>
    <row r="56" spans="1:47" x14ac:dyDescent="0.25">
      <c r="R56" s="73"/>
      <c r="T56" t="s">
        <v>23</v>
      </c>
      <c r="U56" s="20">
        <v>5000</v>
      </c>
      <c r="V56" s="20">
        <f>1186</f>
        <v>1186</v>
      </c>
      <c r="W56" s="20">
        <f>543.5+826.8+764.4+871.2+1026.8+475+436.56+440.45+1010</f>
        <v>6394.71</v>
      </c>
      <c r="X56" s="20">
        <v>0</v>
      </c>
      <c r="Y56" s="20">
        <v>553.49</v>
      </c>
      <c r="Z56" s="20">
        <v>0</v>
      </c>
      <c r="AA56" s="20"/>
      <c r="AB56" s="20"/>
      <c r="AC56" s="20"/>
      <c r="AF56" s="20">
        <f>SUM(U56:AB56)</f>
        <v>13134.199999999999</v>
      </c>
      <c r="AH56" s="67"/>
      <c r="AL56" s="20">
        <f>J119-AF56</f>
        <v>9060.5600000000031</v>
      </c>
    </row>
    <row r="57" spans="1:47" x14ac:dyDescent="0.25">
      <c r="A57" s="91" t="s">
        <v>164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T57" t="s">
        <v>24</v>
      </c>
      <c r="U57" s="20">
        <v>0</v>
      </c>
      <c r="V57" s="20">
        <f>679.2+285+1196+1370</f>
        <v>3530.2</v>
      </c>
      <c r="W57" s="20">
        <f>882.5+1700+650.2+1028.5+769.5+773.1+770.1+771+650.3+1120+1025.5+1096.8+682.4+789.6+1185.36+1028.4</f>
        <v>14923.26</v>
      </c>
      <c r="X57" s="20">
        <v>0</v>
      </c>
      <c r="Y57" s="20">
        <v>553.49</v>
      </c>
      <c r="Z57" s="20">
        <v>0</v>
      </c>
      <c r="AA57" s="20"/>
      <c r="AB57" s="20"/>
      <c r="AC57" s="20"/>
      <c r="AF57" s="20">
        <f>SUM(U57:AB57)</f>
        <v>19006.95</v>
      </c>
      <c r="AH57" s="73"/>
      <c r="AL57" s="20">
        <f>K119-AF57</f>
        <v>5754.2199999999975</v>
      </c>
      <c r="AM57" s="20"/>
    </row>
    <row r="58" spans="1:47" x14ac:dyDescent="0.25">
      <c r="A58" s="83" t="s">
        <v>228</v>
      </c>
      <c r="B58" s="84" t="s">
        <v>42</v>
      </c>
      <c r="C58" s="84" t="s">
        <v>43</v>
      </c>
      <c r="D58" s="84" t="s">
        <v>44</v>
      </c>
      <c r="E58" s="84" t="s">
        <v>45</v>
      </c>
      <c r="F58" s="84" t="s">
        <v>46</v>
      </c>
      <c r="G58" s="84" t="s">
        <v>20</v>
      </c>
      <c r="H58" s="84" t="s">
        <v>21</v>
      </c>
      <c r="I58" s="84" t="s">
        <v>22</v>
      </c>
      <c r="J58" s="84" t="s">
        <v>23</v>
      </c>
      <c r="K58" s="84" t="s">
        <v>24</v>
      </c>
      <c r="L58" s="84" t="s">
        <v>25</v>
      </c>
      <c r="M58" s="84" t="s">
        <v>26</v>
      </c>
      <c r="N58" s="84" t="s">
        <v>47</v>
      </c>
      <c r="P58" s="84" t="s">
        <v>225</v>
      </c>
      <c r="T58" t="s">
        <v>25</v>
      </c>
      <c r="U58" s="20">
        <f>1000+2000</f>
        <v>3000</v>
      </c>
      <c r="V58" s="20">
        <v>0</v>
      </c>
      <c r="W58" s="20">
        <f>548.4+1038.5+696+1029.8+1063.5+955+957+3179.88</f>
        <v>9468.08</v>
      </c>
      <c r="X58" s="20">
        <v>0</v>
      </c>
      <c r="Y58" s="20">
        <v>556.59</v>
      </c>
      <c r="Z58" s="20">
        <v>0</v>
      </c>
      <c r="AA58" s="20"/>
      <c r="AB58" s="20"/>
      <c r="AC58" s="20"/>
      <c r="AF58" s="20">
        <f>SUM(U58:AB58)</f>
        <v>13024.67</v>
      </c>
      <c r="AH58" s="73"/>
      <c r="AL58" s="20">
        <f>L119-AF58</f>
        <v>3142.3600000000006</v>
      </c>
    </row>
    <row r="59" spans="1:47" x14ac:dyDescent="0.25">
      <c r="A59" t="s">
        <v>107</v>
      </c>
      <c r="B59" s="20">
        <v>7305.24</v>
      </c>
      <c r="C59" s="20">
        <f>3638.48+5110.4</f>
        <v>8748.8799999999992</v>
      </c>
      <c r="D59" s="20">
        <f>2563.79+3443.97</f>
        <v>6007.76</v>
      </c>
      <c r="E59" s="20">
        <v>3671.1</v>
      </c>
      <c r="F59" s="20">
        <f>3671+5250</f>
        <v>8921</v>
      </c>
      <c r="G59" s="20">
        <v>2770</v>
      </c>
      <c r="H59" s="20">
        <v>6464.13</v>
      </c>
      <c r="I59" s="20">
        <f>2773.77+3022.46</f>
        <v>5796.23</v>
      </c>
      <c r="J59" s="20">
        <f>2831.32+1678.18</f>
        <v>4509.5</v>
      </c>
      <c r="K59" s="20">
        <v>3767.14</v>
      </c>
      <c r="L59" s="20">
        <f>3761+2335.76</f>
        <v>6096.76</v>
      </c>
      <c r="M59" s="20">
        <v>3761</v>
      </c>
      <c r="N59" s="75">
        <f>SUM(B59:M59)</f>
        <v>67818.739999999991</v>
      </c>
      <c r="P59" s="20">
        <f>AVERAGE(B59:M59)</f>
        <v>5651.5616666666656</v>
      </c>
      <c r="T59" t="s">
        <v>26</v>
      </c>
      <c r="U59" s="20">
        <f>2000+3000</f>
        <v>5000</v>
      </c>
      <c r="V59" s="20">
        <v>0</v>
      </c>
      <c r="W59" s="20">
        <f>800+534+1053+971</f>
        <v>3358</v>
      </c>
      <c r="X59" s="20">
        <v>0</v>
      </c>
      <c r="Y59" s="20">
        <f>545.89+556.59</f>
        <v>1102.48</v>
      </c>
      <c r="Z59" s="20">
        <v>0</v>
      </c>
      <c r="AA59" s="20"/>
      <c r="AB59" s="20"/>
      <c r="AC59" s="20"/>
      <c r="AE59" s="20">
        <v>100</v>
      </c>
      <c r="AF59" s="20">
        <f>SUM(U59:AB59)</f>
        <v>9460.48</v>
      </c>
      <c r="AH59" s="73"/>
      <c r="AL59" s="20">
        <f>M119-AF59</f>
        <v>14084.07</v>
      </c>
    </row>
    <row r="60" spans="1:47" x14ac:dyDescent="0.25">
      <c r="A60" t="s">
        <v>109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546</v>
      </c>
      <c r="H60" s="20">
        <v>410.2</v>
      </c>
      <c r="I60" s="20">
        <f>565.21+820.41</f>
        <v>1385.62</v>
      </c>
      <c r="J60" s="20">
        <v>410.2</v>
      </c>
      <c r="K60" s="20">
        <v>421.48</v>
      </c>
      <c r="L60" s="20">
        <v>421.48</v>
      </c>
      <c r="M60" s="20">
        <v>712.16</v>
      </c>
      <c r="N60" s="75">
        <f t="shared" ref="N60" si="12">SUM(B60:M60)</f>
        <v>4307.1399999999994</v>
      </c>
      <c r="P60" s="20">
        <f>AVERAGE(B60:M60)</f>
        <v>358.92833333333328</v>
      </c>
      <c r="T60" s="74" t="s">
        <v>47</v>
      </c>
      <c r="U60" s="75">
        <f t="shared" ref="U60:Z60" si="13">SUM(U48:U59)</f>
        <v>24000</v>
      </c>
      <c r="V60" s="75">
        <f t="shared" si="13"/>
        <v>11709.18</v>
      </c>
      <c r="W60" s="75">
        <f t="shared" si="13"/>
        <v>99593.290000000008</v>
      </c>
      <c r="X60" s="75">
        <f t="shared" si="13"/>
        <v>2058.4</v>
      </c>
      <c r="Y60" s="75">
        <f t="shared" si="13"/>
        <v>7906.15</v>
      </c>
      <c r="Z60" s="75">
        <f t="shared" si="13"/>
        <v>2000</v>
      </c>
      <c r="AA60" s="75"/>
      <c r="AB60" s="75"/>
      <c r="AC60" s="75"/>
      <c r="AD60" s="75"/>
      <c r="AE60" s="75"/>
      <c r="AF60" s="75">
        <f>SUM(AF48:AF59)</f>
        <v>147267.02000000002</v>
      </c>
      <c r="AH60" s="3"/>
      <c r="AJ60" s="20">
        <f>AVERAGE(AF48:AF59)</f>
        <v>12272.251666666669</v>
      </c>
      <c r="AL60" s="20">
        <f>N119-AF60</f>
        <v>87255.420000000013</v>
      </c>
    </row>
    <row r="61" spans="1:47" x14ac:dyDescent="0.25">
      <c r="A61" t="s">
        <v>110</v>
      </c>
      <c r="B61" s="20">
        <v>2959.85</v>
      </c>
      <c r="C61" s="20">
        <v>2959.85</v>
      </c>
      <c r="D61" s="20">
        <v>2841.08</v>
      </c>
      <c r="E61" s="20">
        <v>2959.85</v>
      </c>
      <c r="F61" s="20">
        <v>2959</v>
      </c>
      <c r="G61" s="20">
        <v>3919.47</v>
      </c>
      <c r="H61" s="20">
        <v>2959</v>
      </c>
      <c r="I61" s="20">
        <v>2959.85</v>
      </c>
      <c r="J61" s="20">
        <v>2959.85</v>
      </c>
      <c r="K61" s="20">
        <v>5451.3</v>
      </c>
      <c r="L61" s="20">
        <v>2959.85</v>
      </c>
      <c r="M61" s="20">
        <v>3459.58</v>
      </c>
      <c r="N61" s="75">
        <f t="shared" ref="N61" si="14">SUM(B61:M61)</f>
        <v>39348.53</v>
      </c>
      <c r="P61" s="20">
        <f>AVERAGE(B61:M61)</f>
        <v>3279.0441666666666</v>
      </c>
    </row>
    <row r="62" spans="1:47" x14ac:dyDescent="0.25">
      <c r="A62" s="74" t="s">
        <v>4</v>
      </c>
      <c r="B62" s="75">
        <f>SUM(B59:B61)</f>
        <v>10265.09</v>
      </c>
      <c r="C62" s="75">
        <f t="shared" ref="C62:N62" si="15">SUM(C59:C61)</f>
        <v>11708.73</v>
      </c>
      <c r="D62" s="75">
        <f t="shared" si="15"/>
        <v>8848.84</v>
      </c>
      <c r="E62" s="75">
        <f t="shared" si="15"/>
        <v>6630.95</v>
      </c>
      <c r="F62" s="75">
        <f t="shared" si="15"/>
        <v>11880</v>
      </c>
      <c r="G62" s="75">
        <f t="shared" si="15"/>
        <v>7235.4699999999993</v>
      </c>
      <c r="H62" s="75">
        <f t="shared" si="15"/>
        <v>9833.33</v>
      </c>
      <c r="I62" s="75">
        <f t="shared" si="15"/>
        <v>10141.699999999999</v>
      </c>
      <c r="J62" s="75">
        <f t="shared" si="15"/>
        <v>7879.5499999999993</v>
      </c>
      <c r="K62" s="75">
        <f t="shared" si="15"/>
        <v>9639.92</v>
      </c>
      <c r="L62" s="75">
        <f t="shared" si="15"/>
        <v>9478.09</v>
      </c>
      <c r="M62" s="75">
        <f t="shared" si="15"/>
        <v>7932.74</v>
      </c>
      <c r="N62" s="75">
        <f t="shared" si="15"/>
        <v>111474.40999999999</v>
      </c>
      <c r="P62" s="20">
        <f>AVERAGE(B62:M62)</f>
        <v>9289.5341666666664</v>
      </c>
      <c r="AS62" s="74"/>
    </row>
    <row r="63" spans="1:47" x14ac:dyDescent="0.25">
      <c r="A63" s="74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P63" s="20"/>
      <c r="T63" s="180" t="s">
        <v>403</v>
      </c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I63" s="73"/>
      <c r="AL63" s="138" t="s">
        <v>375</v>
      </c>
      <c r="AM63" s="73"/>
      <c r="AQ63" s="73"/>
      <c r="AU63" s="73"/>
    </row>
    <row r="64" spans="1:47" x14ac:dyDescent="0.25">
      <c r="A64" s="83" t="s">
        <v>163</v>
      </c>
      <c r="B64" s="84" t="s">
        <v>42</v>
      </c>
      <c r="C64" s="84" t="s">
        <v>43</v>
      </c>
      <c r="D64" s="84" t="s">
        <v>44</v>
      </c>
      <c r="E64" s="84" t="s">
        <v>45</v>
      </c>
      <c r="F64" s="84" t="s">
        <v>46</v>
      </c>
      <c r="G64" s="84" t="s">
        <v>20</v>
      </c>
      <c r="H64" s="84" t="s">
        <v>21</v>
      </c>
      <c r="I64" s="84" t="s">
        <v>22</v>
      </c>
      <c r="J64" s="84" t="s">
        <v>23</v>
      </c>
      <c r="K64" s="84" t="s">
        <v>24</v>
      </c>
      <c r="L64" s="84" t="s">
        <v>25</v>
      </c>
      <c r="M64" s="84" t="s">
        <v>26</v>
      </c>
      <c r="N64" s="84" t="s">
        <v>47</v>
      </c>
      <c r="P64" s="84" t="s">
        <v>225</v>
      </c>
      <c r="T64" s="137" t="s">
        <v>97</v>
      </c>
      <c r="U64" s="77" t="s">
        <v>98</v>
      </c>
      <c r="V64" s="77" t="s">
        <v>99</v>
      </c>
      <c r="W64" s="77" t="s">
        <v>162</v>
      </c>
      <c r="X64" s="77" t="s">
        <v>100</v>
      </c>
      <c r="Y64" s="77" t="s">
        <v>185</v>
      </c>
      <c r="Z64" s="77" t="s">
        <v>268</v>
      </c>
      <c r="AA64" s="77" t="s">
        <v>458</v>
      </c>
      <c r="AB64" s="77" t="s">
        <v>104</v>
      </c>
      <c r="AC64" s="77" t="s">
        <v>105</v>
      </c>
      <c r="AD64" s="89" t="s">
        <v>174</v>
      </c>
      <c r="AE64" s="89" t="s">
        <v>287</v>
      </c>
      <c r="AF64" s="77" t="s">
        <v>4</v>
      </c>
      <c r="AI64" s="73"/>
      <c r="AL64" s="20"/>
      <c r="AM64" s="73"/>
      <c r="AQ64" s="73"/>
      <c r="AU64" s="73"/>
    </row>
    <row r="65" spans="1:47" x14ac:dyDescent="0.25">
      <c r="A65" t="s">
        <v>167</v>
      </c>
      <c r="B65" s="20">
        <v>139.72999999999999</v>
      </c>
      <c r="C65" s="20">
        <v>118.74</v>
      </c>
      <c r="D65" s="20">
        <v>72.08</v>
      </c>
      <c r="E65" s="20">
        <v>0</v>
      </c>
      <c r="F65" s="20">
        <v>303.17</v>
      </c>
      <c r="G65" s="20">
        <v>130.91</v>
      </c>
      <c r="H65" s="20">
        <v>216</v>
      </c>
      <c r="I65" s="20">
        <v>203.3</v>
      </c>
      <c r="J65" s="20">
        <v>177.2</v>
      </c>
      <c r="K65" s="20">
        <v>188.55</v>
      </c>
      <c r="L65" s="20">
        <v>163.74</v>
      </c>
      <c r="M65" s="20">
        <v>141.44999999999999</v>
      </c>
      <c r="N65" s="75">
        <f>SUM(B65:M65)</f>
        <v>1854.8700000000001</v>
      </c>
      <c r="P65" s="20">
        <f>AVERAGE(B65:M65)</f>
        <v>154.57250000000002</v>
      </c>
      <c r="T65" t="s">
        <v>42</v>
      </c>
      <c r="U65" s="20">
        <f>1000+2000</f>
        <v>3000</v>
      </c>
      <c r="V65" s="20">
        <f>910+1035.12+1053.5+1043+1343</f>
        <v>5384.62</v>
      </c>
      <c r="W65" s="20">
        <f>743.6+668.3+658.5</f>
        <v>2070.4</v>
      </c>
      <c r="X65" s="20">
        <v>0</v>
      </c>
      <c r="Y65" s="20">
        <f>556.59+469.47</f>
        <v>1026.06</v>
      </c>
      <c r="Z65" s="20">
        <v>0</v>
      </c>
      <c r="AA65" s="20"/>
      <c r="AB65" s="20"/>
      <c r="AC65" s="20"/>
      <c r="AE65" s="20">
        <v>100</v>
      </c>
      <c r="AF65" s="20">
        <f>SUM(U65:AA65)</f>
        <v>11481.079999999998</v>
      </c>
      <c r="AL65" s="20">
        <f>B143-AF65</f>
        <v>8248.09</v>
      </c>
      <c r="AQ65" s="73"/>
      <c r="AU65" s="73"/>
    </row>
    <row r="66" spans="1:47" x14ac:dyDescent="0.25">
      <c r="A66" t="s">
        <v>159</v>
      </c>
      <c r="B66" s="20">
        <v>0</v>
      </c>
      <c r="C66" s="20">
        <v>161.59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288.45</v>
      </c>
      <c r="J66" s="20">
        <v>0</v>
      </c>
      <c r="K66" s="20">
        <v>0</v>
      </c>
      <c r="L66" s="20">
        <v>0</v>
      </c>
      <c r="M66" s="20">
        <v>0</v>
      </c>
      <c r="N66" s="75">
        <f>SUM(B66:M66)</f>
        <v>450.03999999999996</v>
      </c>
      <c r="P66" s="20">
        <f>AVERAGE(B66:M66)</f>
        <v>37.50333333333333</v>
      </c>
      <c r="T66" t="s">
        <v>43</v>
      </c>
      <c r="U66" s="20">
        <v>1000</v>
      </c>
      <c r="V66" s="20">
        <f>898.5+872.5</f>
        <v>1771</v>
      </c>
      <c r="W66" s="20">
        <f>1072+1370.85+523.5+531.6+691+662.5+526.45+1100+669+869.8+516.3+785.1</f>
        <v>9318.1</v>
      </c>
      <c r="X66" s="20">
        <v>0</v>
      </c>
      <c r="Y66" s="20">
        <v>556.59</v>
      </c>
      <c r="Z66" s="20">
        <v>0</v>
      </c>
      <c r="AA66" s="20"/>
      <c r="AB66" s="20"/>
      <c r="AC66" s="20"/>
      <c r="AF66" s="20">
        <f t="shared" ref="AF66:AF70" si="16">SUM(U66:AA66)</f>
        <v>12645.69</v>
      </c>
      <c r="AL66" s="20">
        <f>C143-AF66</f>
        <v>10606.979999999998</v>
      </c>
    </row>
    <row r="67" spans="1:47" x14ac:dyDescent="0.25">
      <c r="A67" t="s">
        <v>165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46.5</v>
      </c>
      <c r="J67" s="20">
        <v>75</v>
      </c>
      <c r="K67" s="20">
        <v>101.47</v>
      </c>
      <c r="L67" s="20">
        <v>126.22</v>
      </c>
      <c r="M67" s="20">
        <v>168.12</v>
      </c>
      <c r="N67" s="75">
        <f t="shared" ref="N67" si="17">SUM(B67:M67)</f>
        <v>517.30999999999995</v>
      </c>
      <c r="P67" s="20">
        <f t="shared" ref="P67:P70" si="18">AVERAGE(B67:M67)</f>
        <v>43.10916666666666</v>
      </c>
      <c r="T67" t="s">
        <v>44</v>
      </c>
      <c r="U67" s="20">
        <v>2000</v>
      </c>
      <c r="V67" s="20">
        <f>893+806.4+819+653.4+955+1193</f>
        <v>5319.8</v>
      </c>
      <c r="W67" s="20">
        <f>488.25+131.28+963.6+996+757.7+436.05+619.9+314.65+695.2+520+689</f>
        <v>6611.6299999999992</v>
      </c>
      <c r="X67" s="20">
        <f>502.71+699.42+992.92+401.8</f>
        <v>2596.85</v>
      </c>
      <c r="Y67" s="20">
        <v>556.59</v>
      </c>
      <c r="Z67" s="20">
        <v>0</v>
      </c>
      <c r="AA67" s="20"/>
      <c r="AB67" s="20"/>
      <c r="AC67" s="20"/>
      <c r="AF67" s="20">
        <f t="shared" si="16"/>
        <v>17084.87</v>
      </c>
      <c r="AL67" s="20">
        <f>D143-AF67</f>
        <v>3593.3900000000031</v>
      </c>
    </row>
    <row r="68" spans="1:47" x14ac:dyDescent="0.25">
      <c r="A68" t="s">
        <v>14</v>
      </c>
      <c r="B68" s="20">
        <v>16.5</v>
      </c>
      <c r="C68" s="20">
        <v>51.16</v>
      </c>
      <c r="D68" s="20">
        <v>371.64</v>
      </c>
      <c r="E68" s="20">
        <v>162.38</v>
      </c>
      <c r="F68" s="20">
        <v>611.75</v>
      </c>
      <c r="G68" s="20">
        <v>305.7</v>
      </c>
      <c r="H68" s="20">
        <v>27.33</v>
      </c>
      <c r="I68" s="20">
        <f>734.61-288.45-46.5</f>
        <v>399.66</v>
      </c>
      <c r="J68" s="20">
        <v>6.48</v>
      </c>
      <c r="K68" s="20">
        <f>246.09-101.47</f>
        <v>144.62</v>
      </c>
      <c r="L68" s="20">
        <f>351.09-126.22</f>
        <v>224.86999999999998</v>
      </c>
      <c r="M68" s="20">
        <v>428.79</v>
      </c>
      <c r="N68" s="75">
        <f>SUM(B68:M68)</f>
        <v>2750.8799999999997</v>
      </c>
      <c r="P68" s="20">
        <f t="shared" si="18"/>
        <v>229.23999999999998</v>
      </c>
      <c r="T68" t="s">
        <v>45</v>
      </c>
      <c r="U68" s="20">
        <v>2000</v>
      </c>
      <c r="V68" s="20">
        <f>843.54</f>
        <v>843.54</v>
      </c>
      <c r="W68" s="20">
        <f>722.4+791.5+926.8+524.4+1002</f>
        <v>3967.1</v>
      </c>
      <c r="X68" s="20">
        <f>990.9</f>
        <v>990.9</v>
      </c>
      <c r="Y68" s="20">
        <v>556.59</v>
      </c>
      <c r="Z68" s="20">
        <v>0</v>
      </c>
      <c r="AA68" s="20"/>
      <c r="AB68" s="20"/>
      <c r="AC68" s="20"/>
      <c r="AF68" s="20">
        <f t="shared" si="16"/>
        <v>8358.1299999999992</v>
      </c>
      <c r="AL68" s="20">
        <f>E143-AF68</f>
        <v>6505.6500000000015</v>
      </c>
    </row>
    <row r="69" spans="1:47" x14ac:dyDescent="0.25">
      <c r="A69" t="s">
        <v>166</v>
      </c>
      <c r="B69" s="20">
        <v>3400</v>
      </c>
      <c r="C69" s="20">
        <v>2900</v>
      </c>
      <c r="D69" s="20">
        <v>4130</v>
      </c>
      <c r="E69" s="20">
        <v>3730</v>
      </c>
      <c r="F69" s="20">
        <v>4120</v>
      </c>
      <c r="G69" s="20">
        <v>2940</v>
      </c>
      <c r="H69" s="20">
        <v>3680</v>
      </c>
      <c r="I69" s="20">
        <v>3150</v>
      </c>
      <c r="J69" s="20">
        <v>3280</v>
      </c>
      <c r="K69" s="20">
        <v>4130</v>
      </c>
      <c r="L69" s="20">
        <f>3180+460</f>
        <v>3640</v>
      </c>
      <c r="M69" s="20">
        <v>3820</v>
      </c>
      <c r="N69" s="75">
        <f>SUM(B69:M69)</f>
        <v>42920</v>
      </c>
      <c r="P69" s="20">
        <f t="shared" si="18"/>
        <v>3576.6666666666665</v>
      </c>
      <c r="T69" t="s">
        <v>46</v>
      </c>
      <c r="U69" s="20">
        <v>2000</v>
      </c>
      <c r="V69" s="20">
        <v>886</v>
      </c>
      <c r="W69" s="20">
        <f>999+908.8+899.6+951</f>
        <v>3758.4</v>
      </c>
      <c r="X69" s="20">
        <f>587.85+567.43</f>
        <v>1155.28</v>
      </c>
      <c r="Y69" s="20">
        <v>556.59</v>
      </c>
      <c r="Z69" s="20">
        <v>0</v>
      </c>
      <c r="AA69" s="20"/>
      <c r="AB69" s="20"/>
      <c r="AC69" s="20"/>
      <c r="AF69" s="20">
        <f t="shared" si="16"/>
        <v>8356.2699999999986</v>
      </c>
      <c r="AL69" s="20">
        <f>F143-AF69</f>
        <v>8898.5400000000027</v>
      </c>
    </row>
    <row r="70" spans="1:47" x14ac:dyDescent="0.25">
      <c r="A70" t="s">
        <v>108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2690</v>
      </c>
      <c r="H70" s="20">
        <v>3063</v>
      </c>
      <c r="I70" s="20">
        <v>3063</v>
      </c>
      <c r="J70" s="20">
        <v>4124</v>
      </c>
      <c r="K70" s="20">
        <v>3063</v>
      </c>
      <c r="L70" s="20">
        <v>3063</v>
      </c>
      <c r="M70" s="20">
        <v>4104</v>
      </c>
      <c r="N70" s="75">
        <f t="shared" ref="N70" si="19">SUM(B70:M70)</f>
        <v>23170</v>
      </c>
      <c r="P70" s="20">
        <f t="shared" si="18"/>
        <v>1930.8333333333333</v>
      </c>
      <c r="T70" t="s">
        <v>20</v>
      </c>
      <c r="U70" s="20">
        <v>1000</v>
      </c>
      <c r="V70" s="20">
        <f>1395+879.3</f>
        <v>2274.3000000000002</v>
      </c>
      <c r="W70" s="20">
        <f>492.3+898.2+531+498.7</f>
        <v>2420.1999999999998</v>
      </c>
      <c r="X70" s="20">
        <f>502.96</f>
        <v>502.96</v>
      </c>
      <c r="Y70" s="20">
        <v>556.59</v>
      </c>
      <c r="Z70" s="20">
        <v>0</v>
      </c>
      <c r="AA70" s="20">
        <f>550+550</f>
        <v>1100</v>
      </c>
      <c r="AB70" s="20"/>
      <c r="AC70" s="20"/>
      <c r="AF70" s="20">
        <f t="shared" si="16"/>
        <v>7854.05</v>
      </c>
      <c r="AL70" s="20">
        <f>G143-AF70</f>
        <v>8733.8100000000013</v>
      </c>
    </row>
    <row r="71" spans="1:47" x14ac:dyDescent="0.25">
      <c r="A71" s="74" t="s">
        <v>4</v>
      </c>
      <c r="B71" s="75">
        <f>SUM(B65:B70)</f>
        <v>3556.23</v>
      </c>
      <c r="C71" s="75">
        <f t="shared" ref="C71:M71" si="20">SUM(C65:C70)</f>
        <v>3231.49</v>
      </c>
      <c r="D71" s="75">
        <f t="shared" si="20"/>
        <v>4573.72</v>
      </c>
      <c r="E71" s="75">
        <f t="shared" si="20"/>
        <v>3892.38</v>
      </c>
      <c r="F71" s="75">
        <f t="shared" si="20"/>
        <v>5034.92</v>
      </c>
      <c r="G71" s="75">
        <f t="shared" si="20"/>
        <v>6066.6100000000006</v>
      </c>
      <c r="H71" s="75">
        <f t="shared" si="20"/>
        <v>6986.33</v>
      </c>
      <c r="I71" s="75">
        <f t="shared" si="20"/>
        <v>7150.91</v>
      </c>
      <c r="J71" s="75">
        <f t="shared" si="20"/>
        <v>7662.68</v>
      </c>
      <c r="K71" s="75">
        <f t="shared" si="20"/>
        <v>7627.64</v>
      </c>
      <c r="L71" s="75">
        <f t="shared" si="20"/>
        <v>7217.83</v>
      </c>
      <c r="M71" s="75">
        <f t="shared" si="20"/>
        <v>8662.36</v>
      </c>
      <c r="N71" s="75">
        <f>SUM(N65:N70)</f>
        <v>71663.100000000006</v>
      </c>
      <c r="P71" s="20">
        <f>AVERAGE(B71:M71)</f>
        <v>5971.9250000000002</v>
      </c>
      <c r="T71" t="s">
        <v>21</v>
      </c>
      <c r="U71" s="20">
        <v>1000</v>
      </c>
      <c r="V71" s="20">
        <f>1363.25+1069</f>
        <v>2432.25</v>
      </c>
      <c r="W71" s="20">
        <f>351.75+507.1+350.35+621.39+699.9+865.5+929</f>
        <v>4324.99</v>
      </c>
      <c r="X71" s="20">
        <v>0</v>
      </c>
      <c r="Y71" s="20">
        <f>556.59+469.47</f>
        <v>1026.06</v>
      </c>
      <c r="Z71" s="20">
        <v>0</v>
      </c>
      <c r="AA71" s="20">
        <f>550+550+550+550</f>
        <v>2200</v>
      </c>
      <c r="AB71" s="20"/>
      <c r="AC71" s="20"/>
      <c r="AF71" s="20">
        <f>SUM(U71:AA71)</f>
        <v>10983.3</v>
      </c>
      <c r="AH71" s="20"/>
      <c r="AL71" s="20">
        <f>H143-AF71</f>
        <v>8847.07</v>
      </c>
    </row>
    <row r="72" spans="1:47" x14ac:dyDescent="0.25">
      <c r="A72" s="74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P72" s="20"/>
      <c r="R72" s="20"/>
      <c r="T72" t="s">
        <v>22</v>
      </c>
      <c r="U72" s="20">
        <v>0</v>
      </c>
      <c r="V72" s="20">
        <f>1235.7</f>
        <v>1235.7</v>
      </c>
      <c r="W72" s="20">
        <f>980+1028+1039+434.4</f>
        <v>3481.4</v>
      </c>
      <c r="X72" s="20">
        <v>0</v>
      </c>
      <c r="Y72" s="20">
        <v>556.59</v>
      </c>
      <c r="Z72" s="20">
        <v>0</v>
      </c>
      <c r="AA72" s="20">
        <f>550+550</f>
        <v>1100</v>
      </c>
      <c r="AB72" s="20"/>
      <c r="AC72" s="20"/>
      <c r="AF72" s="20">
        <f t="shared" ref="AF72:AF76" si="21">SUM(U72:AA72)</f>
        <v>6373.6900000000005</v>
      </c>
      <c r="AL72" s="20">
        <f>I143-AF72</f>
        <v>10448.280000000001</v>
      </c>
      <c r="AQ72" s="73"/>
      <c r="AU72" s="73"/>
    </row>
    <row r="73" spans="1:47" x14ac:dyDescent="0.25">
      <c r="A73" s="74" t="s">
        <v>236</v>
      </c>
      <c r="B73" s="20">
        <f>B61+B71</f>
        <v>6516.08</v>
      </c>
      <c r="C73" s="20">
        <f t="shared" ref="C73:J73" si="22">C61+C71</f>
        <v>6191.34</v>
      </c>
      <c r="D73" s="20">
        <f t="shared" si="22"/>
        <v>7414.8</v>
      </c>
      <c r="E73" s="20">
        <f t="shared" si="22"/>
        <v>6852.23</v>
      </c>
      <c r="F73" s="20">
        <f t="shared" si="22"/>
        <v>7993.92</v>
      </c>
      <c r="G73" s="20">
        <f>G61+G71</f>
        <v>9986.08</v>
      </c>
      <c r="H73" s="20">
        <f t="shared" si="22"/>
        <v>9945.33</v>
      </c>
      <c r="I73" s="20">
        <f t="shared" si="22"/>
        <v>10110.76</v>
      </c>
      <c r="J73" s="20">
        <f t="shared" si="22"/>
        <v>10622.53</v>
      </c>
      <c r="K73" s="20">
        <f>K61+K71</f>
        <v>13078.94</v>
      </c>
      <c r="L73" s="20">
        <f>L61+L71</f>
        <v>10177.68</v>
      </c>
      <c r="M73" s="20">
        <f t="shared" ref="M73" si="23">M61+M71</f>
        <v>12121.94</v>
      </c>
      <c r="N73" s="75">
        <f t="shared" ref="N73:N74" si="24">SUM(B73:M73)</f>
        <v>111011.63</v>
      </c>
      <c r="P73" s="20">
        <f>AVERAGE(B73:M73)</f>
        <v>9250.9691666666677</v>
      </c>
      <c r="R73" s="20"/>
      <c r="T73" t="s">
        <v>23</v>
      </c>
      <c r="U73" s="20">
        <f>1000+1000</f>
        <v>2000</v>
      </c>
      <c r="V73" s="20">
        <f>1030.4+623.7+137.1+886</f>
        <v>2677.2</v>
      </c>
      <c r="W73" s="20">
        <f>715+730.4+680.08+732.8+1018+805.1</f>
        <v>4681.38</v>
      </c>
      <c r="X73" s="20">
        <f>500.24+592.76</f>
        <v>1093</v>
      </c>
      <c r="Y73" s="20">
        <v>556.59</v>
      </c>
      <c r="Z73" s="20">
        <v>0</v>
      </c>
      <c r="AA73" s="20">
        <f>550+550+550+650+650+650</f>
        <v>3600</v>
      </c>
      <c r="AB73" s="20"/>
      <c r="AC73" s="20"/>
      <c r="AF73" s="20">
        <f t="shared" si="21"/>
        <v>14608.17</v>
      </c>
      <c r="AL73" s="20">
        <f>J143-AF73</f>
        <v>6460.8199999999979</v>
      </c>
      <c r="AQ73" s="73"/>
      <c r="AU73" s="73"/>
    </row>
    <row r="74" spans="1:47" x14ac:dyDescent="0.25">
      <c r="A74" s="74" t="s">
        <v>235</v>
      </c>
      <c r="B74" s="20">
        <f>B59+B60+B71</f>
        <v>10861.47</v>
      </c>
      <c r="C74" s="20">
        <f t="shared" ref="C74:K74" si="25">C59+C60+C71</f>
        <v>11980.369999999999</v>
      </c>
      <c r="D74" s="20">
        <f t="shared" si="25"/>
        <v>10581.48</v>
      </c>
      <c r="E74" s="20">
        <f t="shared" si="25"/>
        <v>7563.48</v>
      </c>
      <c r="F74" s="20">
        <f t="shared" si="25"/>
        <v>13955.92</v>
      </c>
      <c r="G74" s="20">
        <f>G59+G60+G71</f>
        <v>9382.61</v>
      </c>
      <c r="H74" s="20">
        <f t="shared" si="25"/>
        <v>13860.66</v>
      </c>
      <c r="I74" s="20">
        <f t="shared" si="25"/>
        <v>14332.759999999998</v>
      </c>
      <c r="J74" s="20">
        <f t="shared" si="25"/>
        <v>12582.380000000001</v>
      </c>
      <c r="K74" s="20">
        <f t="shared" si="25"/>
        <v>11816.26</v>
      </c>
      <c r="L74" s="20">
        <f>L59+L60+L71</f>
        <v>13736.07</v>
      </c>
      <c r="M74" s="20">
        <f t="shared" ref="M74" si="26">M59+M60+M71</f>
        <v>13135.52</v>
      </c>
      <c r="N74" s="75">
        <f t="shared" si="24"/>
        <v>143788.97999999998</v>
      </c>
      <c r="P74" s="20">
        <f>AVERAGE(B74:M74)</f>
        <v>11982.414999999999</v>
      </c>
      <c r="R74" s="20"/>
      <c r="T74" t="s">
        <v>24</v>
      </c>
      <c r="U74" s="20">
        <v>1000</v>
      </c>
      <c r="V74" s="20">
        <f>1200</f>
        <v>1200</v>
      </c>
      <c r="W74" s="20">
        <f>599.2+1800+721.9</f>
        <v>3121.1</v>
      </c>
      <c r="X74" s="20">
        <f>585.28+583.24</f>
        <v>1168.52</v>
      </c>
      <c r="Y74" s="20">
        <v>556.59</v>
      </c>
      <c r="Z74" s="20">
        <v>0</v>
      </c>
      <c r="AA74" s="20">
        <v>0</v>
      </c>
      <c r="AB74" s="20"/>
      <c r="AC74" s="20"/>
      <c r="AF74" s="20">
        <f t="shared" si="21"/>
        <v>7046.2100000000009</v>
      </c>
      <c r="AL74" s="20">
        <f>K143-AF74</f>
        <v>10085.929999999998</v>
      </c>
      <c r="AQ74" s="73"/>
      <c r="AU74" s="73"/>
    </row>
    <row r="75" spans="1:47" x14ac:dyDescent="0.25">
      <c r="A75" s="74" t="s">
        <v>237</v>
      </c>
      <c r="B75" s="43">
        <f>B62+B71</f>
        <v>13821.32</v>
      </c>
      <c r="C75" s="43">
        <f t="shared" ref="C75:L75" si="27">C62+C71</f>
        <v>14940.22</v>
      </c>
      <c r="D75" s="43">
        <f t="shared" si="27"/>
        <v>13422.560000000001</v>
      </c>
      <c r="E75" s="43">
        <f t="shared" si="27"/>
        <v>10523.33</v>
      </c>
      <c r="F75" s="43">
        <f t="shared" si="27"/>
        <v>16914.919999999998</v>
      </c>
      <c r="G75" s="43">
        <f t="shared" si="27"/>
        <v>13302.08</v>
      </c>
      <c r="H75" s="43">
        <f t="shared" si="27"/>
        <v>16819.66</v>
      </c>
      <c r="I75" s="43">
        <f t="shared" si="27"/>
        <v>17292.61</v>
      </c>
      <c r="J75" s="43">
        <f t="shared" si="27"/>
        <v>15542.23</v>
      </c>
      <c r="K75" s="43">
        <f t="shared" si="27"/>
        <v>17267.560000000001</v>
      </c>
      <c r="L75" s="43">
        <f t="shared" si="27"/>
        <v>16695.919999999998</v>
      </c>
      <c r="M75" s="43">
        <f>M62+M71</f>
        <v>16595.099999999999</v>
      </c>
      <c r="N75" s="75">
        <f>SUM(B75:M75)</f>
        <v>183137.51000000004</v>
      </c>
      <c r="P75" s="20">
        <f>AVERAGE(B75:M75)</f>
        <v>15261.459166666669</v>
      </c>
      <c r="R75" s="20"/>
      <c r="T75" t="s">
        <v>25</v>
      </c>
      <c r="U75" s="20">
        <v>0</v>
      </c>
      <c r="V75" s="20">
        <v>0</v>
      </c>
      <c r="W75" s="20">
        <f>845.9+599.4+1001.5+1006+1030</f>
        <v>4482.8</v>
      </c>
      <c r="X75" s="20">
        <v>0</v>
      </c>
      <c r="Y75" s="20">
        <v>556.59</v>
      </c>
      <c r="Z75" s="20">
        <v>0</v>
      </c>
      <c r="AA75" s="20">
        <v>550</v>
      </c>
      <c r="AB75" s="20"/>
      <c r="AC75" s="20"/>
      <c r="AF75" s="20">
        <f t="shared" si="21"/>
        <v>5589.39</v>
      </c>
      <c r="AL75" s="20">
        <f>L143-AF75</f>
        <v>10338.620000000003</v>
      </c>
      <c r="AQ75" s="73"/>
      <c r="AU75" s="73"/>
    </row>
    <row r="76" spans="1:47" x14ac:dyDescent="0.25">
      <c r="A76" s="74" t="s">
        <v>250</v>
      </c>
      <c r="B76" s="20">
        <f>SUM(B65:B68)</f>
        <v>156.22999999999999</v>
      </c>
      <c r="C76" s="20">
        <f t="shared" ref="C76:M76" si="28">SUM(C65:C68)</f>
        <v>331.49</v>
      </c>
      <c r="D76" s="20">
        <f t="shared" si="28"/>
        <v>443.71999999999997</v>
      </c>
      <c r="E76" s="20">
        <f t="shared" si="28"/>
        <v>162.38</v>
      </c>
      <c r="F76" s="20">
        <f t="shared" si="28"/>
        <v>914.92000000000007</v>
      </c>
      <c r="G76" s="20">
        <f t="shared" si="28"/>
        <v>436.61</v>
      </c>
      <c r="H76" s="20">
        <f t="shared" si="28"/>
        <v>243.32999999999998</v>
      </c>
      <c r="I76" s="20">
        <f t="shared" si="28"/>
        <v>937.91000000000008</v>
      </c>
      <c r="J76" s="20">
        <f t="shared" si="28"/>
        <v>258.68</v>
      </c>
      <c r="K76" s="20">
        <f t="shared" si="28"/>
        <v>434.64</v>
      </c>
      <c r="L76" s="20">
        <f t="shared" si="28"/>
        <v>514.83000000000004</v>
      </c>
      <c r="M76" s="20">
        <f t="shared" si="28"/>
        <v>738.36</v>
      </c>
      <c r="N76" s="75">
        <f>SUM(N65:N68)</f>
        <v>5573.0999999999995</v>
      </c>
      <c r="P76" s="20">
        <f>AVERAGE(B76:M76)</f>
        <v>464.42499999999995</v>
      </c>
      <c r="T76" t="s">
        <v>26</v>
      </c>
      <c r="U76" s="20">
        <v>1000</v>
      </c>
      <c r="V76" s="20">
        <f>1070+1251.6</f>
        <v>2321.6</v>
      </c>
      <c r="W76" s="20">
        <f>777+628.5+921.6+802+594.6+816+807</f>
        <v>5346.7</v>
      </c>
      <c r="X76" s="20">
        <v>0</v>
      </c>
      <c r="Y76" s="20">
        <v>568.13</v>
      </c>
      <c r="Z76" s="20">
        <v>0</v>
      </c>
      <c r="AA76" s="20">
        <f>550+550+550+550+550</f>
        <v>2750</v>
      </c>
      <c r="AB76" s="20"/>
      <c r="AC76" s="20"/>
      <c r="AF76" s="20">
        <f t="shared" si="21"/>
        <v>11986.429999999998</v>
      </c>
      <c r="AL76" s="20">
        <f>M143-AF76</f>
        <v>9282.350000000004</v>
      </c>
      <c r="AQ76" s="73"/>
      <c r="AU76" s="73"/>
    </row>
    <row r="77" spans="1:47" x14ac:dyDescent="0.25">
      <c r="A77" s="74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P77" s="20"/>
      <c r="T77" s="74" t="s">
        <v>47</v>
      </c>
      <c r="U77" s="75">
        <f>SUM(U65:U76)</f>
        <v>16000</v>
      </c>
      <c r="V77" s="75">
        <f t="shared" ref="V77:Y77" si="29">SUM(V65:V76)</f>
        <v>26346.01</v>
      </c>
      <c r="W77" s="75">
        <f t="shared" si="29"/>
        <v>53584.2</v>
      </c>
      <c r="X77" s="75">
        <f t="shared" si="29"/>
        <v>7507.51</v>
      </c>
      <c r="Y77" s="75">
        <f t="shared" si="29"/>
        <v>7629.5600000000013</v>
      </c>
      <c r="Z77" s="75">
        <f>SUM(Z65:Z76)</f>
        <v>0</v>
      </c>
      <c r="AA77" s="75">
        <f>SUM(AA65:AA76)</f>
        <v>11300</v>
      </c>
      <c r="AB77" s="75"/>
      <c r="AC77" s="75"/>
      <c r="AD77" s="75"/>
      <c r="AE77" s="75"/>
      <c r="AF77" s="75">
        <f>SUM(AF65:AF76)</f>
        <v>122367.28</v>
      </c>
      <c r="AH77" s="20"/>
      <c r="AJ77" s="20">
        <f>AVERAGE(AF65:AF76)</f>
        <v>10197.273333333333</v>
      </c>
      <c r="AL77" s="20">
        <f>N143-AF77</f>
        <v>102049.53000000003</v>
      </c>
    </row>
    <row r="78" spans="1:47" x14ac:dyDescent="0.25">
      <c r="A78" s="74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</row>
    <row r="79" spans="1:47" x14ac:dyDescent="0.25">
      <c r="A79" s="91" t="s">
        <v>178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P79" s="20"/>
    </row>
    <row r="80" spans="1:47" x14ac:dyDescent="0.25">
      <c r="A80" s="83" t="s">
        <v>228</v>
      </c>
      <c r="B80" s="84" t="s">
        <v>42</v>
      </c>
      <c r="C80" s="84" t="s">
        <v>43</v>
      </c>
      <c r="D80" s="84" t="s">
        <v>44</v>
      </c>
      <c r="E80" s="84" t="s">
        <v>45</v>
      </c>
      <c r="F80" s="84" t="s">
        <v>46</v>
      </c>
      <c r="G80" s="84" t="s">
        <v>20</v>
      </c>
      <c r="H80" s="84" t="s">
        <v>21</v>
      </c>
      <c r="I80" s="84" t="s">
        <v>22</v>
      </c>
      <c r="J80" s="84" t="s">
        <v>23</v>
      </c>
      <c r="K80" s="84" t="s">
        <v>24</v>
      </c>
      <c r="L80" s="84" t="s">
        <v>25</v>
      </c>
      <c r="M80" s="84" t="s">
        <v>26</v>
      </c>
      <c r="N80" s="84" t="s">
        <v>47</v>
      </c>
      <c r="P80" s="84" t="s">
        <v>225</v>
      </c>
      <c r="T80" s="180" t="s">
        <v>523</v>
      </c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I80" s="73"/>
    </row>
    <row r="81" spans="1:48" x14ac:dyDescent="0.25">
      <c r="A81" t="s">
        <v>107</v>
      </c>
      <c r="B81" s="20">
        <v>7574.7</v>
      </c>
      <c r="C81" s="20">
        <f>3761+7161.67</f>
        <v>10922.67</v>
      </c>
      <c r="D81" s="20">
        <f>3761+2649.24</f>
        <v>6410.24</v>
      </c>
      <c r="E81" s="20">
        <f>3761</f>
        <v>3761</v>
      </c>
      <c r="F81" s="20">
        <f>3374.08+5436.9</f>
        <v>8810.98</v>
      </c>
      <c r="G81" s="20">
        <v>2137.77</v>
      </c>
      <c r="H81" s="20">
        <v>5666.73</v>
      </c>
      <c r="I81" s="20">
        <f>1686.69+2137.76</f>
        <v>3824.4500000000003</v>
      </c>
      <c r="J81" s="20">
        <f>1983.74+3453.81</f>
        <v>5437.55</v>
      </c>
      <c r="K81" s="20">
        <v>3537.26</v>
      </c>
      <c r="L81" s="20">
        <v>3516.47</v>
      </c>
      <c r="M81" s="20">
        <f>2106.98+3516.47</f>
        <v>5623.45</v>
      </c>
      <c r="N81" s="75">
        <f>SUM(B81:M81)</f>
        <v>67223.27</v>
      </c>
      <c r="P81" s="20">
        <f>AVERAGE(B81:M81)</f>
        <v>5601.939166666667</v>
      </c>
      <c r="T81" s="137" t="s">
        <v>97</v>
      </c>
      <c r="U81" s="77" t="s">
        <v>98</v>
      </c>
      <c r="V81" s="77" t="s">
        <v>99</v>
      </c>
      <c r="W81" s="77" t="s">
        <v>162</v>
      </c>
      <c r="X81" s="77" t="s">
        <v>100</v>
      </c>
      <c r="Y81" s="77" t="s">
        <v>185</v>
      </c>
      <c r="Z81" s="77" t="s">
        <v>268</v>
      </c>
      <c r="AA81" s="77" t="s">
        <v>458</v>
      </c>
      <c r="AB81" s="77" t="s">
        <v>104</v>
      </c>
      <c r="AC81" s="77" t="s">
        <v>105</v>
      </c>
      <c r="AD81" s="89" t="s">
        <v>174</v>
      </c>
      <c r="AE81" s="89" t="s">
        <v>287</v>
      </c>
      <c r="AF81" s="77" t="s">
        <v>4</v>
      </c>
      <c r="AI81" s="73"/>
    </row>
    <row r="82" spans="1:48" x14ac:dyDescent="0.25">
      <c r="A82" t="s">
        <v>109</v>
      </c>
      <c r="B82" s="20">
        <v>423.87</v>
      </c>
      <c r="C82" s="20">
        <v>847.75</v>
      </c>
      <c r="D82" s="20">
        <v>423.87</v>
      </c>
      <c r="E82" s="20">
        <v>635.80999999999995</v>
      </c>
      <c r="F82" s="20">
        <v>423.87</v>
      </c>
      <c r="G82" s="20">
        <v>565.16999999999996</v>
      </c>
      <c r="H82" s="20">
        <v>423.87</v>
      </c>
      <c r="I82" s="20">
        <v>847.75</v>
      </c>
      <c r="J82" s="20">
        <v>423.87</v>
      </c>
      <c r="K82" s="20">
        <v>445.06</v>
      </c>
      <c r="L82" s="20">
        <v>445.06</v>
      </c>
      <c r="M82" s="20">
        <v>447.57</v>
      </c>
      <c r="N82" s="75">
        <f>SUM(B82:M82)</f>
        <v>6353.5199999999995</v>
      </c>
      <c r="P82" s="20">
        <f>AVERAGE(B82:M82)</f>
        <v>529.45999999999992</v>
      </c>
      <c r="R82" s="67"/>
      <c r="T82" t="s">
        <v>42</v>
      </c>
      <c r="U82" s="20">
        <v>0</v>
      </c>
      <c r="V82" s="20">
        <f>1575.75+1565.62</f>
        <v>3141.37</v>
      </c>
      <c r="W82" s="20">
        <f>1034.9</f>
        <v>1034.9000000000001</v>
      </c>
      <c r="X82" s="20">
        <v>0</v>
      </c>
      <c r="Y82" s="20">
        <f>Y76</f>
        <v>568.13</v>
      </c>
      <c r="Z82" s="20">
        <v>0</v>
      </c>
      <c r="AA82" s="20">
        <v>550</v>
      </c>
      <c r="AB82" s="20"/>
      <c r="AC82" s="20"/>
      <c r="AF82" s="20">
        <f>SUM(U82:AA82)</f>
        <v>5294.4000000000005</v>
      </c>
      <c r="AK82" s="74"/>
    </row>
    <row r="83" spans="1:48" x14ac:dyDescent="0.25">
      <c r="A83" t="s">
        <v>110</v>
      </c>
      <c r="B83" s="20">
        <v>2959.85</v>
      </c>
      <c r="C83" s="20">
        <v>3381.08</v>
      </c>
      <c r="D83" s="20">
        <f>3073.43</f>
        <v>3073.43</v>
      </c>
      <c r="E83" s="20">
        <f>93.36+3137.5</f>
        <v>3230.86</v>
      </c>
      <c r="F83" s="20">
        <f>93.36+4143.5</f>
        <v>4236.8599999999997</v>
      </c>
      <c r="G83" s="20">
        <v>3138.43</v>
      </c>
      <c r="H83" s="20">
        <v>3138.43</v>
      </c>
      <c r="I83" s="20">
        <f>380.58+3137.5</f>
        <v>3518.08</v>
      </c>
      <c r="J83" s="20">
        <f>3141.3</f>
        <v>3141.3</v>
      </c>
      <c r="K83" s="20">
        <v>3660.19</v>
      </c>
      <c r="L83" s="20">
        <f>380.58+3227.38</f>
        <v>3607.96</v>
      </c>
      <c r="M83" s="20">
        <v>3563.26</v>
      </c>
      <c r="N83" s="75">
        <f>SUM(B83:M83)</f>
        <v>40649.730000000003</v>
      </c>
      <c r="P83" s="20">
        <f>AVERAGE(B83:M83)</f>
        <v>3387.4775000000004</v>
      </c>
      <c r="T83" t="s">
        <v>43</v>
      </c>
      <c r="U83" s="20">
        <v>0</v>
      </c>
      <c r="V83" s="20">
        <f>247.48+1329.5+1477+1441+2821</f>
        <v>7315.98</v>
      </c>
      <c r="W83" s="20">
        <f>631.5+799+1034.9+858+804.5+1028+788</f>
        <v>5943.9</v>
      </c>
      <c r="X83" s="20">
        <v>0</v>
      </c>
      <c r="Y83" s="20">
        <v>0</v>
      </c>
      <c r="Z83" s="20">
        <v>0</v>
      </c>
      <c r="AA83" s="20">
        <f>550+550+550</f>
        <v>1650</v>
      </c>
      <c r="AB83" s="20"/>
      <c r="AC83" s="20"/>
      <c r="AF83" s="20">
        <f t="shared" ref="AF83:AF87" si="30">SUM(U83:AA83)</f>
        <v>14909.88</v>
      </c>
    </row>
    <row r="84" spans="1:48" x14ac:dyDescent="0.25">
      <c r="A84" s="74" t="s">
        <v>4</v>
      </c>
      <c r="B84" s="75">
        <f t="shared" ref="B84:N84" si="31">SUM(B81:B83)</f>
        <v>10958.42</v>
      </c>
      <c r="C84" s="75">
        <f t="shared" si="31"/>
        <v>15151.5</v>
      </c>
      <c r="D84" s="75">
        <f t="shared" si="31"/>
        <v>9907.5399999999991</v>
      </c>
      <c r="E84" s="75">
        <f t="shared" si="31"/>
        <v>7627.67</v>
      </c>
      <c r="F84" s="75">
        <f t="shared" si="31"/>
        <v>13471.71</v>
      </c>
      <c r="G84" s="75">
        <f t="shared" si="31"/>
        <v>5841.37</v>
      </c>
      <c r="H84" s="75">
        <f t="shared" si="31"/>
        <v>9229.0299999999988</v>
      </c>
      <c r="I84" s="75">
        <f t="shared" si="31"/>
        <v>8190.2800000000007</v>
      </c>
      <c r="J84" s="75">
        <f t="shared" si="31"/>
        <v>9002.7200000000012</v>
      </c>
      <c r="K84" s="75">
        <f t="shared" si="31"/>
        <v>7642.51</v>
      </c>
      <c r="L84" s="75">
        <f t="shared" si="31"/>
        <v>7569.49</v>
      </c>
      <c r="M84" s="75">
        <f t="shared" si="31"/>
        <v>9634.2799999999988</v>
      </c>
      <c r="N84" s="75">
        <f t="shared" si="31"/>
        <v>114226.52000000002</v>
      </c>
      <c r="P84" s="20">
        <f>AVERAGE(B84:M84)</f>
        <v>9518.8766666666652</v>
      </c>
      <c r="R84" s="20"/>
      <c r="T84" t="s">
        <v>44</v>
      </c>
      <c r="U84" s="20">
        <v>0</v>
      </c>
      <c r="V84" s="20">
        <f>2526+1828.2+950+1197+910</f>
        <v>7411.2</v>
      </c>
      <c r="W84" s="20">
        <f>592.8+906.2+608.3+2030</f>
        <v>4137.3</v>
      </c>
      <c r="X84" s="20">
        <f>1090.85+538.37</f>
        <v>1629.2199999999998</v>
      </c>
      <c r="Y84" s="20">
        <v>0</v>
      </c>
      <c r="Z84" s="20">
        <v>0</v>
      </c>
      <c r="AA84" s="20">
        <v>550</v>
      </c>
      <c r="AB84" s="20"/>
      <c r="AC84" s="20"/>
      <c r="AF84" s="20">
        <f t="shared" si="30"/>
        <v>13727.72</v>
      </c>
    </row>
    <row r="85" spans="1:48" x14ac:dyDescent="0.25">
      <c r="T85" t="s">
        <v>45</v>
      </c>
      <c r="U85" s="20"/>
      <c r="V85" s="20">
        <f>945</f>
        <v>945</v>
      </c>
      <c r="W85" s="20">
        <f>584.5+858.2</f>
        <v>1442.7</v>
      </c>
      <c r="X85" s="20">
        <f>636.41</f>
        <v>636.41</v>
      </c>
      <c r="Y85" s="20">
        <v>0</v>
      </c>
      <c r="Z85" s="20">
        <v>0</v>
      </c>
      <c r="AA85" s="20"/>
      <c r="AB85" s="20"/>
      <c r="AC85" s="20"/>
      <c r="AF85" s="20">
        <f t="shared" si="30"/>
        <v>3024.1099999999997</v>
      </c>
      <c r="AK85" s="74"/>
      <c r="AO85" s="74"/>
      <c r="AS85" s="74"/>
    </row>
    <row r="86" spans="1:48" x14ac:dyDescent="0.25">
      <c r="A86" s="83" t="s">
        <v>163</v>
      </c>
      <c r="B86" s="84" t="s">
        <v>42</v>
      </c>
      <c r="C86" s="84" t="s">
        <v>43</v>
      </c>
      <c r="D86" s="84" t="s">
        <v>44</v>
      </c>
      <c r="E86" s="84" t="s">
        <v>45</v>
      </c>
      <c r="F86" s="84" t="s">
        <v>46</v>
      </c>
      <c r="G86" s="84" t="s">
        <v>20</v>
      </c>
      <c r="H86" s="84" t="s">
        <v>21</v>
      </c>
      <c r="I86" s="84" t="s">
        <v>22</v>
      </c>
      <c r="J86" s="84" t="s">
        <v>23</v>
      </c>
      <c r="K86" s="84" t="s">
        <v>24</v>
      </c>
      <c r="L86" s="84" t="s">
        <v>25</v>
      </c>
      <c r="M86" s="84" t="s">
        <v>26</v>
      </c>
      <c r="N86" s="84" t="s">
        <v>47</v>
      </c>
      <c r="P86" s="84" t="s">
        <v>225</v>
      </c>
      <c r="R86" s="20"/>
      <c r="T86" t="s">
        <v>46</v>
      </c>
      <c r="U86" s="20"/>
      <c r="V86" s="20"/>
      <c r="W86" s="20"/>
      <c r="X86" s="20"/>
      <c r="Y86" s="20"/>
      <c r="Z86" s="20"/>
      <c r="AA86" s="20"/>
      <c r="AB86" s="20"/>
      <c r="AC86" s="20"/>
      <c r="AF86" s="20">
        <f t="shared" si="30"/>
        <v>0</v>
      </c>
      <c r="AM86" s="73"/>
      <c r="AQ86" s="73"/>
      <c r="AU86" s="73"/>
    </row>
    <row r="87" spans="1:48" x14ac:dyDescent="0.25">
      <c r="A87" t="s">
        <v>167</v>
      </c>
      <c r="B87" s="20">
        <v>159.54</v>
      </c>
      <c r="C87" s="20">
        <v>102.05</v>
      </c>
      <c r="D87" s="20">
        <v>67.77</v>
      </c>
      <c r="E87" s="20">
        <v>66.2</v>
      </c>
      <c r="F87" s="20">
        <v>83.56</v>
      </c>
      <c r="G87" s="20">
        <v>106.4</v>
      </c>
      <c r="H87" s="20">
        <v>115.86</v>
      </c>
      <c r="I87" s="20">
        <v>129.11000000000001</v>
      </c>
      <c r="J87" s="20">
        <v>109.05</v>
      </c>
      <c r="K87" s="20">
        <v>127.08</v>
      </c>
      <c r="L87" s="20">
        <v>116.16</v>
      </c>
      <c r="M87" s="20">
        <v>25.82</v>
      </c>
      <c r="N87" s="75">
        <f t="shared" ref="N87:N92" si="32">SUM(B87:M87)</f>
        <v>1208.5999999999999</v>
      </c>
      <c r="P87" s="20">
        <f t="shared" ref="P87:P91" si="33">AVERAGE(B87:M87)</f>
        <v>100.71666666666665</v>
      </c>
      <c r="R87" s="20"/>
      <c r="T87" t="s">
        <v>20</v>
      </c>
      <c r="U87" s="20"/>
      <c r="V87" s="20"/>
      <c r="W87" s="20"/>
      <c r="X87" s="20"/>
      <c r="Y87" s="20"/>
      <c r="Z87" s="20"/>
      <c r="AA87" s="20"/>
      <c r="AB87" s="20"/>
      <c r="AC87" s="20"/>
      <c r="AF87" s="20">
        <f t="shared" si="30"/>
        <v>0</v>
      </c>
      <c r="AM87" s="73"/>
      <c r="AQ87" s="73"/>
      <c r="AU87" s="73"/>
    </row>
    <row r="88" spans="1:48" x14ac:dyDescent="0.25">
      <c r="A88" t="s">
        <v>159</v>
      </c>
      <c r="B88" s="20">
        <v>0</v>
      </c>
      <c r="C88" s="20">
        <v>354.23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397.23</v>
      </c>
      <c r="J88" s="20">
        <v>0</v>
      </c>
      <c r="K88" s="20">
        <v>0</v>
      </c>
      <c r="L88" s="20">
        <v>0</v>
      </c>
      <c r="M88" s="20">
        <v>0</v>
      </c>
      <c r="N88" s="75">
        <f t="shared" si="32"/>
        <v>751.46</v>
      </c>
      <c r="P88" s="20">
        <f t="shared" si="33"/>
        <v>62.62166666666667</v>
      </c>
      <c r="R88" s="20"/>
      <c r="T88" t="s">
        <v>21</v>
      </c>
      <c r="U88" s="20"/>
      <c r="V88" s="20"/>
      <c r="W88" s="20"/>
      <c r="X88" s="20"/>
      <c r="Y88" s="20"/>
      <c r="Z88" s="20"/>
      <c r="AA88" s="20"/>
      <c r="AB88" s="20"/>
      <c r="AC88" s="20"/>
      <c r="AF88" s="20">
        <f>SUM(U88:AA88)</f>
        <v>0</v>
      </c>
      <c r="AH88" s="20"/>
    </row>
    <row r="89" spans="1:48" x14ac:dyDescent="0.25">
      <c r="A89" t="s">
        <v>165</v>
      </c>
      <c r="B89" s="20">
        <f>24.4+183.18</f>
        <v>207.58</v>
      </c>
      <c r="C89" s="20">
        <f>185.62+24.4</f>
        <v>210.02</v>
      </c>
      <c r="D89" s="20">
        <f>253.25+2.41</f>
        <v>255.66</v>
      </c>
      <c r="E89" s="20">
        <v>299.73</v>
      </c>
      <c r="F89" s="20">
        <v>307.13</v>
      </c>
      <c r="G89" s="20">
        <v>368.37</v>
      </c>
      <c r="H89" s="20">
        <v>399.14</v>
      </c>
      <c r="I89" s="20">
        <v>451.86</v>
      </c>
      <c r="J89" s="20">
        <v>498.75</v>
      </c>
      <c r="K89" s="20">
        <v>536.79999999999995</v>
      </c>
      <c r="L89" s="20">
        <v>584.16999999999996</v>
      </c>
      <c r="M89" s="20">
        <v>643.83000000000004</v>
      </c>
      <c r="N89" s="75">
        <f t="shared" si="32"/>
        <v>4763.04</v>
      </c>
      <c r="P89" s="20">
        <f t="shared" si="33"/>
        <v>396.92</v>
      </c>
      <c r="T89" t="s">
        <v>22</v>
      </c>
      <c r="U89" s="20"/>
      <c r="V89" s="20"/>
      <c r="W89" s="20"/>
      <c r="X89" s="20"/>
      <c r="Y89" s="20"/>
      <c r="Z89" s="20"/>
      <c r="AA89" s="20"/>
      <c r="AB89" s="20"/>
      <c r="AC89" s="20"/>
      <c r="AF89" s="20">
        <f t="shared" ref="AF89:AF93" si="34">SUM(U89:AA89)</f>
        <v>0</v>
      </c>
      <c r="AM89" s="73"/>
      <c r="AQ89" s="73"/>
      <c r="AU89" s="73"/>
    </row>
    <row r="90" spans="1:48" x14ac:dyDescent="0.25">
      <c r="A90" t="s">
        <v>14</v>
      </c>
      <c r="B90" s="20">
        <v>0</v>
      </c>
      <c r="C90" s="20">
        <v>243.02</v>
      </c>
      <c r="D90" s="20">
        <f>1175.42+6.95</f>
        <v>1182.3700000000001</v>
      </c>
      <c r="E90" s="20">
        <v>374.07</v>
      </c>
      <c r="F90" s="20">
        <v>938.24</v>
      </c>
      <c r="G90" s="20">
        <v>105.29</v>
      </c>
      <c r="H90" s="20">
        <v>34.119999999999997</v>
      </c>
      <c r="I90" s="41">
        <v>1085.92</v>
      </c>
      <c r="J90" s="20">
        <v>7.26</v>
      </c>
      <c r="K90" s="20">
        <v>35.61</v>
      </c>
      <c r="L90" s="20">
        <v>906.6</v>
      </c>
      <c r="M90" s="20">
        <v>316.23</v>
      </c>
      <c r="N90" s="75">
        <f t="shared" si="32"/>
        <v>5228.7299999999996</v>
      </c>
      <c r="P90" s="20">
        <f t="shared" si="33"/>
        <v>435.72749999999996</v>
      </c>
      <c r="R90" s="73"/>
      <c r="T90" t="s">
        <v>23</v>
      </c>
      <c r="U90" s="20"/>
      <c r="V90" s="20"/>
      <c r="W90" s="20"/>
      <c r="X90" s="20"/>
      <c r="Y90" s="20"/>
      <c r="Z90" s="20"/>
      <c r="AA90" s="20"/>
      <c r="AB90" s="20"/>
      <c r="AC90" s="20"/>
      <c r="AF90" s="20">
        <f t="shared" si="34"/>
        <v>0</v>
      </c>
      <c r="AM90" s="73"/>
      <c r="AQ90" s="73"/>
      <c r="AU90" s="73"/>
    </row>
    <row r="91" spans="1:48" x14ac:dyDescent="0.25">
      <c r="A91" t="s">
        <v>166</v>
      </c>
      <c r="B91" s="20">
        <v>3760</v>
      </c>
      <c r="C91" s="20">
        <v>2500</v>
      </c>
      <c r="D91" s="20">
        <v>3180</v>
      </c>
      <c r="E91" s="20">
        <v>3780</v>
      </c>
      <c r="F91" s="20">
        <f>2480+500+400+400</f>
        <v>3780</v>
      </c>
      <c r="G91" s="20">
        <v>4660</v>
      </c>
      <c r="H91" s="20">
        <f>400+400+400+400+500+480</f>
        <v>2580</v>
      </c>
      <c r="I91" s="20">
        <f>400+400+1200+400+500+450</f>
        <v>3350</v>
      </c>
      <c r="J91" s="20">
        <f>400+1200+480+400+400+500+400</f>
        <v>3780</v>
      </c>
      <c r="K91" s="20">
        <f>480+400+1200+400+400+500+400+480</f>
        <v>4260</v>
      </c>
      <c r="L91" s="20">
        <f>400+400+1200+500+310+300+90+480</f>
        <v>3680</v>
      </c>
      <c r="M91" s="20">
        <f>400+1200+400+330+70+500+380</f>
        <v>3280</v>
      </c>
      <c r="N91" s="75">
        <f t="shared" si="32"/>
        <v>42590</v>
      </c>
      <c r="P91" s="20">
        <f t="shared" si="33"/>
        <v>3549.1666666666665</v>
      </c>
      <c r="R91" s="20"/>
      <c r="T91" t="s">
        <v>24</v>
      </c>
      <c r="U91" s="20"/>
      <c r="V91" s="20"/>
      <c r="W91" s="20"/>
      <c r="X91" s="20"/>
      <c r="Y91" s="20"/>
      <c r="Z91" s="20"/>
      <c r="AA91" s="20"/>
      <c r="AB91" s="20"/>
      <c r="AC91" s="20"/>
      <c r="AF91" s="20">
        <f t="shared" si="34"/>
        <v>0</v>
      </c>
      <c r="AM91" s="73"/>
      <c r="AQ91" s="73"/>
      <c r="AU91" s="73"/>
    </row>
    <row r="92" spans="1:48" x14ac:dyDescent="0.25">
      <c r="A92" t="s">
        <v>108</v>
      </c>
      <c r="B92" s="20">
        <v>3063</v>
      </c>
      <c r="C92" s="20">
        <v>3090</v>
      </c>
      <c r="D92" s="20">
        <v>3090</v>
      </c>
      <c r="E92" s="20">
        <v>3090</v>
      </c>
      <c r="F92" s="20">
        <v>3090</v>
      </c>
      <c r="G92" s="20">
        <v>3090</v>
      </c>
      <c r="H92" s="20">
        <v>3090</v>
      </c>
      <c r="I92" s="20">
        <v>3090</v>
      </c>
      <c r="J92" s="20">
        <v>4698</v>
      </c>
      <c r="K92" s="20">
        <v>3090</v>
      </c>
      <c r="L92" s="20">
        <v>3090</v>
      </c>
      <c r="M92" s="20">
        <v>4560</v>
      </c>
      <c r="N92" s="75">
        <f t="shared" si="32"/>
        <v>40131</v>
      </c>
      <c r="P92" s="20">
        <f>AVERAGE(B92:M92)</f>
        <v>3344.25</v>
      </c>
      <c r="T92" t="s">
        <v>25</v>
      </c>
      <c r="U92" s="20"/>
      <c r="V92" s="20"/>
      <c r="W92" s="20"/>
      <c r="X92" s="20"/>
      <c r="Y92" s="20"/>
      <c r="Z92" s="20"/>
      <c r="AA92" s="20"/>
      <c r="AB92" s="20"/>
      <c r="AC92" s="20"/>
      <c r="AF92" s="20">
        <f t="shared" si="34"/>
        <v>0</v>
      </c>
      <c r="AM92" s="73"/>
      <c r="AQ92" s="73"/>
      <c r="AU92" s="73"/>
    </row>
    <row r="93" spans="1:48" x14ac:dyDescent="0.25">
      <c r="A93" s="74" t="s">
        <v>4</v>
      </c>
      <c r="B93" s="75">
        <f t="shared" ref="B93:N93" si="35">SUM(B87:B92)</f>
        <v>7190.12</v>
      </c>
      <c r="C93" s="75">
        <f t="shared" si="35"/>
        <v>6499.32</v>
      </c>
      <c r="D93" s="75">
        <f t="shared" si="35"/>
        <v>7775.8</v>
      </c>
      <c r="E93" s="75">
        <f t="shared" si="35"/>
        <v>7610</v>
      </c>
      <c r="F93" s="75">
        <f t="shared" si="35"/>
        <v>8198.93</v>
      </c>
      <c r="G93" s="75">
        <f t="shared" si="35"/>
        <v>8330.06</v>
      </c>
      <c r="H93" s="75">
        <f t="shared" si="35"/>
        <v>6219.12</v>
      </c>
      <c r="I93" s="75">
        <f t="shared" si="35"/>
        <v>8504.119999999999</v>
      </c>
      <c r="J93" s="75">
        <f t="shared" si="35"/>
        <v>9093.06</v>
      </c>
      <c r="K93" s="75">
        <f t="shared" si="35"/>
        <v>8049.49</v>
      </c>
      <c r="L93" s="75">
        <f t="shared" si="35"/>
        <v>8376.93</v>
      </c>
      <c r="M93" s="75">
        <f t="shared" si="35"/>
        <v>8825.880000000001</v>
      </c>
      <c r="N93" s="75">
        <f t="shared" si="35"/>
        <v>94672.83</v>
      </c>
      <c r="P93" s="20">
        <f>AVERAGE(B93:M93)</f>
        <v>7889.4025000000011</v>
      </c>
      <c r="Q93" s="73"/>
      <c r="T93" t="s">
        <v>26</v>
      </c>
      <c r="U93" s="20"/>
      <c r="V93" s="20"/>
      <c r="W93" s="20"/>
      <c r="X93" s="20"/>
      <c r="Y93" s="20"/>
      <c r="Z93" s="20"/>
      <c r="AA93" s="20"/>
      <c r="AB93" s="20"/>
      <c r="AC93" s="20"/>
      <c r="AF93" s="20">
        <f t="shared" si="34"/>
        <v>0</v>
      </c>
      <c r="AM93" s="73"/>
      <c r="AQ93" s="73"/>
      <c r="AU93" s="73"/>
    </row>
    <row r="94" spans="1:48" x14ac:dyDescent="0.25">
      <c r="R94" s="20"/>
      <c r="T94" s="74" t="s">
        <v>47</v>
      </c>
      <c r="U94" s="75">
        <f>SUM(U82:U93)</f>
        <v>0</v>
      </c>
      <c r="V94" s="75">
        <f t="shared" ref="V94:Y94" si="36">SUM(V82:V93)</f>
        <v>18813.55</v>
      </c>
      <c r="W94" s="75">
        <f t="shared" si="36"/>
        <v>12558.8</v>
      </c>
      <c r="X94" s="75">
        <f t="shared" si="36"/>
        <v>2265.6299999999997</v>
      </c>
      <c r="Y94" s="75">
        <f t="shared" si="36"/>
        <v>568.13</v>
      </c>
      <c r="Z94" s="75">
        <f>SUM(Z82:Z93)</f>
        <v>0</v>
      </c>
      <c r="AA94" s="75">
        <f>SUM(AA82:AA93)</f>
        <v>2750</v>
      </c>
      <c r="AB94" s="75"/>
      <c r="AC94" s="75"/>
      <c r="AD94" s="75"/>
      <c r="AE94" s="75"/>
      <c r="AF94" s="75">
        <f>SUM(AF82:AF93)</f>
        <v>36956.11</v>
      </c>
      <c r="AH94" s="20"/>
      <c r="AJ94" s="20">
        <f>AVERAGE(AF82:AF93)</f>
        <v>3079.6758333333332</v>
      </c>
    </row>
    <row r="95" spans="1:48" x14ac:dyDescent="0.25">
      <c r="A95" s="74" t="s">
        <v>236</v>
      </c>
      <c r="B95" s="20">
        <f t="shared" ref="B95:M95" si="37">B83+B93</f>
        <v>10149.969999999999</v>
      </c>
      <c r="C95" s="20">
        <f t="shared" si="37"/>
        <v>9880.4</v>
      </c>
      <c r="D95" s="20">
        <f t="shared" si="37"/>
        <v>10849.23</v>
      </c>
      <c r="E95" s="20">
        <f t="shared" si="37"/>
        <v>10840.86</v>
      </c>
      <c r="F95" s="20">
        <f t="shared" si="37"/>
        <v>12435.79</v>
      </c>
      <c r="G95" s="20">
        <f t="shared" si="37"/>
        <v>11468.49</v>
      </c>
      <c r="H95" s="20">
        <f t="shared" si="37"/>
        <v>9357.5499999999993</v>
      </c>
      <c r="I95" s="20">
        <f t="shared" si="37"/>
        <v>12022.199999999999</v>
      </c>
      <c r="J95" s="20">
        <f t="shared" si="37"/>
        <v>12234.36</v>
      </c>
      <c r="K95" s="20">
        <f t="shared" si="37"/>
        <v>11709.68</v>
      </c>
      <c r="L95" s="20">
        <f t="shared" si="37"/>
        <v>11984.89</v>
      </c>
      <c r="M95" s="20">
        <f t="shared" si="37"/>
        <v>12389.140000000001</v>
      </c>
      <c r="N95" s="75">
        <f>SUM(B95:M95)</f>
        <v>135322.56</v>
      </c>
      <c r="P95" s="20">
        <f>AVERAGE(B95:M95)</f>
        <v>11276.88</v>
      </c>
      <c r="R95" s="20"/>
      <c r="AS95" s="20"/>
      <c r="AV95" s="20"/>
    </row>
    <row r="96" spans="1:48" x14ac:dyDescent="0.25">
      <c r="A96" s="74" t="s">
        <v>235</v>
      </c>
      <c r="B96" s="20">
        <f t="shared" ref="B96:M96" si="38">B81+B82+B93</f>
        <v>15188.689999999999</v>
      </c>
      <c r="C96" s="20">
        <f t="shared" si="38"/>
        <v>18269.739999999998</v>
      </c>
      <c r="D96" s="20">
        <f t="shared" si="38"/>
        <v>14609.91</v>
      </c>
      <c r="E96" s="20">
        <f t="shared" si="38"/>
        <v>12006.81</v>
      </c>
      <c r="F96" s="20">
        <f t="shared" si="38"/>
        <v>17433.78</v>
      </c>
      <c r="G96" s="20">
        <f t="shared" si="38"/>
        <v>11033</v>
      </c>
      <c r="H96" s="20">
        <f t="shared" si="38"/>
        <v>12309.72</v>
      </c>
      <c r="I96" s="20">
        <f t="shared" si="38"/>
        <v>13176.32</v>
      </c>
      <c r="J96" s="20">
        <f t="shared" si="38"/>
        <v>14954.48</v>
      </c>
      <c r="K96" s="20">
        <f t="shared" si="38"/>
        <v>12031.81</v>
      </c>
      <c r="L96" s="20">
        <f t="shared" si="38"/>
        <v>12338.46</v>
      </c>
      <c r="M96" s="20">
        <f t="shared" si="38"/>
        <v>14896.900000000001</v>
      </c>
      <c r="N96" s="75">
        <f>SUM(B96:M96)</f>
        <v>168249.62</v>
      </c>
      <c r="P96" s="20">
        <f>AVERAGE(B96:M96)</f>
        <v>14020.801666666666</v>
      </c>
      <c r="R96" s="20"/>
      <c r="AH96" s="20"/>
      <c r="AS96" s="20"/>
      <c r="AV96" s="20"/>
    </row>
    <row r="97" spans="1:48" x14ac:dyDescent="0.25">
      <c r="A97" s="74" t="s">
        <v>237</v>
      </c>
      <c r="B97" s="43">
        <f t="shared" ref="B97:M97" si="39">B84+B93</f>
        <v>18148.54</v>
      </c>
      <c r="C97" s="43">
        <f t="shared" si="39"/>
        <v>21650.82</v>
      </c>
      <c r="D97" s="43">
        <f t="shared" si="39"/>
        <v>17683.34</v>
      </c>
      <c r="E97" s="43">
        <f t="shared" si="39"/>
        <v>15237.67</v>
      </c>
      <c r="F97" s="43">
        <f t="shared" si="39"/>
        <v>21670.639999999999</v>
      </c>
      <c r="G97" s="43">
        <f t="shared" si="39"/>
        <v>14171.43</v>
      </c>
      <c r="H97" s="43">
        <f t="shared" si="39"/>
        <v>15448.149999999998</v>
      </c>
      <c r="I97" s="43">
        <f t="shared" si="39"/>
        <v>16694.400000000001</v>
      </c>
      <c r="J97" s="43">
        <f t="shared" si="39"/>
        <v>18095.78</v>
      </c>
      <c r="K97" s="43">
        <f t="shared" si="39"/>
        <v>15692</v>
      </c>
      <c r="L97" s="43">
        <f t="shared" si="39"/>
        <v>15946.42</v>
      </c>
      <c r="M97" s="43">
        <f t="shared" si="39"/>
        <v>18460.16</v>
      </c>
      <c r="N97" s="75">
        <f>SUM(B97:M97)</f>
        <v>208899.35</v>
      </c>
      <c r="P97" s="20">
        <f>AVERAGE(B97:M97)</f>
        <v>17408.279166666667</v>
      </c>
      <c r="R97" s="20"/>
      <c r="AH97" s="20"/>
      <c r="AS97" s="20"/>
      <c r="AV97" s="20"/>
    </row>
    <row r="98" spans="1:48" x14ac:dyDescent="0.25">
      <c r="A98" s="74" t="s">
        <v>250</v>
      </c>
      <c r="B98" s="20">
        <f t="shared" ref="B98:L98" si="40">SUM(B87:B90)</f>
        <v>367.12</v>
      </c>
      <c r="C98" s="20">
        <f t="shared" si="40"/>
        <v>909.32</v>
      </c>
      <c r="D98" s="20">
        <f>SUM(D87:D90)</f>
        <v>1505.8000000000002</v>
      </c>
      <c r="E98" s="20">
        <f>SUM(E87:E90)</f>
        <v>740</v>
      </c>
      <c r="F98" s="20">
        <f>SUM(F87:F90)</f>
        <v>1328.93</v>
      </c>
      <c r="G98" s="20">
        <f>SUM(G87:G90)</f>
        <v>580.05999999999995</v>
      </c>
      <c r="H98" s="20">
        <f t="shared" si="40"/>
        <v>549.12</v>
      </c>
      <c r="I98" s="20">
        <f t="shared" si="40"/>
        <v>2064.12</v>
      </c>
      <c r="J98" s="20">
        <f t="shared" si="40"/>
        <v>615.05999999999995</v>
      </c>
      <c r="K98" s="20">
        <f t="shared" si="40"/>
        <v>699.49</v>
      </c>
      <c r="L98" s="20">
        <f t="shared" si="40"/>
        <v>1606.9299999999998</v>
      </c>
      <c r="M98" s="20">
        <f>SUM(M87:M90)</f>
        <v>985.88000000000011</v>
      </c>
      <c r="N98" s="75">
        <f>SUM(N87:N90)</f>
        <v>11951.83</v>
      </c>
      <c r="P98" s="20">
        <f>AVERAGE(B98:M98)</f>
        <v>995.98583333333318</v>
      </c>
      <c r="R98" s="20"/>
      <c r="T98" s="123" t="s">
        <v>11</v>
      </c>
      <c r="U98" s="124">
        <f>U9+U26+U43+U60+U77</f>
        <v>71000</v>
      </c>
      <c r="V98" s="124">
        <f>V9+V26+V43+V60+V77+V94</f>
        <v>156680.34</v>
      </c>
      <c r="W98" s="124">
        <f t="shared" ref="W98:Z98" si="41">W9+W26+W43+W60+W77+W94</f>
        <v>249917.56</v>
      </c>
      <c r="X98" s="124">
        <f t="shared" si="41"/>
        <v>33556.300000000003</v>
      </c>
      <c r="Y98" s="124">
        <f t="shared" si="41"/>
        <v>21174.620000000003</v>
      </c>
      <c r="Z98" s="124">
        <f t="shared" si="41"/>
        <v>2000</v>
      </c>
      <c r="AA98" s="124">
        <f>AA9+AA26+AA43+AA60+AA77+AA94</f>
        <v>14050</v>
      </c>
      <c r="AB98" s="20"/>
      <c r="AH98" s="20"/>
      <c r="AS98" s="20"/>
      <c r="AV98" s="20"/>
    </row>
    <row r="99" spans="1:48" x14ac:dyDescent="0.25">
      <c r="T99" s="123" t="s">
        <v>350</v>
      </c>
      <c r="U99" s="124"/>
      <c r="V99" s="124">
        <f>N68+N90+N112+N136+N160</f>
        <v>23357.79</v>
      </c>
      <c r="W99" s="124">
        <f>N67+N89+N111+N135+N159</f>
        <v>39720.29</v>
      </c>
      <c r="X99" s="124">
        <f>N66+N88+N110+N134+N158</f>
        <v>5272.3600000000006</v>
      </c>
      <c r="Y99" s="124"/>
      <c r="Z99" s="124"/>
      <c r="AA99" s="124"/>
      <c r="AB99" s="20"/>
      <c r="AH99" s="20"/>
      <c r="AK99" s="3"/>
      <c r="AS99" s="20"/>
      <c r="AV99" s="20"/>
    </row>
    <row r="100" spans="1:48" x14ac:dyDescent="0.25">
      <c r="R100" s="20"/>
      <c r="T100" s="123" t="s">
        <v>350</v>
      </c>
      <c r="U100" s="125"/>
      <c r="V100" s="125">
        <f>V99/V98</f>
        <v>0.14907926546495878</v>
      </c>
      <c r="W100" s="125">
        <f>W99/W98</f>
        <v>0.15893356993402144</v>
      </c>
      <c r="X100" s="125">
        <f>X99/X98</f>
        <v>0.15711982548731535</v>
      </c>
      <c r="Y100" s="125"/>
      <c r="Z100" s="125"/>
      <c r="AA100" s="125"/>
      <c r="AF100" s="20"/>
      <c r="AH100" s="20"/>
      <c r="AK100" s="3"/>
      <c r="AS100" s="20"/>
      <c r="AV100" s="20"/>
    </row>
    <row r="101" spans="1:48" x14ac:dyDescent="0.25">
      <c r="A101" s="91" t="s">
        <v>265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P101" s="20"/>
      <c r="AH101" s="20"/>
      <c r="AK101" s="3"/>
      <c r="AS101" s="20"/>
      <c r="AV101" s="20"/>
    </row>
    <row r="102" spans="1:48" x14ac:dyDescent="0.25">
      <c r="A102" s="83" t="s">
        <v>228</v>
      </c>
      <c r="B102" s="84" t="s">
        <v>42</v>
      </c>
      <c r="C102" s="84" t="s">
        <v>43</v>
      </c>
      <c r="D102" s="84" t="s">
        <v>44</v>
      </c>
      <c r="E102" s="84" t="s">
        <v>45</v>
      </c>
      <c r="F102" s="84" t="s">
        <v>46</v>
      </c>
      <c r="G102" s="84" t="s">
        <v>20</v>
      </c>
      <c r="H102" s="84" t="s">
        <v>21</v>
      </c>
      <c r="I102" s="84" t="s">
        <v>22</v>
      </c>
      <c r="J102" s="84" t="s">
        <v>23</v>
      </c>
      <c r="K102" s="84" t="s">
        <v>24</v>
      </c>
      <c r="L102" s="84" t="s">
        <v>25</v>
      </c>
      <c r="M102" s="84" t="s">
        <v>26</v>
      </c>
      <c r="N102" s="84" t="s">
        <v>47</v>
      </c>
      <c r="P102" s="84" t="s">
        <v>225</v>
      </c>
      <c r="AH102" s="20"/>
      <c r="AK102" s="3"/>
      <c r="AS102" s="20"/>
      <c r="AV102" s="20"/>
    </row>
    <row r="103" spans="1:48" x14ac:dyDescent="0.25">
      <c r="A103" t="s">
        <v>107</v>
      </c>
      <c r="B103" s="20">
        <v>7239.39</v>
      </c>
      <c r="C103" s="20">
        <f>3516.47+4537.23</f>
        <v>8053.6999999999989</v>
      </c>
      <c r="D103" s="20">
        <f>3516.47+2797.33</f>
        <v>6313.7999999999993</v>
      </c>
      <c r="E103" s="20">
        <v>3516.47</v>
      </c>
      <c r="F103" s="20">
        <v>3516.47</v>
      </c>
      <c r="G103" s="20">
        <v>3516.47</v>
      </c>
      <c r="H103" s="20">
        <v>7239.39</v>
      </c>
      <c r="I103" s="20">
        <v>3516.47</v>
      </c>
      <c r="J103" s="20">
        <f>5186.3+3577.47</f>
        <v>8763.77</v>
      </c>
      <c r="K103" s="20">
        <f>3665.01+8623.89</f>
        <v>12288.9</v>
      </c>
      <c r="L103" s="20">
        <f>2700.51</f>
        <v>2700.51</v>
      </c>
      <c r="M103" s="20">
        <f>2157.75+2515.35</f>
        <v>4673.1000000000004</v>
      </c>
      <c r="N103" s="75">
        <f>SUM(B103:M103)</f>
        <v>71338.440000000017</v>
      </c>
      <c r="P103" s="20">
        <f>AVERAGE(B103:M103)</f>
        <v>5944.8700000000017</v>
      </c>
      <c r="AH103" s="20"/>
      <c r="AK103" s="3"/>
      <c r="AS103" s="20"/>
      <c r="AV103" s="20"/>
    </row>
    <row r="104" spans="1:48" x14ac:dyDescent="0.25">
      <c r="A104" t="s">
        <v>109</v>
      </c>
      <c r="B104" s="20">
        <v>755.82</v>
      </c>
      <c r="C104" s="20">
        <v>895.14</v>
      </c>
      <c r="D104" s="20">
        <v>447.57</v>
      </c>
      <c r="E104" s="20">
        <v>671.35</v>
      </c>
      <c r="F104" s="20">
        <v>447.57</v>
      </c>
      <c r="G104" s="20">
        <v>447.57</v>
      </c>
      <c r="H104" s="20">
        <v>447.57</v>
      </c>
      <c r="I104" s="20">
        <v>895.14</v>
      </c>
      <c r="J104" s="20">
        <v>447.57</v>
      </c>
      <c r="K104" s="20">
        <v>466.85</v>
      </c>
      <c r="L104" s="20">
        <v>466.85</v>
      </c>
      <c r="M104" s="20">
        <v>625.96</v>
      </c>
      <c r="N104" s="75">
        <f>SUM(B104:M104)</f>
        <v>7014.9600000000009</v>
      </c>
      <c r="P104" s="20">
        <f>AVERAGE(B104:M104)</f>
        <v>584.58000000000004</v>
      </c>
      <c r="R104" s="20"/>
      <c r="T104" s="179" t="s">
        <v>177</v>
      </c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H104" s="20"/>
      <c r="AK104" s="3"/>
      <c r="AS104" s="20"/>
      <c r="AV104" s="20"/>
    </row>
    <row r="105" spans="1:48" x14ac:dyDescent="0.25">
      <c r="A105" t="s">
        <v>110</v>
      </c>
      <c r="B105" s="20">
        <v>3563.26</v>
      </c>
      <c r="C105" s="20">
        <f>389.15+3563.26</f>
        <v>3952.4100000000003</v>
      </c>
      <c r="D105" s="20">
        <f>389.15+3563.26</f>
        <v>3952.4100000000003</v>
      </c>
      <c r="E105" s="20">
        <f>389.15+4656.33</f>
        <v>5045.4799999999996</v>
      </c>
      <c r="F105" s="20">
        <f>389.15+3563.26</f>
        <v>3952.4100000000003</v>
      </c>
      <c r="G105" s="20">
        <f>389.15+3563.26</f>
        <v>3952.4100000000003</v>
      </c>
      <c r="H105" s="20">
        <f>389.15+3563.26</f>
        <v>3952.4100000000003</v>
      </c>
      <c r="I105" s="20">
        <v>3563.26</v>
      </c>
      <c r="J105" s="20">
        <v>3563.26</v>
      </c>
      <c r="K105" s="20">
        <v>4125.2299999999996</v>
      </c>
      <c r="L105" s="20">
        <v>3563.26</v>
      </c>
      <c r="M105" s="20">
        <f>3599.25+3563.26</f>
        <v>7162.51</v>
      </c>
      <c r="N105" s="75">
        <f>SUM(B105:M105)</f>
        <v>50348.31</v>
      </c>
      <c r="P105" s="20">
        <f>AVERAGE(B105:M105)</f>
        <v>4195.6925000000001</v>
      </c>
      <c r="R105" s="20"/>
      <c r="T105" s="137" t="s">
        <v>97</v>
      </c>
      <c r="U105" s="77" t="s">
        <v>98</v>
      </c>
      <c r="V105" s="77" t="s">
        <v>99</v>
      </c>
      <c r="W105" s="77" t="s">
        <v>162</v>
      </c>
      <c r="X105" s="77" t="s">
        <v>100</v>
      </c>
      <c r="Y105" s="77" t="s">
        <v>185</v>
      </c>
      <c r="Z105" s="77" t="s">
        <v>268</v>
      </c>
      <c r="AA105" s="77" t="s">
        <v>458</v>
      </c>
      <c r="AB105" s="77" t="s">
        <v>104</v>
      </c>
      <c r="AC105" s="77" t="s">
        <v>105</v>
      </c>
      <c r="AD105" s="89" t="s">
        <v>174</v>
      </c>
      <c r="AE105" s="89" t="s">
        <v>288</v>
      </c>
      <c r="AF105" s="77" t="s">
        <v>4</v>
      </c>
      <c r="AH105" s="20"/>
      <c r="AK105" s="3"/>
      <c r="AS105" s="20"/>
      <c r="AV105" s="20"/>
    </row>
    <row r="106" spans="1:48" x14ac:dyDescent="0.25">
      <c r="A106" s="74" t="s">
        <v>4</v>
      </c>
      <c r="B106" s="75">
        <f t="shared" ref="B106:N106" si="42">SUM(B103:B105)</f>
        <v>11558.470000000001</v>
      </c>
      <c r="C106" s="75">
        <f t="shared" si="42"/>
        <v>12901.249999999998</v>
      </c>
      <c r="D106" s="75">
        <f t="shared" si="42"/>
        <v>10713.779999999999</v>
      </c>
      <c r="E106" s="75">
        <f t="shared" si="42"/>
        <v>9233.2999999999993</v>
      </c>
      <c r="F106" s="75">
        <f t="shared" si="42"/>
        <v>7916.4500000000007</v>
      </c>
      <c r="G106" s="75">
        <f t="shared" si="42"/>
        <v>7916.4500000000007</v>
      </c>
      <c r="H106" s="75">
        <f t="shared" si="42"/>
        <v>11639.37</v>
      </c>
      <c r="I106" s="75">
        <f t="shared" si="42"/>
        <v>7974.87</v>
      </c>
      <c r="J106" s="75">
        <f>SUM(J103:J105)</f>
        <v>12774.6</v>
      </c>
      <c r="K106" s="75">
        <f t="shared" si="42"/>
        <v>16880.98</v>
      </c>
      <c r="L106" s="75">
        <f t="shared" si="42"/>
        <v>6730.6200000000008</v>
      </c>
      <c r="M106" s="75">
        <f t="shared" si="42"/>
        <v>12461.57</v>
      </c>
      <c r="N106" s="75">
        <f t="shared" si="42"/>
        <v>128701.71000000002</v>
      </c>
      <c r="P106" s="20">
        <f>AVERAGE(B106:M106)</f>
        <v>10725.1425</v>
      </c>
      <c r="T106" s="90">
        <v>42887</v>
      </c>
      <c r="U106" s="20">
        <v>25434</v>
      </c>
      <c r="V106" s="20">
        <v>66430</v>
      </c>
      <c r="W106" s="20">
        <v>0</v>
      </c>
      <c r="X106" s="20">
        <v>11279</v>
      </c>
      <c r="Y106" s="20">
        <v>0</v>
      </c>
      <c r="Z106" s="20">
        <v>0</v>
      </c>
      <c r="AA106" s="20"/>
      <c r="AB106" s="20">
        <v>527</v>
      </c>
      <c r="AC106" s="20">
        <v>3.9</v>
      </c>
      <c r="AF106" s="20">
        <f>SUM(U106:AA106)</f>
        <v>103143</v>
      </c>
      <c r="AH106" s="20"/>
      <c r="AK106" s="3"/>
      <c r="AS106" s="20"/>
      <c r="AV106" s="20"/>
    </row>
    <row r="107" spans="1:48" x14ac:dyDescent="0.25">
      <c r="T107" s="90">
        <v>42917</v>
      </c>
      <c r="U107" s="20">
        <v>30571</v>
      </c>
      <c r="V107" s="20">
        <v>71854</v>
      </c>
      <c r="W107" s="20">
        <v>4330</v>
      </c>
      <c r="X107" s="20">
        <v>12594</v>
      </c>
      <c r="Y107" s="20">
        <v>0</v>
      </c>
      <c r="Z107" s="20">
        <v>0</v>
      </c>
      <c r="AA107" s="20"/>
      <c r="AB107" s="20">
        <v>835</v>
      </c>
      <c r="AC107" s="20"/>
      <c r="AF107" s="20">
        <f t="shared" ref="AF107:AF123" si="43">SUM(U107:AA107)</f>
        <v>119349</v>
      </c>
      <c r="AH107" s="20"/>
      <c r="AK107" s="3"/>
      <c r="AS107" s="20"/>
      <c r="AV107" s="20"/>
    </row>
    <row r="108" spans="1:48" x14ac:dyDescent="0.25">
      <c r="A108" s="83" t="s">
        <v>163</v>
      </c>
      <c r="B108" s="84" t="s">
        <v>42</v>
      </c>
      <c r="C108" s="84" t="s">
        <v>43</v>
      </c>
      <c r="D108" s="84" t="s">
        <v>44</v>
      </c>
      <c r="E108" s="84" t="s">
        <v>45</v>
      </c>
      <c r="F108" s="84" t="s">
        <v>46</v>
      </c>
      <c r="G108" s="84" t="s">
        <v>20</v>
      </c>
      <c r="H108" s="84" t="s">
        <v>21</v>
      </c>
      <c r="I108" s="84" t="s">
        <v>22</v>
      </c>
      <c r="J108" s="84" t="s">
        <v>23</v>
      </c>
      <c r="K108" s="84" t="s">
        <v>24</v>
      </c>
      <c r="L108" s="84" t="s">
        <v>25</v>
      </c>
      <c r="M108" s="84" t="s">
        <v>26</v>
      </c>
      <c r="N108" s="84" t="s">
        <v>47</v>
      </c>
      <c r="P108" s="84" t="s">
        <v>225</v>
      </c>
      <c r="T108" s="90">
        <v>42948</v>
      </c>
      <c r="U108" s="20">
        <v>34860.660000000003</v>
      </c>
      <c r="V108" s="20">
        <v>73267</v>
      </c>
      <c r="W108" s="20">
        <v>10533</v>
      </c>
      <c r="X108" s="20">
        <v>12569.69</v>
      </c>
      <c r="Y108" s="20">
        <v>0</v>
      </c>
      <c r="Z108" s="20">
        <v>0</v>
      </c>
      <c r="AA108" s="20"/>
      <c r="AB108" s="20">
        <v>1183</v>
      </c>
      <c r="AC108" s="20">
        <v>8.6999999999999993</v>
      </c>
      <c r="AF108" s="20">
        <f t="shared" si="43"/>
        <v>131230.35</v>
      </c>
      <c r="AH108" s="20"/>
      <c r="AK108" s="3"/>
      <c r="AS108" s="20"/>
      <c r="AV108" s="20"/>
    </row>
    <row r="109" spans="1:48" x14ac:dyDescent="0.25">
      <c r="A109" t="s">
        <v>167</v>
      </c>
      <c r="B109" s="20">
        <v>22.39</v>
      </c>
      <c r="C109" s="20">
        <v>34.14</v>
      </c>
      <c r="D109" s="20">
        <v>43.83</v>
      </c>
      <c r="E109" s="20">
        <v>49.23</v>
      </c>
      <c r="F109" s="20">
        <v>49.5</v>
      </c>
      <c r="G109" s="20">
        <v>45</v>
      </c>
      <c r="H109" s="20">
        <v>60.17</v>
      </c>
      <c r="I109" s="20">
        <v>72.66</v>
      </c>
      <c r="J109" s="20">
        <v>85.91</v>
      </c>
      <c r="K109" s="20">
        <v>70.95</v>
      </c>
      <c r="L109" s="20">
        <v>40.57</v>
      </c>
      <c r="M109" s="20">
        <v>52.8</v>
      </c>
      <c r="N109" s="75">
        <f t="shared" ref="N109:N114" si="44">SUM(B109:M109)</f>
        <v>627.15</v>
      </c>
      <c r="P109" s="20">
        <f t="shared" ref="P109:P112" si="45">AVERAGE(B109:M109)</f>
        <v>52.262499999999996</v>
      </c>
      <c r="T109" s="90">
        <v>42979</v>
      </c>
      <c r="U109" s="20">
        <v>35037.86</v>
      </c>
      <c r="V109" s="20">
        <v>77930</v>
      </c>
      <c r="W109" s="20">
        <v>14360</v>
      </c>
      <c r="X109" s="20">
        <v>12807.64</v>
      </c>
      <c r="Y109" s="20">
        <v>0</v>
      </c>
      <c r="Z109" s="20">
        <v>0</v>
      </c>
      <c r="AA109" s="20"/>
      <c r="AB109" s="20">
        <v>1153</v>
      </c>
      <c r="AC109" s="20">
        <v>8.6999999999999993</v>
      </c>
      <c r="AF109" s="20">
        <f t="shared" si="43"/>
        <v>140135.5</v>
      </c>
      <c r="AH109" s="20"/>
      <c r="AK109" s="3"/>
      <c r="AS109" s="20"/>
      <c r="AV109" s="20"/>
    </row>
    <row r="110" spans="1:48" x14ac:dyDescent="0.25">
      <c r="A110" t="s">
        <v>159</v>
      </c>
      <c r="B110" s="20">
        <v>256.10000000000002</v>
      </c>
      <c r="C110" s="20">
        <v>409.15</v>
      </c>
      <c r="D110" s="20">
        <v>0</v>
      </c>
      <c r="E110" s="20">
        <v>0</v>
      </c>
      <c r="F110" s="20">
        <v>0</v>
      </c>
      <c r="G110" s="20">
        <v>0</v>
      </c>
      <c r="H110" s="20">
        <v>300.67</v>
      </c>
      <c r="I110" s="20">
        <v>421.85</v>
      </c>
      <c r="J110" s="20">
        <v>0</v>
      </c>
      <c r="K110" s="20">
        <v>0</v>
      </c>
      <c r="L110" s="20">
        <v>0</v>
      </c>
      <c r="M110" s="20">
        <v>0</v>
      </c>
      <c r="N110" s="75">
        <f t="shared" si="44"/>
        <v>1387.77</v>
      </c>
      <c r="P110" s="20">
        <f t="shared" si="45"/>
        <v>115.64749999999999</v>
      </c>
      <c r="T110" s="90">
        <v>43009</v>
      </c>
      <c r="U110" s="20">
        <v>37226.550000000003</v>
      </c>
      <c r="V110" s="20">
        <v>80941</v>
      </c>
      <c r="W110" s="20">
        <f>16931+2274</f>
        <v>19205</v>
      </c>
      <c r="X110" s="20">
        <v>12818.32</v>
      </c>
      <c r="Y110" s="20">
        <v>0</v>
      </c>
      <c r="Z110" s="20">
        <v>0</v>
      </c>
      <c r="AA110" s="20"/>
      <c r="AB110" s="20">
        <v>1184</v>
      </c>
      <c r="AC110" s="20"/>
      <c r="AF110" s="20">
        <f t="shared" si="43"/>
        <v>150190.87</v>
      </c>
      <c r="AH110" s="20"/>
      <c r="AK110" s="3"/>
      <c r="AS110" s="20"/>
      <c r="AV110" s="20"/>
    </row>
    <row r="111" spans="1:48" x14ac:dyDescent="0.25">
      <c r="A111" t="s">
        <v>165</v>
      </c>
      <c r="B111" s="20">
        <v>684.7</v>
      </c>
      <c r="C111" s="20">
        <v>735.65</v>
      </c>
      <c r="D111" s="20">
        <v>746.13</v>
      </c>
      <c r="E111" s="20">
        <v>858.78</v>
      </c>
      <c r="F111" s="20">
        <v>842.79</v>
      </c>
      <c r="G111" s="20">
        <v>905.99</v>
      </c>
      <c r="H111" s="20">
        <v>942.17</v>
      </c>
      <c r="I111" s="20">
        <v>1012.04</v>
      </c>
      <c r="J111" s="20">
        <v>1033.6600000000001</v>
      </c>
      <c r="K111" s="20">
        <v>1086.08</v>
      </c>
      <c r="L111" s="20">
        <v>1095.3499999999999</v>
      </c>
      <c r="M111" s="20">
        <v>1609.9</v>
      </c>
      <c r="N111" s="75">
        <f>SUM(B111:M111)</f>
        <v>11553.24</v>
      </c>
      <c r="P111" s="20">
        <f t="shared" si="45"/>
        <v>962.77</v>
      </c>
      <c r="T111" s="90">
        <v>43040</v>
      </c>
      <c r="U111" s="20">
        <v>32350</v>
      </c>
      <c r="V111" s="20">
        <v>76630</v>
      </c>
      <c r="W111" s="20">
        <v>25657</v>
      </c>
      <c r="X111" s="20">
        <v>12558.53</v>
      </c>
      <c r="Y111" s="20">
        <v>0</v>
      </c>
      <c r="Z111" s="20">
        <v>0</v>
      </c>
      <c r="AA111" s="20"/>
      <c r="AB111" s="20">
        <v>1491</v>
      </c>
      <c r="AC111" s="20">
        <v>11.18</v>
      </c>
      <c r="AF111" s="20">
        <f t="shared" si="43"/>
        <v>147195.53</v>
      </c>
      <c r="AH111" s="20"/>
      <c r="AK111" s="3"/>
      <c r="AS111" s="20"/>
      <c r="AV111" s="20"/>
    </row>
    <row r="112" spans="1:48" x14ac:dyDescent="0.25">
      <c r="A112" t="s">
        <v>14</v>
      </c>
      <c r="B112" s="20">
        <v>153.80000000000001</v>
      </c>
      <c r="C112" s="20">
        <v>517.16999999999996</v>
      </c>
      <c r="D112" s="20">
        <v>2045.37</v>
      </c>
      <c r="E112" s="20">
        <v>108.9</v>
      </c>
      <c r="F112" s="20">
        <v>518.97</v>
      </c>
      <c r="G112" s="20">
        <v>265.61</v>
      </c>
      <c r="H112" s="20">
        <v>623.29999999999995</v>
      </c>
      <c r="I112" s="41">
        <v>1434.25</v>
      </c>
      <c r="J112" s="20">
        <v>174.2</v>
      </c>
      <c r="K112" s="20">
        <v>160.32</v>
      </c>
      <c r="L112" s="20">
        <v>857.65</v>
      </c>
      <c r="M112" s="20">
        <v>940.02</v>
      </c>
      <c r="N112" s="75">
        <f t="shared" si="44"/>
        <v>7799.5599999999995</v>
      </c>
      <c r="P112" s="20">
        <f t="shared" si="45"/>
        <v>649.96333333333325</v>
      </c>
      <c r="T112" s="90">
        <v>43070</v>
      </c>
      <c r="U112" s="20">
        <v>32492</v>
      </c>
      <c r="V112" s="20">
        <v>81588</v>
      </c>
      <c r="W112" s="20">
        <v>30049</v>
      </c>
      <c r="X112" s="20">
        <v>13037</v>
      </c>
      <c r="Y112" s="20">
        <v>0</v>
      </c>
      <c r="Z112" s="20">
        <v>0</v>
      </c>
      <c r="AA112" s="20"/>
      <c r="AB112" s="20">
        <v>0</v>
      </c>
      <c r="AC112" s="20">
        <v>0</v>
      </c>
      <c r="AD112" s="20">
        <v>592</v>
      </c>
      <c r="AF112" s="20">
        <f t="shared" si="43"/>
        <v>157166</v>
      </c>
      <c r="AH112" s="20"/>
      <c r="AK112" s="3"/>
      <c r="AS112" s="20"/>
      <c r="AV112" s="20"/>
    </row>
    <row r="113" spans="1:48" x14ac:dyDescent="0.25">
      <c r="A113" t="s">
        <v>166</v>
      </c>
      <c r="B113" s="20">
        <f>480+1200+400+500+200+330+150+100+400</f>
        <v>3760</v>
      </c>
      <c r="C113" s="20">
        <f>50+400+1200+480+500+400</f>
        <v>3030</v>
      </c>
      <c r="D113" s="20">
        <f>480+400+400+1200+500+400+480</f>
        <v>3860</v>
      </c>
      <c r="E113" s="20">
        <f>400+200+1200+200+300+500+100+400+480</f>
        <v>3780</v>
      </c>
      <c r="F113" s="20">
        <f>400+1200+400+500+300+400</f>
        <v>3200</v>
      </c>
      <c r="G113" s="20">
        <f>400+480+1200+390+500</f>
        <v>2970</v>
      </c>
      <c r="H113" s="20">
        <f>480+400+400+410+200+1200+500+300+400</f>
        <v>4290</v>
      </c>
      <c r="I113" s="20">
        <f>480+400+1200+500+400+150+50+400</f>
        <v>3580</v>
      </c>
      <c r="J113" s="20">
        <f>400+480+1200+400+500+300</f>
        <v>3280</v>
      </c>
      <c r="K113" s="20">
        <f>480+400+1200+400+500+400</f>
        <v>3380</v>
      </c>
      <c r="L113" s="20">
        <f>400+480+1200+400+400+500+400+480</f>
        <v>4260</v>
      </c>
      <c r="M113" s="20">
        <f>400+400+1200+400+500+400+480</f>
        <v>3780</v>
      </c>
      <c r="N113" s="75">
        <f t="shared" si="44"/>
        <v>43170</v>
      </c>
      <c r="P113" s="20">
        <f>AVERAGE(B113:M113)</f>
        <v>3597.5</v>
      </c>
      <c r="R113" s="20"/>
      <c r="T113" s="90">
        <v>43101</v>
      </c>
      <c r="U113" s="20">
        <v>32658.91</v>
      </c>
      <c r="V113" s="20">
        <v>90275.71</v>
      </c>
      <c r="W113" s="20">
        <f>4491.6+29336.4</f>
        <v>33828</v>
      </c>
      <c r="X113" s="20">
        <v>13568.61</v>
      </c>
      <c r="Y113" s="20">
        <v>0</v>
      </c>
      <c r="Z113" s="20">
        <v>0</v>
      </c>
      <c r="AA113" s="20"/>
      <c r="AB113" s="20">
        <v>0</v>
      </c>
      <c r="AC113" s="20">
        <v>0</v>
      </c>
      <c r="AD113" s="20">
        <v>400</v>
      </c>
      <c r="AF113" s="20">
        <f t="shared" si="43"/>
        <v>170331.22999999998</v>
      </c>
      <c r="AH113" s="20"/>
      <c r="AK113" s="3"/>
      <c r="AS113" s="20"/>
      <c r="AV113" s="20"/>
    </row>
    <row r="114" spans="1:48" x14ac:dyDescent="0.25">
      <c r="A114" t="s">
        <v>108</v>
      </c>
      <c r="B114" s="20">
        <v>3090</v>
      </c>
      <c r="C114" s="20">
        <v>3183</v>
      </c>
      <c r="D114" s="20">
        <v>3183</v>
      </c>
      <c r="E114" s="20">
        <v>3183</v>
      </c>
      <c r="F114" s="20">
        <v>3183</v>
      </c>
      <c r="G114" s="20">
        <v>3183</v>
      </c>
      <c r="H114" s="20">
        <v>3182.84</v>
      </c>
      <c r="I114" s="20">
        <v>3182.84</v>
      </c>
      <c r="J114" s="20">
        <v>4846.3900000000003</v>
      </c>
      <c r="K114" s="20">
        <v>3182.84</v>
      </c>
      <c r="L114" s="20">
        <v>3182.84</v>
      </c>
      <c r="M114" s="20">
        <v>4700.26</v>
      </c>
      <c r="N114" s="75">
        <f t="shared" si="44"/>
        <v>41283.01</v>
      </c>
      <c r="P114" s="20">
        <f>AVERAGE(B114:M114)</f>
        <v>3440.2508333333335</v>
      </c>
      <c r="T114" s="90">
        <v>43132</v>
      </c>
      <c r="U114" s="20">
        <v>12623.05</v>
      </c>
      <c r="V114" s="20">
        <v>94931.53</v>
      </c>
      <c r="W114" s="20">
        <v>39580</v>
      </c>
      <c r="X114" s="20">
        <v>14385.75</v>
      </c>
      <c r="Y114" s="20">
        <v>0</v>
      </c>
      <c r="Z114" s="20">
        <v>0</v>
      </c>
      <c r="AA114" s="20"/>
      <c r="AB114" s="20">
        <v>0</v>
      </c>
      <c r="AC114" s="20">
        <v>0</v>
      </c>
      <c r="AF114" s="20">
        <f t="shared" si="43"/>
        <v>161520.33000000002</v>
      </c>
      <c r="AI114" s="77"/>
      <c r="AJ114" s="77"/>
      <c r="AK114" s="89"/>
      <c r="AM114" t="s">
        <v>390</v>
      </c>
      <c r="AS114" s="20"/>
      <c r="AV114" s="20"/>
    </row>
    <row r="115" spans="1:48" x14ac:dyDescent="0.25">
      <c r="A115" s="74" t="s">
        <v>4</v>
      </c>
      <c r="B115" s="75">
        <f t="shared" ref="B115:N115" si="46">SUM(B109:B114)</f>
        <v>7966.99</v>
      </c>
      <c r="C115" s="75">
        <f>SUM(C109:C114)</f>
        <v>7909.1100000000006</v>
      </c>
      <c r="D115" s="75">
        <f t="shared" si="46"/>
        <v>9878.33</v>
      </c>
      <c r="E115" s="75">
        <f t="shared" si="46"/>
        <v>7979.91</v>
      </c>
      <c r="F115" s="75">
        <f>SUM(F109:F114)</f>
        <v>7794.26</v>
      </c>
      <c r="G115" s="75">
        <f t="shared" si="46"/>
        <v>7369.6</v>
      </c>
      <c r="H115" s="75">
        <f t="shared" si="46"/>
        <v>9399.15</v>
      </c>
      <c r="I115" s="75">
        <f>SUM(I109:I114)</f>
        <v>9703.64</v>
      </c>
      <c r="J115" s="75">
        <f>SUM(J109:J114)</f>
        <v>9420.16</v>
      </c>
      <c r="K115" s="75">
        <f t="shared" si="46"/>
        <v>7880.1900000000005</v>
      </c>
      <c r="L115" s="75">
        <f t="shared" si="46"/>
        <v>9436.41</v>
      </c>
      <c r="M115" s="75">
        <f>SUM(M109:M114)</f>
        <v>11082.98</v>
      </c>
      <c r="N115" s="75">
        <f t="shared" si="46"/>
        <v>105820.73000000001</v>
      </c>
      <c r="P115" s="20">
        <f>AVERAGE(B115:M115)</f>
        <v>8818.3941666666669</v>
      </c>
      <c r="Q115" s="73"/>
      <c r="T115" s="90">
        <v>43160</v>
      </c>
      <c r="U115" s="20">
        <v>12674.41</v>
      </c>
      <c r="V115" s="20">
        <v>95899.83</v>
      </c>
      <c r="W115" s="20">
        <f>5388+1021.9+1021.9+2614.5+1224.86+41366</f>
        <v>52637.16</v>
      </c>
      <c r="X115" s="20">
        <v>14504.44</v>
      </c>
      <c r="Y115" s="20">
        <v>0</v>
      </c>
      <c r="Z115" s="20">
        <v>0</v>
      </c>
      <c r="AA115" s="20"/>
      <c r="AB115" s="20">
        <v>0</v>
      </c>
      <c r="AC115" s="20">
        <v>0</v>
      </c>
      <c r="AF115" s="20">
        <f t="shared" si="43"/>
        <v>175715.84000000003</v>
      </c>
      <c r="AI115" s="20"/>
      <c r="AJ115" s="15"/>
      <c r="AM115" s="3">
        <v>141191.84</v>
      </c>
      <c r="AN115" t="s">
        <v>388</v>
      </c>
      <c r="AS115" s="20"/>
      <c r="AV115" s="20"/>
    </row>
    <row r="116" spans="1:48" x14ac:dyDescent="0.25">
      <c r="T116" s="90">
        <v>43191</v>
      </c>
      <c r="U116" s="20">
        <v>12734.02</v>
      </c>
      <c r="V116" s="20">
        <v>95094.16</v>
      </c>
      <c r="W116" s="20">
        <v>56507.8</v>
      </c>
      <c r="X116" s="20">
        <v>14557.83</v>
      </c>
      <c r="Y116" s="20">
        <v>0</v>
      </c>
      <c r="Z116" s="20">
        <v>0</v>
      </c>
      <c r="AA116" s="20"/>
      <c r="AB116" s="20">
        <v>0</v>
      </c>
      <c r="AC116" s="20">
        <v>0</v>
      </c>
      <c r="AF116" s="20">
        <f t="shared" si="43"/>
        <v>178893.81</v>
      </c>
      <c r="AI116" s="20"/>
      <c r="AJ116" s="15"/>
      <c r="AK116" s="12"/>
      <c r="AM116" s="3">
        <v>19246.8</v>
      </c>
      <c r="AN116" t="s">
        <v>389</v>
      </c>
      <c r="AS116" s="20"/>
      <c r="AV116" s="20"/>
    </row>
    <row r="117" spans="1:48" x14ac:dyDescent="0.25">
      <c r="A117" s="74" t="s">
        <v>236</v>
      </c>
      <c r="B117" s="20">
        <f>B105+B115</f>
        <v>11530.25</v>
      </c>
      <c r="C117" s="20">
        <f>C105+C115</f>
        <v>11861.52</v>
      </c>
      <c r="D117" s="20">
        <f>D105+D115</f>
        <v>13830.74</v>
      </c>
      <c r="E117" s="20">
        <f>E105+E115</f>
        <v>13025.39</v>
      </c>
      <c r="F117" s="20">
        <f t="shared" ref="F117:M117" si="47">F105+F115</f>
        <v>11746.67</v>
      </c>
      <c r="G117" s="20">
        <f t="shared" si="47"/>
        <v>11322.01</v>
      </c>
      <c r="H117" s="20">
        <f t="shared" si="47"/>
        <v>13351.56</v>
      </c>
      <c r="I117" s="20">
        <f t="shared" si="47"/>
        <v>13266.9</v>
      </c>
      <c r="J117" s="20">
        <f t="shared" si="47"/>
        <v>12983.42</v>
      </c>
      <c r="K117" s="20">
        <f t="shared" si="47"/>
        <v>12005.42</v>
      </c>
      <c r="L117" s="20">
        <f t="shared" si="47"/>
        <v>12999.67</v>
      </c>
      <c r="M117" s="20">
        <f t="shared" si="47"/>
        <v>18245.489999999998</v>
      </c>
      <c r="N117" s="75">
        <f>SUM(B117:M117)</f>
        <v>156169.03999999998</v>
      </c>
      <c r="P117" s="20">
        <f>AVERAGE(B117:M117)</f>
        <v>13014.086666666664</v>
      </c>
      <c r="T117" s="90">
        <v>43221</v>
      </c>
      <c r="U117" s="20">
        <v>18790.080000000002</v>
      </c>
      <c r="V117" s="20">
        <v>85862.3</v>
      </c>
      <c r="W117" s="20">
        <v>58446.400000000001</v>
      </c>
      <c r="X117" s="20">
        <v>15660.72</v>
      </c>
      <c r="Y117" s="20">
        <f>Y35</f>
        <v>502.54</v>
      </c>
      <c r="Z117" s="20">
        <v>0</v>
      </c>
      <c r="AA117" s="20"/>
      <c r="AB117" s="20">
        <v>0</v>
      </c>
      <c r="AC117" s="20">
        <v>0</v>
      </c>
      <c r="AF117" s="20">
        <f t="shared" si="43"/>
        <v>179262.04</v>
      </c>
      <c r="AI117" s="20"/>
      <c r="AJ117" s="15"/>
      <c r="AK117" s="12"/>
      <c r="AM117" s="3"/>
      <c r="AS117" s="20"/>
      <c r="AV117" s="20"/>
    </row>
    <row r="118" spans="1:48" x14ac:dyDescent="0.25">
      <c r="A118" s="74" t="s">
        <v>235</v>
      </c>
      <c r="B118" s="20">
        <f>B103+B104+B115</f>
        <v>15962.2</v>
      </c>
      <c r="C118" s="20">
        <f>C103+C104+C115</f>
        <v>16857.949999999997</v>
      </c>
      <c r="D118" s="20">
        <f t="shared" ref="D118:M118" si="48">D103+D104+D115</f>
        <v>16639.699999999997</v>
      </c>
      <c r="E118" s="20">
        <f t="shared" si="48"/>
        <v>12167.73</v>
      </c>
      <c r="F118" s="20">
        <f t="shared" si="48"/>
        <v>11758.3</v>
      </c>
      <c r="G118" s="20">
        <f t="shared" si="48"/>
        <v>11333.64</v>
      </c>
      <c r="H118" s="20">
        <f t="shared" si="48"/>
        <v>17086.11</v>
      </c>
      <c r="I118" s="20">
        <f t="shared" si="48"/>
        <v>14115.25</v>
      </c>
      <c r="J118" s="20">
        <f t="shared" si="48"/>
        <v>18631.5</v>
      </c>
      <c r="K118" s="20">
        <f t="shared" si="48"/>
        <v>20635.940000000002</v>
      </c>
      <c r="L118" s="20">
        <f t="shared" si="48"/>
        <v>12603.77</v>
      </c>
      <c r="M118" s="20">
        <f t="shared" si="48"/>
        <v>16382.04</v>
      </c>
      <c r="N118" s="75">
        <f>SUM(B118:M118)</f>
        <v>184174.13</v>
      </c>
      <c r="P118" s="20">
        <f>AVERAGE(B118:M118)</f>
        <v>15347.844166666668</v>
      </c>
      <c r="T118" s="90">
        <v>43252</v>
      </c>
      <c r="U118" s="20">
        <v>20885.86</v>
      </c>
      <c r="V118" s="20">
        <v>82778.7</v>
      </c>
      <c r="W118" s="20">
        <v>59394.04</v>
      </c>
      <c r="X118" s="20">
        <v>15511.7</v>
      </c>
      <c r="Y118" s="20">
        <f t="shared" ref="Y118:Y124" si="49">Y117+Y36</f>
        <v>1005.08</v>
      </c>
      <c r="Z118" s="20">
        <v>0</v>
      </c>
      <c r="AA118" s="20"/>
      <c r="AB118" s="20">
        <v>0</v>
      </c>
      <c r="AC118" s="20">
        <v>0</v>
      </c>
      <c r="AF118" s="20">
        <f t="shared" si="43"/>
        <v>179575.38</v>
      </c>
      <c r="AI118" s="20"/>
      <c r="AJ118" s="15"/>
      <c r="AK118" s="12"/>
      <c r="AM118" s="5">
        <f>AM115+AM116</f>
        <v>160438.63999999998</v>
      </c>
      <c r="AS118" s="20"/>
      <c r="AV118" s="20"/>
    </row>
    <row r="119" spans="1:48" x14ac:dyDescent="0.25">
      <c r="A119" s="74" t="s">
        <v>237</v>
      </c>
      <c r="B119" s="43">
        <f>B106+B115</f>
        <v>19525.46</v>
      </c>
      <c r="C119" s="43">
        <f>C106+C115</f>
        <v>20810.36</v>
      </c>
      <c r="D119" s="43">
        <f t="shared" ref="D119:M119" si="50">D106+D115</f>
        <v>20592.11</v>
      </c>
      <c r="E119" s="43">
        <f t="shared" si="50"/>
        <v>17213.21</v>
      </c>
      <c r="F119" s="43">
        <f>F106+F115</f>
        <v>15710.710000000001</v>
      </c>
      <c r="G119" s="43">
        <f t="shared" si="50"/>
        <v>15286.050000000001</v>
      </c>
      <c r="H119" s="43">
        <f>H106+H115</f>
        <v>21038.52</v>
      </c>
      <c r="I119" s="43">
        <f t="shared" si="50"/>
        <v>17678.509999999998</v>
      </c>
      <c r="J119" s="43">
        <f>J106+J115</f>
        <v>22194.760000000002</v>
      </c>
      <c r="K119" s="43">
        <f t="shared" si="50"/>
        <v>24761.17</v>
      </c>
      <c r="L119" s="43">
        <f t="shared" si="50"/>
        <v>16167.03</v>
      </c>
      <c r="M119" s="43">
        <f t="shared" si="50"/>
        <v>23544.55</v>
      </c>
      <c r="N119" s="75">
        <f>SUM(B119:M119)</f>
        <v>234522.44000000003</v>
      </c>
      <c r="P119" s="20">
        <f>AVERAGE(B119:M119)</f>
        <v>19543.53666666667</v>
      </c>
      <c r="T119" s="90">
        <v>43282</v>
      </c>
      <c r="U119" s="20">
        <v>21982.54</v>
      </c>
      <c r="V119" s="20">
        <v>93873.2</v>
      </c>
      <c r="W119" s="20">
        <v>63609.68</v>
      </c>
      <c r="X119" s="20">
        <v>16680.05</v>
      </c>
      <c r="Y119" s="20">
        <f t="shared" si="49"/>
        <v>1931.5</v>
      </c>
      <c r="Z119" s="20">
        <v>0</v>
      </c>
      <c r="AA119" s="20"/>
      <c r="AB119" s="20">
        <v>0</v>
      </c>
      <c r="AC119" s="20">
        <v>0</v>
      </c>
      <c r="AF119" s="20">
        <f t="shared" si="43"/>
        <v>198076.96999999997</v>
      </c>
      <c r="AI119" s="20"/>
      <c r="AJ119" s="15"/>
      <c r="AK119" s="12"/>
      <c r="AM119" s="5"/>
      <c r="AS119" s="20"/>
      <c r="AV119" s="20"/>
    </row>
    <row r="120" spans="1:48" x14ac:dyDescent="0.25">
      <c r="A120" s="74" t="s">
        <v>250</v>
      </c>
      <c r="B120" s="20">
        <f>SUM(B109:B112)</f>
        <v>1116.99</v>
      </c>
      <c r="C120" s="20">
        <f>SUM(C109:C112)</f>
        <v>1696.1100000000001</v>
      </c>
      <c r="D120" s="20">
        <f>SUM(D109:D112)</f>
        <v>2835.33</v>
      </c>
      <c r="E120" s="20">
        <f t="shared" ref="E120:I120" si="51">SUM(E109:E112)</f>
        <v>1016.91</v>
      </c>
      <c r="F120" s="20">
        <f>SUM(F109:F112)</f>
        <v>1411.26</v>
      </c>
      <c r="G120" s="20">
        <f t="shared" si="51"/>
        <v>1216.5999999999999</v>
      </c>
      <c r="H120" s="20">
        <f t="shared" si="51"/>
        <v>1926.31</v>
      </c>
      <c r="I120" s="20">
        <f t="shared" si="51"/>
        <v>2940.8</v>
      </c>
      <c r="J120" s="20">
        <f>SUM(J109:J112)</f>
        <v>1293.7700000000002</v>
      </c>
      <c r="K120" s="20">
        <f>SUM(K109:K112)</f>
        <v>1317.35</v>
      </c>
      <c r="L120" s="20">
        <f>SUM(L109:L112)</f>
        <v>1993.5699999999997</v>
      </c>
      <c r="M120" s="20">
        <f>SUM(M109:M112)</f>
        <v>2602.7200000000003</v>
      </c>
      <c r="N120" s="75">
        <f>SUM(N109:N112)</f>
        <v>21367.72</v>
      </c>
      <c r="P120" s="20">
        <f>AVERAGE(B120:M120)</f>
        <v>1780.6433333333334</v>
      </c>
      <c r="T120" s="90">
        <v>43313</v>
      </c>
      <c r="U120" s="20">
        <v>23092.46</v>
      </c>
      <c r="V120" s="20">
        <v>90173</v>
      </c>
      <c r="W120" s="20">
        <v>68305.149999999994</v>
      </c>
      <c r="X120" s="20">
        <v>17179.89</v>
      </c>
      <c r="Y120" s="20">
        <f t="shared" si="49"/>
        <v>2434.04</v>
      </c>
      <c r="Z120" s="20">
        <v>0</v>
      </c>
      <c r="AA120" s="20"/>
      <c r="AB120" s="20">
        <v>0</v>
      </c>
      <c r="AC120" s="20">
        <v>0</v>
      </c>
      <c r="AF120" s="20">
        <f t="shared" si="43"/>
        <v>201184.54</v>
      </c>
      <c r="AH120" s="20"/>
      <c r="AI120" s="20"/>
      <c r="AJ120" s="15"/>
      <c r="AK120" s="12"/>
    </row>
    <row r="121" spans="1:48" x14ac:dyDescent="0.25">
      <c r="A121" s="74" t="s">
        <v>391</v>
      </c>
      <c r="B121" s="20">
        <f>SUM(B109:B114)</f>
        <v>7966.99</v>
      </c>
      <c r="C121" s="20">
        <f t="shared" ref="C121:N121" si="52">SUM(C109:C114)</f>
        <v>7909.1100000000006</v>
      </c>
      <c r="D121" s="20">
        <f t="shared" si="52"/>
        <v>9878.33</v>
      </c>
      <c r="E121" s="20">
        <f t="shared" si="52"/>
        <v>7979.91</v>
      </c>
      <c r="F121" s="20">
        <f t="shared" si="52"/>
        <v>7794.26</v>
      </c>
      <c r="G121" s="20">
        <f t="shared" si="52"/>
        <v>7369.6</v>
      </c>
      <c r="H121" s="20">
        <f t="shared" si="52"/>
        <v>9399.15</v>
      </c>
      <c r="I121" s="20">
        <f t="shared" si="52"/>
        <v>9703.64</v>
      </c>
      <c r="J121" s="20">
        <f t="shared" si="52"/>
        <v>9420.16</v>
      </c>
      <c r="K121" s="20">
        <f t="shared" si="52"/>
        <v>7880.1900000000005</v>
      </c>
      <c r="L121" s="20">
        <f t="shared" si="52"/>
        <v>9436.41</v>
      </c>
      <c r="M121" s="20">
        <f t="shared" si="52"/>
        <v>11082.98</v>
      </c>
      <c r="N121" s="75">
        <f t="shared" si="52"/>
        <v>105820.73000000001</v>
      </c>
      <c r="P121" s="20">
        <f>AVERAGE(B121:M121)</f>
        <v>8818.3941666666669</v>
      </c>
      <c r="T121" s="90">
        <v>43344</v>
      </c>
      <c r="U121" s="20">
        <v>23180.85</v>
      </c>
      <c r="V121" s="43">
        <v>94036.5</v>
      </c>
      <c r="W121" s="20">
        <v>74143.55</v>
      </c>
      <c r="X121" s="20">
        <v>19637.03</v>
      </c>
      <c r="Y121" s="20">
        <f t="shared" si="49"/>
        <v>2961.69</v>
      </c>
      <c r="Z121" s="20">
        <v>0</v>
      </c>
      <c r="AA121" s="20"/>
      <c r="AB121" s="20">
        <v>0</v>
      </c>
      <c r="AC121" s="43">
        <v>0</v>
      </c>
      <c r="AD121" s="43"/>
      <c r="AE121" s="43"/>
      <c r="AF121" s="20">
        <f t="shared" si="43"/>
        <v>213959.62000000002</v>
      </c>
      <c r="AH121" s="20"/>
      <c r="AI121" s="20"/>
      <c r="AJ121" s="15"/>
      <c r="AK121" s="12"/>
      <c r="AM121" s="5"/>
    </row>
    <row r="122" spans="1:48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P122" s="20"/>
      <c r="T122" s="90">
        <v>43374</v>
      </c>
      <c r="U122" s="20">
        <v>23290.84</v>
      </c>
      <c r="V122" s="43">
        <v>118841.71</v>
      </c>
      <c r="W122" s="20">
        <v>83136.320000000007</v>
      </c>
      <c r="X122" s="20">
        <v>21343.69</v>
      </c>
      <c r="Y122" s="20">
        <f t="shared" si="49"/>
        <v>3489.34</v>
      </c>
      <c r="Z122" s="20">
        <v>0</v>
      </c>
      <c r="AA122" s="20"/>
      <c r="AB122" s="20">
        <v>0</v>
      </c>
      <c r="AC122" s="43">
        <v>0</v>
      </c>
      <c r="AD122" s="43"/>
      <c r="AE122" s="43"/>
      <c r="AF122" s="20">
        <f t="shared" si="43"/>
        <v>250101.90000000002</v>
      </c>
      <c r="AH122" s="20"/>
      <c r="AI122" s="20"/>
      <c r="AJ122" s="15"/>
      <c r="AK122" s="12"/>
    </row>
    <row r="123" spans="1:48" x14ac:dyDescent="0.25">
      <c r="N123" s="20"/>
      <c r="T123" s="90">
        <v>43405</v>
      </c>
      <c r="U123" s="20">
        <v>23389.37</v>
      </c>
      <c r="V123" s="43">
        <v>131431.13</v>
      </c>
      <c r="W123" s="20">
        <v>88650.75</v>
      </c>
      <c r="X123" s="20">
        <v>22517.66</v>
      </c>
      <c r="Y123" s="20">
        <f t="shared" si="49"/>
        <v>4019.96</v>
      </c>
      <c r="Z123" s="20">
        <v>0</v>
      </c>
      <c r="AA123" s="20"/>
      <c r="AB123" s="20">
        <v>0</v>
      </c>
      <c r="AC123" s="43">
        <v>0</v>
      </c>
      <c r="AD123" s="43"/>
      <c r="AE123" s="43"/>
      <c r="AF123" s="20">
        <f t="shared" si="43"/>
        <v>270008.87</v>
      </c>
      <c r="AH123" s="20"/>
      <c r="AI123" s="20"/>
      <c r="AJ123" s="15"/>
      <c r="AK123" s="12"/>
    </row>
    <row r="124" spans="1:48" x14ac:dyDescent="0.25">
      <c r="A124" s="91" t="s">
        <v>402</v>
      </c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P124" s="20"/>
      <c r="T124" s="90">
        <v>43435</v>
      </c>
      <c r="U124" s="20">
        <v>3376.36</v>
      </c>
      <c r="V124" s="43">
        <v>141015.72</v>
      </c>
      <c r="W124" s="20">
        <v>96410.06</v>
      </c>
      <c r="X124" s="20">
        <v>24248.44</v>
      </c>
      <c r="Y124" s="20">
        <f t="shared" si="49"/>
        <v>5070.7800000000007</v>
      </c>
      <c r="Z124" s="20">
        <v>0</v>
      </c>
      <c r="AA124" s="20"/>
      <c r="AB124" s="20">
        <v>0</v>
      </c>
      <c r="AC124" s="43">
        <v>0</v>
      </c>
      <c r="AD124" s="43"/>
      <c r="AE124" s="43"/>
      <c r="AF124" s="20">
        <f>SUM(U124:AA124)</f>
        <v>270121.36</v>
      </c>
      <c r="AH124" s="20"/>
      <c r="AI124" s="20"/>
      <c r="AJ124" s="15"/>
      <c r="AK124" s="12"/>
    </row>
    <row r="125" spans="1:48" x14ac:dyDescent="0.25">
      <c r="A125" s="83" t="s">
        <v>228</v>
      </c>
      <c r="B125" s="84" t="s">
        <v>42</v>
      </c>
      <c r="C125" s="84" t="s">
        <v>43</v>
      </c>
      <c r="D125" s="84" t="s">
        <v>44</v>
      </c>
      <c r="E125" s="84" t="s">
        <v>45</v>
      </c>
      <c r="F125" s="84" t="s">
        <v>46</v>
      </c>
      <c r="G125" s="84" t="s">
        <v>20</v>
      </c>
      <c r="H125" s="84" t="s">
        <v>21</v>
      </c>
      <c r="I125" s="84" t="s">
        <v>22</v>
      </c>
      <c r="J125" s="84" t="s">
        <v>23</v>
      </c>
      <c r="K125" s="84" t="s">
        <v>24</v>
      </c>
      <c r="L125" s="84" t="s">
        <v>25</v>
      </c>
      <c r="M125" s="84" t="s">
        <v>26</v>
      </c>
      <c r="N125" s="84" t="s">
        <v>47</v>
      </c>
      <c r="P125" s="84" t="s">
        <v>225</v>
      </c>
      <c r="T125" s="90">
        <v>43466</v>
      </c>
      <c r="U125" s="20">
        <v>5393.37</v>
      </c>
      <c r="V125" s="43">
        <v>142214.31</v>
      </c>
      <c r="W125" s="20">
        <v>110926.64</v>
      </c>
      <c r="X125" s="20">
        <v>26019.26</v>
      </c>
      <c r="Y125" s="20">
        <f t="shared" ref="Y125:Y136" si="53">Y124+Y48</f>
        <v>6048.9700000000012</v>
      </c>
      <c r="Z125" s="20">
        <v>2036.07</v>
      </c>
      <c r="AA125" s="20"/>
      <c r="AB125" s="20">
        <v>0</v>
      </c>
      <c r="AC125" s="43">
        <v>0</v>
      </c>
      <c r="AE125" s="20">
        <v>997.53</v>
      </c>
      <c r="AF125" s="20">
        <f t="shared" ref="AF125:AF142" si="54">SUM(U125:AA125)</f>
        <v>292638.62000000005</v>
      </c>
      <c r="AH125" s="20"/>
      <c r="AI125" s="20"/>
      <c r="AJ125" s="15"/>
      <c r="AK125" s="12"/>
    </row>
    <row r="126" spans="1:48" x14ac:dyDescent="0.25">
      <c r="A126" t="s">
        <v>107</v>
      </c>
      <c r="B126" s="20">
        <v>6408.74</v>
      </c>
      <c r="C126" s="20">
        <f>2513.03+5274.23</f>
        <v>7787.26</v>
      </c>
      <c r="D126" s="20">
        <f>2934.22+3507.25</f>
        <v>6441.4699999999993</v>
      </c>
      <c r="E126" s="20">
        <v>3507.26</v>
      </c>
      <c r="F126" s="20">
        <v>3507.26</v>
      </c>
      <c r="G126" s="20">
        <v>3507.26</v>
      </c>
      <c r="H126" s="20">
        <v>7399.56</v>
      </c>
      <c r="I126" s="20">
        <v>3507.26</v>
      </c>
      <c r="J126" s="20">
        <f>2904.8+3340.79+2738.81</f>
        <v>8984.4</v>
      </c>
      <c r="K126" s="20">
        <f>6155.37</f>
        <v>6155.37</v>
      </c>
      <c r="L126" s="20">
        <v>2659.65</v>
      </c>
      <c r="M126" s="20">
        <f>2533.94+2072.64</f>
        <v>4606.58</v>
      </c>
      <c r="N126" s="75">
        <f>SUM(B126:M126)</f>
        <v>64472.070000000014</v>
      </c>
      <c r="P126" s="20">
        <f>AVERAGE(B126:M126)</f>
        <v>5372.6725000000015</v>
      </c>
      <c r="T126" s="90">
        <v>43497</v>
      </c>
      <c r="U126" s="20">
        <v>7422.85</v>
      </c>
      <c r="V126" s="43">
        <v>138718.96</v>
      </c>
      <c r="W126" s="20">
        <v>119947.43</v>
      </c>
      <c r="X126" s="20">
        <v>26246.81</v>
      </c>
      <c r="Y126" s="20">
        <f t="shared" si="53"/>
        <v>6579.5900000000011</v>
      </c>
      <c r="Z126" s="20">
        <v>2016.82</v>
      </c>
      <c r="AA126" s="20"/>
      <c r="AB126" s="20">
        <v>0</v>
      </c>
      <c r="AC126" s="43">
        <v>0</v>
      </c>
      <c r="AD126" s="20">
        <v>0</v>
      </c>
      <c r="AE126" s="20">
        <v>1021.03</v>
      </c>
      <c r="AF126" s="20">
        <f t="shared" si="54"/>
        <v>300932.46000000002</v>
      </c>
      <c r="AH126" s="20"/>
      <c r="AI126" s="20"/>
      <c r="AJ126" s="15"/>
      <c r="AK126" s="12"/>
    </row>
    <row r="127" spans="1:48" x14ac:dyDescent="0.25">
      <c r="A127" t="s">
        <v>109</v>
      </c>
      <c r="B127" s="20">
        <v>791.58</v>
      </c>
      <c r="C127" s="20">
        <v>938.94</v>
      </c>
      <c r="D127" s="20">
        <v>469.47</v>
      </c>
      <c r="E127" s="20">
        <v>704.21</v>
      </c>
      <c r="F127" s="20">
        <v>469.47</v>
      </c>
      <c r="G127" s="20">
        <v>469.47</v>
      </c>
      <c r="H127" s="20">
        <v>469.47</v>
      </c>
      <c r="I127" s="20">
        <v>938.94</v>
      </c>
      <c r="J127" s="20">
        <v>469.47</v>
      </c>
      <c r="K127" s="20">
        <v>476.54</v>
      </c>
      <c r="L127" s="20">
        <v>619.5</v>
      </c>
      <c r="M127" s="20">
        <v>495.17</v>
      </c>
      <c r="N127" s="75">
        <f>SUM(B127:M127)</f>
        <v>7312.2300000000014</v>
      </c>
      <c r="P127" s="20">
        <f>AVERAGE(B127:M127)</f>
        <v>609.35250000000008</v>
      </c>
      <c r="T127" s="90">
        <v>43525</v>
      </c>
      <c r="U127" s="20">
        <v>9498.2199999999993</v>
      </c>
      <c r="V127" s="43">
        <v>138754.57</v>
      </c>
      <c r="W127" s="20">
        <v>132095.9</v>
      </c>
      <c r="X127" s="20">
        <v>26490.3</v>
      </c>
      <c r="Y127" s="20">
        <f t="shared" si="53"/>
        <v>7110.2100000000009</v>
      </c>
      <c r="Z127" s="20">
        <v>1863.58</v>
      </c>
      <c r="AA127" s="20"/>
      <c r="AB127" s="20">
        <v>0</v>
      </c>
      <c r="AC127" s="43">
        <v>0</v>
      </c>
      <c r="AE127" s="20">
        <v>1056.98</v>
      </c>
      <c r="AF127" s="20">
        <f t="shared" si="54"/>
        <v>315812.78000000003</v>
      </c>
      <c r="AH127" s="20"/>
      <c r="AK127" s="12"/>
      <c r="AM127">
        <v>2021</v>
      </c>
    </row>
    <row r="128" spans="1:48" x14ac:dyDescent="0.25">
      <c r="A128" t="s">
        <v>110</v>
      </c>
      <c r="B128" s="20">
        <v>3712.22</v>
      </c>
      <c r="C128" s="20">
        <v>4849.07</v>
      </c>
      <c r="D128" s="20">
        <v>3712.22</v>
      </c>
      <c r="E128" s="20">
        <v>3676.79</v>
      </c>
      <c r="F128" s="20">
        <v>3676.79</v>
      </c>
      <c r="G128" s="20">
        <v>3676.79</v>
      </c>
      <c r="H128" s="20">
        <v>3676.79</v>
      </c>
      <c r="I128" s="20">
        <v>3676.79</v>
      </c>
      <c r="J128" s="20">
        <v>3676.79</v>
      </c>
      <c r="K128" s="20">
        <v>4263.51</v>
      </c>
      <c r="L128" s="20">
        <v>3676.79</v>
      </c>
      <c r="M128" s="20">
        <f>1856.97+1856.96+3676.79</f>
        <v>7390.72</v>
      </c>
      <c r="N128" s="75">
        <f>SUM(B128:M128)</f>
        <v>49665.270000000004</v>
      </c>
      <c r="P128" s="20">
        <f>AVERAGE(B128:M128)</f>
        <v>4138.7725</v>
      </c>
      <c r="T128" s="90">
        <v>43556</v>
      </c>
      <c r="U128" s="20">
        <v>9495.98</v>
      </c>
      <c r="V128" s="43">
        <v>142192.54</v>
      </c>
      <c r="W128" s="20">
        <v>140051.29999999999</v>
      </c>
      <c r="X128" s="20">
        <v>27051.5</v>
      </c>
      <c r="Y128" s="20">
        <f t="shared" si="53"/>
        <v>7640.8300000000008</v>
      </c>
      <c r="Z128" s="20">
        <v>1783.84</v>
      </c>
      <c r="AA128" s="20"/>
      <c r="AB128" s="20">
        <v>0</v>
      </c>
      <c r="AC128" s="43">
        <v>0</v>
      </c>
      <c r="AE128" s="20">
        <v>1099.6300000000001</v>
      </c>
      <c r="AF128" s="20">
        <f t="shared" si="54"/>
        <v>328215.99000000005</v>
      </c>
      <c r="AH128" s="20"/>
      <c r="AJ128" s="77"/>
      <c r="AK128" s="78"/>
      <c r="AM128">
        <v>1551</v>
      </c>
    </row>
    <row r="129" spans="1:39" x14ac:dyDescent="0.25">
      <c r="A129" t="s">
        <v>287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1013.85</v>
      </c>
      <c r="H129" s="20">
        <v>611.88</v>
      </c>
      <c r="I129" s="20">
        <v>0</v>
      </c>
      <c r="J129" s="20">
        <v>523.46</v>
      </c>
      <c r="K129" s="20">
        <v>0</v>
      </c>
      <c r="L129" s="20">
        <f>545.81+545.81</f>
        <v>1091.6199999999999</v>
      </c>
      <c r="M129" s="20">
        <v>447.25</v>
      </c>
      <c r="N129" s="75">
        <f>SUM(B129:M129)</f>
        <v>3688.06</v>
      </c>
      <c r="P129" s="20">
        <f>AVERAGE(B129:M129)</f>
        <v>307.33833333333331</v>
      </c>
      <c r="T129" s="90">
        <v>43586</v>
      </c>
      <c r="U129" s="20">
        <v>9540.52</v>
      </c>
      <c r="V129" s="43">
        <v>142517.21</v>
      </c>
      <c r="W129" s="20">
        <v>149148.88</v>
      </c>
      <c r="X129" s="20">
        <v>27854.51</v>
      </c>
      <c r="Y129" s="20">
        <f t="shared" si="53"/>
        <v>8171.4500000000007</v>
      </c>
      <c r="Z129" s="20">
        <v>1799.28</v>
      </c>
      <c r="AA129" s="20"/>
      <c r="AB129" s="20">
        <v>0</v>
      </c>
      <c r="AC129" s="43">
        <v>0</v>
      </c>
      <c r="AE129" s="20">
        <v>1104.27</v>
      </c>
      <c r="AF129" s="20">
        <f t="shared" si="54"/>
        <v>339031.85000000003</v>
      </c>
      <c r="AH129" s="20"/>
      <c r="AJ129" s="77"/>
      <c r="AK129" s="78"/>
      <c r="AM129">
        <v>951</v>
      </c>
    </row>
    <row r="130" spans="1:39" x14ac:dyDescent="0.25">
      <c r="A130" s="74" t="s">
        <v>4</v>
      </c>
      <c r="B130" s="75">
        <f>SUM(B126:B129)</f>
        <v>10912.539999999999</v>
      </c>
      <c r="C130" s="75">
        <f t="shared" ref="C130:D130" si="55">SUM(C126:C128)</f>
        <v>13575.27</v>
      </c>
      <c r="D130" s="75">
        <f t="shared" si="55"/>
        <v>10623.16</v>
      </c>
      <c r="E130" s="75">
        <f>SUM(E126:E129)</f>
        <v>7888.26</v>
      </c>
      <c r="F130" s="75">
        <f>SUM(F126:F129)</f>
        <v>7653.52</v>
      </c>
      <c r="G130" s="75">
        <f>SUM(G126:G129)</f>
        <v>8667.3700000000008</v>
      </c>
      <c r="H130" s="75">
        <f t="shared" ref="H130:M130" si="56">SUM(H126:H129)</f>
        <v>12157.699999999999</v>
      </c>
      <c r="I130" s="75">
        <f t="shared" si="56"/>
        <v>8122.9900000000007</v>
      </c>
      <c r="J130" s="75">
        <f t="shared" si="56"/>
        <v>13654.119999999999</v>
      </c>
      <c r="K130" s="75">
        <f t="shared" si="56"/>
        <v>10895.42</v>
      </c>
      <c r="L130" s="75">
        <f t="shared" si="56"/>
        <v>8047.56</v>
      </c>
      <c r="M130" s="75">
        <f t="shared" si="56"/>
        <v>12939.720000000001</v>
      </c>
      <c r="N130" s="75">
        <f>SUM(N126:N129)</f>
        <v>125137.63000000002</v>
      </c>
      <c r="P130" s="20">
        <f>AVERAGE(B130:M130)</f>
        <v>10428.135833333334</v>
      </c>
      <c r="T130" s="90">
        <v>43617</v>
      </c>
      <c r="U130" s="20">
        <v>9574.1200000000008</v>
      </c>
      <c r="V130" s="43">
        <v>148692.78</v>
      </c>
      <c r="W130" s="20">
        <v>160375.01999999999</v>
      </c>
      <c r="X130" s="20">
        <v>28519.41</v>
      </c>
      <c r="Y130" s="20">
        <f t="shared" si="53"/>
        <v>8702.0700000000015</v>
      </c>
      <c r="Z130" s="20">
        <v>2016.04</v>
      </c>
      <c r="AA130" s="20"/>
      <c r="AB130" s="20">
        <v>0</v>
      </c>
      <c r="AC130" s="43">
        <v>0</v>
      </c>
      <c r="AE130" s="20">
        <v>1159.48</v>
      </c>
      <c r="AF130" s="20">
        <f t="shared" si="54"/>
        <v>357879.43999999994</v>
      </c>
      <c r="AM130">
        <v>565</v>
      </c>
    </row>
    <row r="131" spans="1:39" x14ac:dyDescent="0.25">
      <c r="T131" s="90">
        <v>43647</v>
      </c>
      <c r="U131" s="20">
        <v>12622.06</v>
      </c>
      <c r="V131" s="43">
        <v>146142.51</v>
      </c>
      <c r="W131" s="20">
        <v>174802.4</v>
      </c>
      <c r="X131" s="20">
        <v>28913.24</v>
      </c>
      <c r="Y131" s="20">
        <f t="shared" si="53"/>
        <v>9680.260000000002</v>
      </c>
      <c r="Z131" s="20">
        <v>2166.5300000000002</v>
      </c>
      <c r="AA131" s="20"/>
      <c r="AB131" s="20">
        <v>0</v>
      </c>
      <c r="AC131" s="43">
        <v>0</v>
      </c>
      <c r="AE131" s="20">
        <v>1172.6099999999999</v>
      </c>
      <c r="AF131" s="20">
        <f t="shared" si="54"/>
        <v>374327</v>
      </c>
      <c r="AM131">
        <v>488</v>
      </c>
    </row>
    <row r="132" spans="1:39" x14ac:dyDescent="0.25">
      <c r="A132" s="83" t="s">
        <v>163</v>
      </c>
      <c r="B132" s="84" t="s">
        <v>42</v>
      </c>
      <c r="C132" s="84" t="s">
        <v>43</v>
      </c>
      <c r="D132" s="84" t="s">
        <v>44</v>
      </c>
      <c r="E132" s="84" t="s">
        <v>45</v>
      </c>
      <c r="F132" s="84" t="s">
        <v>46</v>
      </c>
      <c r="G132" s="84" t="s">
        <v>20</v>
      </c>
      <c r="H132" s="84" t="s">
        <v>21</v>
      </c>
      <c r="I132" s="84" t="s">
        <v>22</v>
      </c>
      <c r="J132" s="84" t="s">
        <v>23</v>
      </c>
      <c r="K132" s="84" t="s">
        <v>24</v>
      </c>
      <c r="L132" s="84" t="s">
        <v>25</v>
      </c>
      <c r="M132" s="84" t="s">
        <v>26</v>
      </c>
      <c r="N132" s="84" t="s">
        <v>47</v>
      </c>
      <c r="P132" s="84" t="s">
        <v>225</v>
      </c>
      <c r="T132" s="90">
        <v>43678</v>
      </c>
      <c r="U132" s="20">
        <v>14685.95</v>
      </c>
      <c r="V132" s="43">
        <v>152613.94</v>
      </c>
      <c r="W132" s="20">
        <v>177573.53</v>
      </c>
      <c r="X132" s="20">
        <f>8961.29+19583.42</f>
        <v>28544.71</v>
      </c>
      <c r="Y132" s="20">
        <f t="shared" si="53"/>
        <v>10210.880000000003</v>
      </c>
      <c r="Z132" s="20">
        <v>1932.97</v>
      </c>
      <c r="AA132" s="20"/>
      <c r="AB132" s="20">
        <v>0</v>
      </c>
      <c r="AC132" s="43">
        <v>0</v>
      </c>
      <c r="AE132" s="20">
        <v>1178.42</v>
      </c>
      <c r="AF132" s="20">
        <f t="shared" si="54"/>
        <v>385561.98000000004</v>
      </c>
      <c r="AH132" s="20"/>
      <c r="AM132">
        <v>212</v>
      </c>
    </row>
    <row r="133" spans="1:39" x14ac:dyDescent="0.25">
      <c r="A133" t="s">
        <v>167</v>
      </c>
      <c r="B133" s="20">
        <v>75.63</v>
      </c>
      <c r="C133" s="20">
        <v>66.03</v>
      </c>
      <c r="D133" s="20">
        <v>79.47</v>
      </c>
      <c r="E133" s="20">
        <v>66.22</v>
      </c>
      <c r="F133" s="20">
        <v>68.58</v>
      </c>
      <c r="G133" s="20">
        <v>38.020000000000003</v>
      </c>
      <c r="H133" s="20">
        <v>7.2</v>
      </c>
      <c r="I133" s="20">
        <v>7.12</v>
      </c>
      <c r="J133" s="20">
        <v>9.25</v>
      </c>
      <c r="K133" s="20">
        <v>4.1500000000000004</v>
      </c>
      <c r="L133" s="20">
        <v>0</v>
      </c>
      <c r="M133" s="20"/>
      <c r="N133" s="75">
        <f t="shared" ref="N133:N134" si="57">SUM(B133:M133)</f>
        <v>421.66999999999996</v>
      </c>
      <c r="P133" s="20">
        <f t="shared" ref="P133:P136" si="58">AVERAGE(B133:M133)</f>
        <v>38.333636363636359</v>
      </c>
      <c r="T133" s="90">
        <v>43709</v>
      </c>
      <c r="U133" s="20">
        <v>19752.02</v>
      </c>
      <c r="V133" s="43">
        <v>152689.4</v>
      </c>
      <c r="W133" s="20">
        <v>183215.05</v>
      </c>
      <c r="X133" s="20">
        <v>29099.82</v>
      </c>
      <c r="Y133" s="20">
        <f t="shared" si="53"/>
        <v>10764.370000000003</v>
      </c>
      <c r="Z133" s="20">
        <v>2034.17</v>
      </c>
      <c r="AA133" s="20"/>
      <c r="AB133" s="20">
        <v>0</v>
      </c>
      <c r="AC133" s="43">
        <v>0</v>
      </c>
      <c r="AE133" s="20">
        <v>1225.8399999999999</v>
      </c>
      <c r="AF133" s="20">
        <f t="shared" si="54"/>
        <v>397554.82999999996</v>
      </c>
      <c r="AM133">
        <v>174</v>
      </c>
    </row>
    <row r="134" spans="1:39" x14ac:dyDescent="0.25">
      <c r="A134" t="s">
        <v>159</v>
      </c>
      <c r="B134" s="20">
        <v>303.64</v>
      </c>
      <c r="C134" s="20">
        <v>430.65</v>
      </c>
      <c r="D134" s="20">
        <v>0</v>
      </c>
      <c r="E134" s="20">
        <v>0</v>
      </c>
      <c r="F134" s="20">
        <v>0</v>
      </c>
      <c r="G134" s="20">
        <v>0</v>
      </c>
      <c r="H134" s="20">
        <v>495.13</v>
      </c>
      <c r="I134" s="20">
        <v>434.49</v>
      </c>
      <c r="J134" s="20">
        <v>0</v>
      </c>
      <c r="K134" s="20">
        <v>0</v>
      </c>
      <c r="L134" s="20">
        <v>0</v>
      </c>
      <c r="M134" s="20">
        <v>0</v>
      </c>
      <c r="N134" s="75">
        <f t="shared" si="57"/>
        <v>1663.91</v>
      </c>
      <c r="P134" s="20">
        <f t="shared" si="58"/>
        <v>138.65916666666666</v>
      </c>
      <c r="T134" s="90">
        <v>43739</v>
      </c>
      <c r="U134" s="20">
        <v>10091.620000000001</v>
      </c>
      <c r="V134" s="43">
        <v>139094.9</v>
      </c>
      <c r="W134" s="20">
        <v>208306.33</v>
      </c>
      <c r="X134" s="20">
        <v>29762.89</v>
      </c>
      <c r="Y134" s="20">
        <f t="shared" si="53"/>
        <v>11317.860000000002</v>
      </c>
      <c r="Z134" s="20">
        <v>2197.1999999999998</v>
      </c>
      <c r="AA134" s="20"/>
      <c r="AB134" s="20">
        <v>0</v>
      </c>
      <c r="AC134" s="43">
        <v>0</v>
      </c>
      <c r="AE134" s="20">
        <v>1259.6500000000001</v>
      </c>
      <c r="AF134" s="20">
        <f t="shared" si="54"/>
        <v>400770.8</v>
      </c>
      <c r="AM134">
        <v>174</v>
      </c>
    </row>
    <row r="135" spans="1:39" x14ac:dyDescent="0.25">
      <c r="A135" t="s">
        <v>165</v>
      </c>
      <c r="B135" s="20">
        <v>1950.87</v>
      </c>
      <c r="C135" s="20">
        <v>1435.2</v>
      </c>
      <c r="D135" s="20">
        <v>1405.19</v>
      </c>
      <c r="E135" s="20">
        <v>1097.77</v>
      </c>
      <c r="F135" s="20">
        <v>1061.57</v>
      </c>
      <c r="G135" s="20">
        <v>1064.42</v>
      </c>
      <c r="H135" s="20">
        <v>1155.33</v>
      </c>
      <c r="I135" s="20">
        <v>1165.3</v>
      </c>
      <c r="J135" s="20">
        <v>1223.0999999999999</v>
      </c>
      <c r="K135" s="20">
        <v>1340.64</v>
      </c>
      <c r="L135" s="20">
        <v>1434.95</v>
      </c>
      <c r="M135" s="20">
        <v>1554.16</v>
      </c>
      <c r="N135" s="75">
        <f>SUM(B135:M135)</f>
        <v>15888.5</v>
      </c>
      <c r="P135" s="20">
        <f t="shared" si="58"/>
        <v>1324.0416666666667</v>
      </c>
      <c r="T135" s="90">
        <v>43770</v>
      </c>
      <c r="U135" s="20">
        <v>13158.74</v>
      </c>
      <c r="V135" s="43">
        <v>140920.39000000001</v>
      </c>
      <c r="W135" s="20">
        <v>227419.7</v>
      </c>
      <c r="X135" s="20">
        <v>29345.26</v>
      </c>
      <c r="Y135" s="20">
        <f t="shared" si="53"/>
        <v>11874.450000000003</v>
      </c>
      <c r="Z135" s="20">
        <v>2140.46</v>
      </c>
      <c r="AA135" s="20"/>
      <c r="AB135" s="20">
        <v>0</v>
      </c>
      <c r="AC135" s="43">
        <v>0</v>
      </c>
      <c r="AE135" s="20">
        <v>1292.2</v>
      </c>
      <c r="AF135" s="20">
        <f t="shared" si="54"/>
        <v>424859.00000000006</v>
      </c>
      <c r="AM135">
        <v>174</v>
      </c>
    </row>
    <row r="136" spans="1:39" x14ac:dyDescent="0.25">
      <c r="A136" t="s">
        <v>14</v>
      </c>
      <c r="B136" s="20">
        <v>403.65</v>
      </c>
      <c r="C136" s="20">
        <v>255.99</v>
      </c>
      <c r="D136" s="20">
        <v>1350.91</v>
      </c>
      <c r="E136" s="20">
        <v>52</v>
      </c>
      <c r="F136" s="20">
        <v>713.54</v>
      </c>
      <c r="G136" s="20">
        <v>187.06</v>
      </c>
      <c r="H136" s="20">
        <v>125.48</v>
      </c>
      <c r="I136" s="41">
        <v>722.54</v>
      </c>
      <c r="J136" s="20">
        <v>292.99</v>
      </c>
      <c r="K136" s="20">
        <v>62.4</v>
      </c>
      <c r="L136" s="20">
        <v>1005.97</v>
      </c>
      <c r="M136" s="20">
        <v>805.37</v>
      </c>
      <c r="N136" s="75">
        <f t="shared" ref="N136:N138" si="59">SUM(B136:M136)</f>
        <v>5977.9</v>
      </c>
      <c r="P136" s="20">
        <f t="shared" si="58"/>
        <v>498.1583333333333</v>
      </c>
      <c r="T136" s="90">
        <v>43800</v>
      </c>
      <c r="U136" s="20">
        <v>19161.46</v>
      </c>
      <c r="V136" s="43">
        <v>153491.35</v>
      </c>
      <c r="W136" s="20">
        <v>262601.40000000002</v>
      </c>
      <c r="X136" s="20">
        <v>29429.919999999998</v>
      </c>
      <c r="Y136" s="20">
        <f t="shared" si="53"/>
        <v>12976.930000000002</v>
      </c>
      <c r="Z136" s="20">
        <v>2397.63</v>
      </c>
      <c r="AA136" s="20"/>
      <c r="AB136" s="20">
        <v>0</v>
      </c>
      <c r="AC136" s="43">
        <v>0</v>
      </c>
      <c r="AE136" s="20">
        <v>1342.57</v>
      </c>
      <c r="AF136" s="20">
        <f t="shared" si="54"/>
        <v>480058.69</v>
      </c>
    </row>
    <row r="137" spans="1:39" x14ac:dyDescent="0.25">
      <c r="A137" t="s">
        <v>166</v>
      </c>
      <c r="B137" s="20">
        <f>400+1200+400+400+500</f>
        <v>2900</v>
      </c>
      <c r="C137" s="20">
        <f>400+480+400+1200+400+400+500+400</f>
        <v>4180</v>
      </c>
      <c r="D137" s="20">
        <v>3910</v>
      </c>
      <c r="E137" s="20">
        <v>2450</v>
      </c>
      <c r="F137" s="20">
        <f>400+480+450+500+400+480</f>
        <v>2710</v>
      </c>
      <c r="G137" s="20">
        <f>400+450+400+500</f>
        <v>1750</v>
      </c>
      <c r="H137" s="20">
        <f>480+400+400+400+400+500</f>
        <v>2580</v>
      </c>
      <c r="I137" s="20">
        <f>400+480+400+400+400+500+480</f>
        <v>3060</v>
      </c>
      <c r="J137" s="20">
        <f>400+500+400+400+480+400</f>
        <v>2580</v>
      </c>
      <c r="K137" s="20">
        <f>300+400+500+320</f>
        <v>1520</v>
      </c>
      <c r="L137" s="20">
        <f>480+400+350+500+400</f>
        <v>2130</v>
      </c>
      <c r="M137" s="20">
        <f>480+400+400+500+480+400</f>
        <v>2660</v>
      </c>
      <c r="N137" s="75">
        <f t="shared" si="59"/>
        <v>32430</v>
      </c>
      <c r="P137" s="20">
        <f>AVERAGE(B137:M137)</f>
        <v>2702.5</v>
      </c>
      <c r="T137" s="90">
        <v>43831</v>
      </c>
      <c r="U137" s="20">
        <v>22229.38</v>
      </c>
      <c r="V137" s="43">
        <v>161927.21</v>
      </c>
      <c r="W137" s="20">
        <v>240937.76</v>
      </c>
      <c r="X137" s="20">
        <v>29747.57</v>
      </c>
      <c r="Y137" s="20">
        <f t="shared" ref="Y137:Y148" si="60">Y136+Y65</f>
        <v>14002.990000000002</v>
      </c>
      <c r="Z137" s="20">
        <v>2382.73</v>
      </c>
      <c r="AA137" s="20"/>
      <c r="AB137" s="20">
        <v>0</v>
      </c>
      <c r="AC137" s="43">
        <v>0</v>
      </c>
      <c r="AE137" s="20">
        <v>1478.15</v>
      </c>
      <c r="AF137" s="20">
        <f t="shared" si="54"/>
        <v>471227.63999999996</v>
      </c>
      <c r="AL137" t="s">
        <v>516</v>
      </c>
      <c r="AM137">
        <f>SUM(AM127:AM135)</f>
        <v>6310</v>
      </c>
    </row>
    <row r="138" spans="1:39" x14ac:dyDescent="0.25">
      <c r="A138" t="s">
        <v>108</v>
      </c>
      <c r="B138" s="20">
        <v>3182.84</v>
      </c>
      <c r="C138" s="20">
        <v>3309.53</v>
      </c>
      <c r="D138" s="20">
        <v>3309.53</v>
      </c>
      <c r="E138" s="20">
        <v>3309.53</v>
      </c>
      <c r="F138" s="20">
        <v>5047.6000000000004</v>
      </c>
      <c r="G138" s="20">
        <v>4880.99</v>
      </c>
      <c r="H138" s="20">
        <v>3309.53</v>
      </c>
      <c r="I138" s="20">
        <v>3309.53</v>
      </c>
      <c r="J138" s="20">
        <v>3309.53</v>
      </c>
      <c r="K138" s="20">
        <v>3309.53</v>
      </c>
      <c r="L138" s="20">
        <v>3309.53</v>
      </c>
      <c r="M138" s="20">
        <v>3309.53</v>
      </c>
      <c r="N138" s="75">
        <f t="shared" si="59"/>
        <v>42897.2</v>
      </c>
      <c r="P138" s="20">
        <f>AVERAGE(B138:M138)</f>
        <v>3574.7666666666664</v>
      </c>
      <c r="T138" s="90">
        <v>43862</v>
      </c>
      <c r="U138" s="20">
        <v>23282.13</v>
      </c>
      <c r="V138" s="43">
        <v>152504.23000000001</v>
      </c>
      <c r="W138" s="20">
        <v>238544.19</v>
      </c>
      <c r="X138" s="20">
        <v>29486.07</v>
      </c>
      <c r="Y138" s="20">
        <f t="shared" si="60"/>
        <v>14559.580000000002</v>
      </c>
      <c r="Z138" s="20">
        <v>2055.06</v>
      </c>
      <c r="AA138" s="20"/>
      <c r="AB138" s="20">
        <v>0</v>
      </c>
      <c r="AC138" s="43">
        <v>0</v>
      </c>
      <c r="AE138" s="20">
        <v>1478.15</v>
      </c>
      <c r="AF138" s="20">
        <f t="shared" si="54"/>
        <v>460431.26000000007</v>
      </c>
    </row>
    <row r="139" spans="1:39" x14ac:dyDescent="0.25">
      <c r="A139" s="74" t="s">
        <v>4</v>
      </c>
      <c r="B139" s="75">
        <f t="shared" ref="B139" si="61">SUM(B133:B138)</f>
        <v>8816.630000000001</v>
      </c>
      <c r="C139" s="75">
        <f>SUM(C133:C138)</f>
        <v>9677.4</v>
      </c>
      <c r="D139" s="75">
        <f t="shared" ref="D139:E139" si="62">SUM(D133:D138)</f>
        <v>10055.1</v>
      </c>
      <c r="E139" s="75">
        <f t="shared" si="62"/>
        <v>6975.52</v>
      </c>
      <c r="F139" s="75">
        <f>SUM(F133:F138)</f>
        <v>9601.2900000000009</v>
      </c>
      <c r="G139" s="75">
        <f>SUM(G133:G138)</f>
        <v>7920.49</v>
      </c>
      <c r="H139" s="75">
        <f t="shared" ref="H139" si="63">SUM(H133:H138)</f>
        <v>7672.67</v>
      </c>
      <c r="I139" s="75">
        <f>SUM(I133:I138)</f>
        <v>8698.98</v>
      </c>
      <c r="J139" s="75">
        <f>SUM(J133:J138)</f>
        <v>7414.8700000000008</v>
      </c>
      <c r="K139" s="75">
        <f t="shared" ref="K139" si="64">SUM(K133:K138)</f>
        <v>6236.7200000000012</v>
      </c>
      <c r="L139" s="75">
        <f>SUM(L133:L138)</f>
        <v>7880.4500000000007</v>
      </c>
      <c r="M139" s="75">
        <f>SUM(M133:M138)</f>
        <v>8329.0600000000013</v>
      </c>
      <c r="N139" s="75">
        <f t="shared" ref="N139" si="65">SUM(N133:N138)</f>
        <v>99279.18</v>
      </c>
      <c r="P139" s="20">
        <f>AVERAGE(B139:M139)</f>
        <v>8273.2649999999976</v>
      </c>
      <c r="T139" s="90">
        <v>43891</v>
      </c>
      <c r="U139" s="20">
        <v>25439.21</v>
      </c>
      <c r="V139" s="43">
        <v>109835.76</v>
      </c>
      <c r="W139" s="20">
        <v>193979.65</v>
      </c>
      <c r="X139" s="20">
        <v>30700.240000000002</v>
      </c>
      <c r="Y139" s="20">
        <f t="shared" si="60"/>
        <v>15116.170000000002</v>
      </c>
      <c r="Z139" s="20">
        <v>801.6</v>
      </c>
      <c r="AA139" s="20"/>
      <c r="AB139" s="20">
        <v>0</v>
      </c>
      <c r="AC139" s="43">
        <v>0</v>
      </c>
      <c r="AF139" s="20">
        <f t="shared" si="54"/>
        <v>375872.62999999995</v>
      </c>
    </row>
    <row r="140" spans="1:39" x14ac:dyDescent="0.25">
      <c r="T140" s="90">
        <v>43922</v>
      </c>
      <c r="U140" s="20">
        <v>27405.09</v>
      </c>
      <c r="V140" s="43">
        <v>120142.59</v>
      </c>
      <c r="W140" s="20">
        <v>208552.82</v>
      </c>
      <c r="X140" s="20">
        <v>32206.81</v>
      </c>
      <c r="Y140" s="20">
        <f t="shared" si="60"/>
        <v>15672.760000000002</v>
      </c>
      <c r="Z140" s="20">
        <v>966.79</v>
      </c>
      <c r="AA140" s="20"/>
      <c r="AB140" s="20">
        <v>0</v>
      </c>
      <c r="AC140" s="43">
        <v>0</v>
      </c>
      <c r="AF140" s="20">
        <f t="shared" si="54"/>
        <v>404946.86</v>
      </c>
    </row>
    <row r="141" spans="1:39" x14ac:dyDescent="0.25">
      <c r="A141" s="74" t="s">
        <v>236</v>
      </c>
      <c r="B141" s="20">
        <f>B128+B139</f>
        <v>12528.85</v>
      </c>
      <c r="C141" s="20">
        <f>C128+C139</f>
        <v>14526.47</v>
      </c>
      <c r="D141" s="20">
        <f>D128+D139</f>
        <v>13767.32</v>
      </c>
      <c r="E141" s="20">
        <f>E128+E139</f>
        <v>10652.310000000001</v>
      </c>
      <c r="F141" s="20">
        <f t="shared" ref="F141:I141" si="66">F128+F139</f>
        <v>13278.080000000002</v>
      </c>
      <c r="G141" s="20">
        <f>G128+G139</f>
        <v>11597.279999999999</v>
      </c>
      <c r="H141" s="20">
        <f t="shared" si="66"/>
        <v>11349.46</v>
      </c>
      <c r="I141" s="20">
        <f t="shared" si="66"/>
        <v>12375.77</v>
      </c>
      <c r="J141" s="20">
        <f>J128+J139</f>
        <v>11091.66</v>
      </c>
      <c r="K141" s="20">
        <f>K128+K139</f>
        <v>10500.230000000001</v>
      </c>
      <c r="L141" s="20">
        <f>L128+L139</f>
        <v>11557.240000000002</v>
      </c>
      <c r="M141" s="20">
        <f>M128+M139</f>
        <v>15719.780000000002</v>
      </c>
      <c r="N141" s="75">
        <f>SUM(B141:M141)</f>
        <v>148944.44999999998</v>
      </c>
      <c r="P141" s="20">
        <f>AVERAGE(B141:M141)</f>
        <v>12412.037499999999</v>
      </c>
      <c r="T141" s="90">
        <v>43952</v>
      </c>
      <c r="U141" s="20">
        <v>29460.07</v>
      </c>
      <c r="V141" s="43">
        <v>126786.8</v>
      </c>
      <c r="W141" s="20">
        <v>215512.62</v>
      </c>
      <c r="X141" s="20">
        <v>34422.080000000002</v>
      </c>
      <c r="Y141" s="20">
        <f t="shared" si="60"/>
        <v>16229.350000000002</v>
      </c>
      <c r="Z141" s="20">
        <v>1053.58</v>
      </c>
      <c r="AA141" s="20"/>
      <c r="AB141" s="20">
        <v>0</v>
      </c>
      <c r="AC141" s="43">
        <v>0</v>
      </c>
      <c r="AF141" s="20">
        <f t="shared" si="54"/>
        <v>423464.5</v>
      </c>
    </row>
    <row r="142" spans="1:39" x14ac:dyDescent="0.25">
      <c r="A142" s="74" t="s">
        <v>235</v>
      </c>
      <c r="B142" s="20">
        <f>B126+B127+B139</f>
        <v>16016.95</v>
      </c>
      <c r="C142" s="20">
        <f>C126+C127+C139</f>
        <v>18403.599999999999</v>
      </c>
      <c r="D142" s="20">
        <f t="shared" ref="D142:K142" si="67">D126+D127+D139</f>
        <v>16966.04</v>
      </c>
      <c r="E142" s="20">
        <f t="shared" si="67"/>
        <v>11186.990000000002</v>
      </c>
      <c r="F142" s="20">
        <f t="shared" si="67"/>
        <v>13578.02</v>
      </c>
      <c r="G142" s="20">
        <f>G126+G127+G139</f>
        <v>11897.220000000001</v>
      </c>
      <c r="H142" s="20">
        <f t="shared" si="67"/>
        <v>15541.7</v>
      </c>
      <c r="I142" s="20">
        <f t="shared" si="67"/>
        <v>13145.18</v>
      </c>
      <c r="J142" s="20">
        <f>J126+J127+J139</f>
        <v>16868.739999999998</v>
      </c>
      <c r="K142" s="20">
        <f t="shared" si="67"/>
        <v>12868.630000000001</v>
      </c>
      <c r="L142" s="20">
        <f>L126+L127+L139</f>
        <v>11159.6</v>
      </c>
      <c r="M142" s="20">
        <f>M126+M127+M139</f>
        <v>13430.810000000001</v>
      </c>
      <c r="N142" s="75">
        <f>SUM(B142:M142)</f>
        <v>171063.48</v>
      </c>
      <c r="P142" s="20">
        <f>AVERAGE(B142:M142)</f>
        <v>14255.29</v>
      </c>
      <c r="T142" s="90">
        <v>43983</v>
      </c>
      <c r="U142" s="20">
        <v>3406.12</v>
      </c>
      <c r="V142" s="43">
        <v>140398.39000000001</v>
      </c>
      <c r="W142" s="20">
        <v>232021.75</v>
      </c>
      <c r="X142" s="20">
        <v>36038.239999999998</v>
      </c>
      <c r="Y142" s="20">
        <f t="shared" si="60"/>
        <v>16785.940000000002</v>
      </c>
      <c r="Z142" s="20">
        <v>1083.99</v>
      </c>
      <c r="AA142" s="20">
        <f>AA70</f>
        <v>1100</v>
      </c>
      <c r="AB142" s="20">
        <v>0</v>
      </c>
      <c r="AC142" s="43">
        <v>0</v>
      </c>
      <c r="AF142" s="20">
        <f t="shared" si="54"/>
        <v>430834.43</v>
      </c>
    </row>
    <row r="143" spans="1:39" x14ac:dyDescent="0.25">
      <c r="A143" s="74" t="s">
        <v>237</v>
      </c>
      <c r="B143" s="43">
        <f>B130+B139</f>
        <v>19729.169999999998</v>
      </c>
      <c r="C143" s="43">
        <f>C130+C139</f>
        <v>23252.67</v>
      </c>
      <c r="D143" s="43">
        <f t="shared" ref="D143:E143" si="68">D130+D139</f>
        <v>20678.260000000002</v>
      </c>
      <c r="E143" s="43">
        <f t="shared" si="68"/>
        <v>14863.78</v>
      </c>
      <c r="F143" s="43">
        <f>F130+F139</f>
        <v>17254.810000000001</v>
      </c>
      <c r="G143" s="43">
        <f>G130+G139</f>
        <v>16587.86</v>
      </c>
      <c r="H143" s="43">
        <f>H130+H139</f>
        <v>19830.37</v>
      </c>
      <c r="I143" s="43">
        <f t="shared" ref="I143" si="69">I130+I139</f>
        <v>16821.97</v>
      </c>
      <c r="J143" s="43">
        <f>J130+J139</f>
        <v>21068.989999999998</v>
      </c>
      <c r="K143" s="43">
        <f t="shared" ref="K143" si="70">K130+K139</f>
        <v>17132.14</v>
      </c>
      <c r="L143" s="43">
        <f>L130+L139</f>
        <v>15928.010000000002</v>
      </c>
      <c r="M143" s="43">
        <f>M130+M139</f>
        <v>21268.780000000002</v>
      </c>
      <c r="N143" s="75">
        <f>SUM(B143:M143)</f>
        <v>224416.81000000003</v>
      </c>
      <c r="P143" s="20">
        <f>AVERAGE(B143:M143)</f>
        <v>18701.400833333337</v>
      </c>
      <c r="T143" s="90">
        <v>44013</v>
      </c>
      <c r="U143" s="20">
        <v>4414.8900000000003</v>
      </c>
      <c r="V143" s="43">
        <v>147578.38</v>
      </c>
      <c r="W143" s="20">
        <v>226733.73</v>
      </c>
      <c r="X143" s="20">
        <v>37144.559999999998</v>
      </c>
      <c r="Y143" s="20">
        <f t="shared" si="60"/>
        <v>17812.000000000004</v>
      </c>
      <c r="Z143" s="20">
        <v>1354.74</v>
      </c>
      <c r="AA143" s="20">
        <f>AA71</f>
        <v>2200</v>
      </c>
      <c r="AB143" s="20">
        <v>0</v>
      </c>
      <c r="AC143" s="43">
        <v>0</v>
      </c>
      <c r="AF143" s="20">
        <f>SUM(U143:AA143)</f>
        <v>437238.3</v>
      </c>
    </row>
    <row r="144" spans="1:39" x14ac:dyDescent="0.25">
      <c r="A144" s="74" t="s">
        <v>250</v>
      </c>
      <c r="B144" s="20">
        <f>SUM(B133:B136)</f>
        <v>2733.79</v>
      </c>
      <c r="C144" s="20">
        <f>SUM(C133:C136)</f>
        <v>2187.87</v>
      </c>
      <c r="D144" s="20">
        <f>SUM(D133:D136)</f>
        <v>2835.57</v>
      </c>
      <c r="E144" s="20">
        <f t="shared" ref="E144" si="71">SUM(E133:E136)</f>
        <v>1215.99</v>
      </c>
      <c r="F144" s="20">
        <f>SUM(F133:F136)</f>
        <v>1843.6899999999998</v>
      </c>
      <c r="G144" s="20">
        <f>SUM(G133:G136)</f>
        <v>1289.5</v>
      </c>
      <c r="H144" s="20">
        <f t="shared" ref="H144:I144" si="72">SUM(H133:H136)</f>
        <v>1783.1399999999999</v>
      </c>
      <c r="I144" s="20">
        <f t="shared" si="72"/>
        <v>2329.4499999999998</v>
      </c>
      <c r="J144" s="20">
        <f>SUM(J133:J136)</f>
        <v>1525.34</v>
      </c>
      <c r="K144" s="20">
        <f>SUM(K133:K136)</f>
        <v>1407.1900000000003</v>
      </c>
      <c r="L144" s="20">
        <f>SUM(L133:L136)</f>
        <v>2440.92</v>
      </c>
      <c r="M144" s="20">
        <f>SUM(M133:M136)</f>
        <v>2359.5300000000002</v>
      </c>
      <c r="N144" s="75">
        <f>SUM(N133:N136)</f>
        <v>23951.980000000003</v>
      </c>
      <c r="P144" s="20">
        <f>AVERAGE(B144:M144)</f>
        <v>1995.998333333333</v>
      </c>
      <c r="T144" s="90">
        <v>44044</v>
      </c>
      <c r="U144" s="20">
        <v>4422.01</v>
      </c>
      <c r="V144" s="43">
        <v>145618.91</v>
      </c>
      <c r="W144" s="20">
        <v>236876.44</v>
      </c>
      <c r="X144" s="20">
        <v>34879.54</v>
      </c>
      <c r="Y144" s="20">
        <f t="shared" si="60"/>
        <v>18368.590000000004</v>
      </c>
      <c r="Z144" s="20">
        <v>1169.1300000000001</v>
      </c>
      <c r="AA144" s="20">
        <f>AA72</f>
        <v>1100</v>
      </c>
      <c r="AB144" s="20">
        <v>0</v>
      </c>
      <c r="AC144" s="43">
        <v>0</v>
      </c>
      <c r="AF144" s="20">
        <f t="shared" ref="AF144" si="73">SUM(U144:AA144)</f>
        <v>442434.62</v>
      </c>
    </row>
    <row r="145" spans="1:32" x14ac:dyDescent="0.25">
      <c r="A145" s="74" t="s">
        <v>391</v>
      </c>
      <c r="B145" s="20">
        <f>SUM(B133:B138)</f>
        <v>8816.630000000001</v>
      </c>
      <c r="C145" s="20">
        <f t="shared" ref="C145:N145" si="74">SUM(C133:C138)</f>
        <v>9677.4</v>
      </c>
      <c r="D145" s="20">
        <f t="shared" si="74"/>
        <v>10055.1</v>
      </c>
      <c r="E145" s="20">
        <f t="shared" si="74"/>
        <v>6975.52</v>
      </c>
      <c r="F145" s="20">
        <f t="shared" si="74"/>
        <v>9601.2900000000009</v>
      </c>
      <c r="G145" s="20">
        <f>SUM(G133:G138)</f>
        <v>7920.49</v>
      </c>
      <c r="H145" s="20">
        <f>SUM(H133:H138)</f>
        <v>7672.67</v>
      </c>
      <c r="I145" s="20">
        <f t="shared" si="74"/>
        <v>8698.98</v>
      </c>
      <c r="J145" s="20">
        <f t="shared" si="74"/>
        <v>7414.8700000000008</v>
      </c>
      <c r="K145" s="20">
        <f>SUM(K133:K138)</f>
        <v>6236.7200000000012</v>
      </c>
      <c r="L145" s="20">
        <f t="shared" si="74"/>
        <v>7880.4500000000007</v>
      </c>
      <c r="M145" s="20">
        <f t="shared" si="74"/>
        <v>8329.0600000000013</v>
      </c>
      <c r="N145" s="75">
        <f t="shared" si="74"/>
        <v>99279.18</v>
      </c>
      <c r="P145" s="20">
        <f>AVERAGE(B145:M145)</f>
        <v>8273.2649999999976</v>
      </c>
      <c r="T145" s="90">
        <v>44075</v>
      </c>
      <c r="U145" s="20">
        <v>6423.88</v>
      </c>
      <c r="V145" s="43">
        <v>142618.65</v>
      </c>
      <c r="W145" s="20">
        <v>242702.85</v>
      </c>
      <c r="X145" s="20">
        <v>35528.26</v>
      </c>
      <c r="Y145" s="20">
        <f t="shared" si="60"/>
        <v>18925.180000000004</v>
      </c>
      <c r="Z145" s="20">
        <v>1037.27</v>
      </c>
      <c r="AA145" s="20">
        <f>AA73</f>
        <v>3600</v>
      </c>
      <c r="AB145" s="20">
        <v>0</v>
      </c>
      <c r="AC145" s="43">
        <v>0</v>
      </c>
      <c r="AF145" s="20">
        <f t="shared" ref="AF145" si="75">SUM(U145:AA145)</f>
        <v>450836.09</v>
      </c>
    </row>
    <row r="146" spans="1:32" x14ac:dyDescent="0.25">
      <c r="T146" s="90">
        <v>44105</v>
      </c>
      <c r="U146" s="20">
        <v>0</v>
      </c>
      <c r="V146" s="43">
        <v>145855.57</v>
      </c>
      <c r="W146" s="20">
        <v>242460.3</v>
      </c>
      <c r="X146" s="20">
        <v>36766.480000000003</v>
      </c>
      <c r="Y146" s="20">
        <f t="shared" si="60"/>
        <v>19481.770000000004</v>
      </c>
      <c r="Z146" s="20">
        <v>1088.44</v>
      </c>
      <c r="AA146" s="20">
        <v>7770</v>
      </c>
      <c r="AB146" s="20">
        <v>0</v>
      </c>
      <c r="AC146" s="43">
        <v>0</v>
      </c>
      <c r="AF146" s="20">
        <f t="shared" ref="AF146:AF151" si="76">SUM(U146:AA146)</f>
        <v>453422.56</v>
      </c>
    </row>
    <row r="147" spans="1:32" x14ac:dyDescent="0.25">
      <c r="T147" s="90">
        <v>44136</v>
      </c>
      <c r="U147" s="20">
        <v>0</v>
      </c>
      <c r="V147" s="43">
        <v>167657.63</v>
      </c>
      <c r="W147" s="20">
        <v>249987.82</v>
      </c>
      <c r="X147" s="20">
        <v>36850.480000000003</v>
      </c>
      <c r="Y147" s="20">
        <f t="shared" si="60"/>
        <v>20038.360000000004</v>
      </c>
      <c r="Z147" s="20">
        <v>1282.29</v>
      </c>
      <c r="AA147" s="20">
        <f>AA146+AA75</f>
        <v>8320</v>
      </c>
      <c r="AB147" s="20">
        <v>0</v>
      </c>
      <c r="AC147" s="43">
        <v>0</v>
      </c>
      <c r="AF147" s="20">
        <f t="shared" si="76"/>
        <v>484136.57999999996</v>
      </c>
    </row>
    <row r="148" spans="1:32" x14ac:dyDescent="0.25">
      <c r="A148" s="91" t="s">
        <v>524</v>
      </c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P148" s="20"/>
      <c r="T148" s="90">
        <v>44166</v>
      </c>
      <c r="U148" s="20">
        <v>1000</v>
      </c>
      <c r="V148" s="43">
        <v>181166.67</v>
      </c>
      <c r="W148" s="20">
        <v>261698.95</v>
      </c>
      <c r="X148" s="20">
        <v>37958.81</v>
      </c>
      <c r="Y148" s="20">
        <f t="shared" si="60"/>
        <v>20606.490000000005</v>
      </c>
      <c r="Z148" s="20">
        <v>1357.47</v>
      </c>
      <c r="AA148" s="20">
        <f>AA147+AA76</f>
        <v>11070</v>
      </c>
      <c r="AB148" s="20">
        <v>0</v>
      </c>
      <c r="AC148" s="43">
        <v>0</v>
      </c>
      <c r="AF148" s="20">
        <f t="shared" si="76"/>
        <v>514858.38999999996</v>
      </c>
    </row>
    <row r="149" spans="1:32" x14ac:dyDescent="0.25">
      <c r="A149" s="83" t="s">
        <v>228</v>
      </c>
      <c r="B149" s="84" t="s">
        <v>42</v>
      </c>
      <c r="C149" s="84" t="s">
        <v>43</v>
      </c>
      <c r="D149" s="84" t="s">
        <v>44</v>
      </c>
      <c r="E149" s="84" t="s">
        <v>45</v>
      </c>
      <c r="F149" s="84" t="s">
        <v>46</v>
      </c>
      <c r="G149" s="84" t="s">
        <v>20</v>
      </c>
      <c r="H149" s="84" t="s">
        <v>21</v>
      </c>
      <c r="I149" s="84" t="s">
        <v>22</v>
      </c>
      <c r="J149" s="84" t="s">
        <v>23</v>
      </c>
      <c r="K149" s="84" t="s">
        <v>24</v>
      </c>
      <c r="L149" s="84" t="s">
        <v>25</v>
      </c>
      <c r="M149" s="84" t="s">
        <v>26</v>
      </c>
      <c r="N149" s="84" t="s">
        <v>47</v>
      </c>
      <c r="P149" s="84" t="s">
        <v>225</v>
      </c>
      <c r="T149" s="90">
        <v>44197</v>
      </c>
      <c r="U149" s="20">
        <v>1002.26</v>
      </c>
      <c r="V149" s="43">
        <v>176791.65</v>
      </c>
      <c r="W149" s="20">
        <v>262384.36</v>
      </c>
      <c r="X149" s="20">
        <v>37210.47</v>
      </c>
      <c r="Y149" s="20">
        <f>Y148+Y82</f>
        <v>21174.620000000006</v>
      </c>
      <c r="Z149" s="20">
        <v>1297.57</v>
      </c>
      <c r="AA149" s="20">
        <f>AA148+AA82</f>
        <v>11620</v>
      </c>
      <c r="AB149" s="20">
        <v>0</v>
      </c>
      <c r="AC149" s="43">
        <v>0</v>
      </c>
      <c r="AF149" s="20">
        <f t="shared" si="76"/>
        <v>511480.93</v>
      </c>
    </row>
    <row r="150" spans="1:32" x14ac:dyDescent="0.25">
      <c r="A150" t="s">
        <v>107</v>
      </c>
      <c r="B150" s="20">
        <v>6434.55</v>
      </c>
      <c r="C150" s="20">
        <f>192691.67+4000.67</f>
        <v>196692.34000000003</v>
      </c>
      <c r="D150" s="20">
        <v>117280.61</v>
      </c>
      <c r="E150" s="20"/>
      <c r="F150" s="20"/>
      <c r="G150" s="20"/>
      <c r="H150" s="20"/>
      <c r="I150" s="20"/>
      <c r="J150" s="20"/>
      <c r="K150" s="20"/>
      <c r="L150" s="20"/>
      <c r="M150" s="20"/>
      <c r="N150" s="75">
        <f>SUM(B150:M150)</f>
        <v>320407.5</v>
      </c>
      <c r="P150" s="20">
        <f>AVERAGE(B150:M150)</f>
        <v>106802.5</v>
      </c>
      <c r="T150" s="90">
        <v>44228</v>
      </c>
      <c r="U150" s="20">
        <v>0</v>
      </c>
      <c r="V150" s="43">
        <v>174771.26</v>
      </c>
      <c r="W150" s="20">
        <v>265531.15000000002</v>
      </c>
      <c r="X150" s="20">
        <v>35936.410000000003</v>
      </c>
      <c r="Y150" s="20">
        <f>Y149+Y83</f>
        <v>21174.620000000006</v>
      </c>
      <c r="Z150" s="20">
        <v>1181.97</v>
      </c>
      <c r="AA150" s="20">
        <f>AA149+AA83</f>
        <v>13270</v>
      </c>
      <c r="AB150" s="20">
        <v>0</v>
      </c>
      <c r="AC150" s="43">
        <v>0</v>
      </c>
      <c r="AF150" s="20">
        <f t="shared" si="76"/>
        <v>511865.41000000003</v>
      </c>
    </row>
    <row r="151" spans="1:32" x14ac:dyDescent="0.25">
      <c r="A151" t="s">
        <v>109</v>
      </c>
      <c r="B151" s="20">
        <v>802.72</v>
      </c>
      <c r="C151" s="20">
        <v>958.4</v>
      </c>
      <c r="D151" s="20">
        <v>0</v>
      </c>
      <c r="E151" s="20"/>
      <c r="F151" s="20"/>
      <c r="G151" s="20"/>
      <c r="H151" s="20"/>
      <c r="I151" s="20"/>
      <c r="J151" s="20"/>
      <c r="K151" s="20"/>
      <c r="L151" s="20"/>
      <c r="M151" s="20"/>
      <c r="N151" s="75">
        <f>SUM(B151:M151)</f>
        <v>1761.12</v>
      </c>
      <c r="P151" s="20">
        <f>AVERAGE(B151:M151)</f>
        <v>587.04</v>
      </c>
      <c r="T151" s="90">
        <v>44256</v>
      </c>
      <c r="U151" s="20">
        <v>0</v>
      </c>
      <c r="V151" s="43">
        <v>193886.71</v>
      </c>
      <c r="W151" s="20">
        <v>258403.83</v>
      </c>
      <c r="X151" s="20">
        <v>36803.51</v>
      </c>
      <c r="Y151" s="20">
        <f>Y150+Y84</f>
        <v>21174.620000000006</v>
      </c>
      <c r="Z151" s="20">
        <v>1159.78</v>
      </c>
      <c r="AA151" s="20">
        <f>AA150+AA84</f>
        <v>13820</v>
      </c>
      <c r="AB151" s="20">
        <v>0</v>
      </c>
      <c r="AC151" s="43">
        <v>0</v>
      </c>
      <c r="AF151" s="20">
        <f t="shared" si="76"/>
        <v>525248.44999999995</v>
      </c>
    </row>
    <row r="152" spans="1:32" x14ac:dyDescent="0.25">
      <c r="A152" t="s">
        <v>110</v>
      </c>
      <c r="B152" s="20">
        <v>3676.79</v>
      </c>
      <c r="C152" s="20">
        <v>4815.92</v>
      </c>
      <c r="D152" s="20">
        <v>3676.79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75">
        <f>SUM(B152:M152)</f>
        <v>12169.5</v>
      </c>
      <c r="P152" s="20">
        <f>AVERAGE(B152:M152)</f>
        <v>4056.5</v>
      </c>
    </row>
    <row r="153" spans="1:32" x14ac:dyDescent="0.25">
      <c r="A153" t="s">
        <v>610</v>
      </c>
      <c r="B153" s="20">
        <v>0</v>
      </c>
      <c r="C153" s="20">
        <v>0</v>
      </c>
      <c r="D153" s="20">
        <f>433.79+112.08</f>
        <v>545.87</v>
      </c>
      <c r="E153" s="20">
        <v>577.67999999999995</v>
      </c>
      <c r="F153" s="20"/>
      <c r="G153" s="20"/>
      <c r="H153" s="20"/>
      <c r="I153" s="20"/>
      <c r="J153" s="20"/>
      <c r="K153" s="20"/>
      <c r="L153" s="20"/>
      <c r="M153" s="20"/>
      <c r="N153" s="75">
        <f>SUM(B153:M153)</f>
        <v>1123.55</v>
      </c>
      <c r="P153" s="20">
        <f>AVERAGE(B153:M153)</f>
        <v>280.88749999999999</v>
      </c>
    </row>
    <row r="154" spans="1:32" x14ac:dyDescent="0.25">
      <c r="A154" s="74" t="s">
        <v>4</v>
      </c>
      <c r="B154" s="75">
        <f>SUM(B150:B153)</f>
        <v>10914.060000000001</v>
      </c>
      <c r="C154" s="75">
        <f>SUM(C150:C153)</f>
        <v>202466.66000000003</v>
      </c>
      <c r="D154" s="75">
        <f>SUM(D150:D153)</f>
        <v>121503.26999999999</v>
      </c>
      <c r="E154" s="75">
        <f t="shared" ref="E154:M154" si="77">SUM(E150:E153)</f>
        <v>577.67999999999995</v>
      </c>
      <c r="F154" s="75">
        <f t="shared" si="77"/>
        <v>0</v>
      </c>
      <c r="G154" s="75">
        <f t="shared" si="77"/>
        <v>0</v>
      </c>
      <c r="H154" s="75">
        <f t="shared" si="77"/>
        <v>0</v>
      </c>
      <c r="I154" s="75">
        <f t="shared" si="77"/>
        <v>0</v>
      </c>
      <c r="J154" s="75">
        <f t="shared" si="77"/>
        <v>0</v>
      </c>
      <c r="K154" s="75">
        <f t="shared" si="77"/>
        <v>0</v>
      </c>
      <c r="L154" s="75">
        <f t="shared" si="77"/>
        <v>0</v>
      </c>
      <c r="M154" s="75">
        <f t="shared" si="77"/>
        <v>0</v>
      </c>
      <c r="N154" s="75">
        <f>SUM(N150:N153)</f>
        <v>335461.67</v>
      </c>
      <c r="P154" s="20">
        <f>AVERAGE(B154:M154)</f>
        <v>27955.139166666664</v>
      </c>
    </row>
    <row r="156" spans="1:32" x14ac:dyDescent="0.25">
      <c r="A156" s="83" t="s">
        <v>163</v>
      </c>
      <c r="B156" s="84" t="s">
        <v>42</v>
      </c>
      <c r="C156" s="84" t="s">
        <v>43</v>
      </c>
      <c r="D156" s="84" t="s">
        <v>44</v>
      </c>
      <c r="E156" s="84" t="s">
        <v>45</v>
      </c>
      <c r="F156" s="84" t="s">
        <v>46</v>
      </c>
      <c r="G156" s="84" t="s">
        <v>20</v>
      </c>
      <c r="H156" s="84" t="s">
        <v>21</v>
      </c>
      <c r="I156" s="84" t="s">
        <v>22</v>
      </c>
      <c r="J156" s="84" t="s">
        <v>23</v>
      </c>
      <c r="K156" s="84" t="s">
        <v>24</v>
      </c>
      <c r="L156" s="84" t="s">
        <v>25</v>
      </c>
      <c r="M156" s="84" t="s">
        <v>26</v>
      </c>
      <c r="N156" s="84" t="s">
        <v>47</v>
      </c>
      <c r="P156" s="84" t="s">
        <v>225</v>
      </c>
    </row>
    <row r="157" spans="1:32" x14ac:dyDescent="0.25">
      <c r="A157" t="s">
        <v>167</v>
      </c>
      <c r="B157" s="20">
        <v>2.2599999999999998</v>
      </c>
      <c r="C157" s="20">
        <v>0</v>
      </c>
      <c r="D157" s="20">
        <v>0</v>
      </c>
      <c r="E157" s="20">
        <v>0</v>
      </c>
      <c r="F157" s="20"/>
      <c r="G157" s="20"/>
      <c r="H157" s="20"/>
      <c r="I157" s="20"/>
      <c r="J157" s="20"/>
      <c r="K157" s="20"/>
      <c r="L157" s="20"/>
      <c r="M157" s="20"/>
      <c r="N157" s="75">
        <f t="shared" ref="N157:N158" si="78">SUM(B157:M157)</f>
        <v>2.2599999999999998</v>
      </c>
      <c r="P157" s="20">
        <f t="shared" ref="P157:P160" si="79">AVERAGE(B157:M157)</f>
        <v>0.56499999999999995</v>
      </c>
    </row>
    <row r="158" spans="1:32" x14ac:dyDescent="0.25">
      <c r="A158" t="s">
        <v>159</v>
      </c>
      <c r="B158" s="20">
        <v>565.54</v>
      </c>
      <c r="C158" s="20">
        <v>453.64</v>
      </c>
      <c r="D158" s="20">
        <v>0</v>
      </c>
      <c r="E158" s="20">
        <v>0</v>
      </c>
      <c r="F158" s="20"/>
      <c r="G158" s="20"/>
      <c r="H158" s="20"/>
      <c r="I158" s="20"/>
      <c r="J158" s="20"/>
      <c r="K158" s="20"/>
      <c r="L158" s="20"/>
      <c r="M158" s="20"/>
      <c r="N158" s="75">
        <f t="shared" si="78"/>
        <v>1019.18</v>
      </c>
      <c r="P158" s="20">
        <f t="shared" si="79"/>
        <v>254.79499999999999</v>
      </c>
    </row>
    <row r="159" spans="1:32" x14ac:dyDescent="0.25">
      <c r="A159" t="s">
        <v>165</v>
      </c>
      <c r="B159" s="20">
        <v>1879.85</v>
      </c>
      <c r="C159" s="20">
        <v>1777.1</v>
      </c>
      <c r="D159" s="20">
        <v>1705.25</v>
      </c>
      <c r="E159" s="20">
        <v>1636</v>
      </c>
      <c r="F159" s="20"/>
      <c r="G159" s="20"/>
      <c r="H159" s="20"/>
      <c r="I159" s="20"/>
      <c r="J159" s="20"/>
      <c r="K159" s="20"/>
      <c r="L159" s="20"/>
      <c r="M159" s="20"/>
      <c r="N159" s="75">
        <f>SUM(B159:M159)</f>
        <v>6998.2</v>
      </c>
      <c r="P159" s="20">
        <f t="shared" si="79"/>
        <v>1749.55</v>
      </c>
    </row>
    <row r="160" spans="1:32" x14ac:dyDescent="0.25">
      <c r="A160" t="s">
        <v>14</v>
      </c>
      <c r="B160" s="20">
        <v>202.52</v>
      </c>
      <c r="C160" s="20">
        <v>318.85000000000002</v>
      </c>
      <c r="D160" s="20">
        <v>1013.55</v>
      </c>
      <c r="E160" s="20">
        <v>65.8</v>
      </c>
      <c r="F160" s="20"/>
      <c r="G160" s="20"/>
      <c r="H160" s="20"/>
      <c r="I160" s="41"/>
      <c r="J160" s="20"/>
      <c r="K160" s="20"/>
      <c r="L160" s="20"/>
      <c r="M160" s="20"/>
      <c r="N160" s="75">
        <f t="shared" ref="N160:N162" si="80">SUM(B160:M160)</f>
        <v>1600.72</v>
      </c>
      <c r="P160" s="20">
        <f t="shared" si="79"/>
        <v>400.18</v>
      </c>
    </row>
    <row r="161" spans="1:16" x14ac:dyDescent="0.25">
      <c r="A161" t="s">
        <v>166</v>
      </c>
      <c r="B161" s="20">
        <f>400+400+400+400</f>
        <v>1600</v>
      </c>
      <c r="C161" s="20">
        <f>500+400+480+400+400+400</f>
        <v>2580</v>
      </c>
      <c r="D161" s="20">
        <f>480+400+500+300+400+400+480</f>
        <v>2960</v>
      </c>
      <c r="E161" s="20">
        <f>400+500</f>
        <v>900</v>
      </c>
      <c r="F161" s="20"/>
      <c r="G161" s="20"/>
      <c r="H161" s="20"/>
      <c r="I161" s="20"/>
      <c r="J161" s="20"/>
      <c r="K161" s="20"/>
      <c r="L161" s="20"/>
      <c r="M161" s="20"/>
      <c r="N161" s="75">
        <f t="shared" si="80"/>
        <v>8040</v>
      </c>
      <c r="P161" s="20">
        <f>AVERAGE(B161:M161)</f>
        <v>2010</v>
      </c>
    </row>
    <row r="162" spans="1:16" x14ac:dyDescent="0.25">
      <c r="A162" t="s">
        <v>108</v>
      </c>
      <c r="B162" s="20">
        <v>3309.53</v>
      </c>
      <c r="C162" s="20">
        <v>3470.56</v>
      </c>
      <c r="D162" s="20">
        <v>3470.56</v>
      </c>
      <c r="E162" s="20">
        <v>3470.56</v>
      </c>
      <c r="F162" s="20"/>
      <c r="G162" s="20"/>
      <c r="H162" s="20"/>
      <c r="I162" s="20"/>
      <c r="J162" s="20"/>
      <c r="K162" s="20"/>
      <c r="L162" s="20"/>
      <c r="M162" s="20"/>
      <c r="N162" s="75">
        <f t="shared" si="80"/>
        <v>13721.21</v>
      </c>
      <c r="P162" s="20">
        <f>AVERAGE(B162:M162)</f>
        <v>3430.3024999999998</v>
      </c>
    </row>
    <row r="163" spans="1:16" x14ac:dyDescent="0.25">
      <c r="A163" s="74" t="s">
        <v>4</v>
      </c>
      <c r="B163" s="75">
        <f t="shared" ref="B163" si="81">SUM(B157:B162)</f>
        <v>7559.7000000000007</v>
      </c>
      <c r="C163" s="75">
        <f>SUM(C157:C162)</f>
        <v>8600.15</v>
      </c>
      <c r="D163" s="75">
        <f t="shared" ref="D163" si="82">SUM(D157:D162)</f>
        <v>9149.36</v>
      </c>
      <c r="E163" s="75">
        <f>SUM(E157:E162)</f>
        <v>6072.3600000000006</v>
      </c>
      <c r="F163" s="75">
        <f>SUM(F157:F162)</f>
        <v>0</v>
      </c>
      <c r="G163" s="75">
        <f>SUM(G157:G162)</f>
        <v>0</v>
      </c>
      <c r="H163" s="75">
        <f t="shared" ref="H163" si="83">SUM(H157:H162)</f>
        <v>0</v>
      </c>
      <c r="I163" s="75">
        <f>SUM(I157:I162)</f>
        <v>0</v>
      </c>
      <c r="J163" s="75">
        <f>SUM(J157:J162)</f>
        <v>0</v>
      </c>
      <c r="K163" s="75">
        <f t="shared" ref="K163" si="84">SUM(K157:K162)</f>
        <v>0</v>
      </c>
      <c r="L163" s="75">
        <f>SUM(L157:L162)</f>
        <v>0</v>
      </c>
      <c r="M163" s="75">
        <f>SUM(M157:M162)</f>
        <v>0</v>
      </c>
      <c r="N163" s="75">
        <f t="shared" ref="N163" si="85">SUM(N157:N162)</f>
        <v>31381.57</v>
      </c>
      <c r="P163" s="20">
        <f>AVERAGE(B163:M163)</f>
        <v>2615.1308333333332</v>
      </c>
    </row>
    <row r="165" spans="1:16" x14ac:dyDescent="0.25">
      <c r="A165" s="74" t="s">
        <v>236</v>
      </c>
      <c r="B165" s="20">
        <f>B152+B163</f>
        <v>11236.490000000002</v>
      </c>
      <c r="C165" s="20">
        <f>C152+C163</f>
        <v>13416.07</v>
      </c>
      <c r="D165" s="20">
        <f>D152+D163</f>
        <v>12826.150000000001</v>
      </c>
      <c r="E165" s="20">
        <f>E152+E163</f>
        <v>6072.3600000000006</v>
      </c>
      <c r="F165" s="20">
        <f t="shared" ref="F165" si="86">F152+F163</f>
        <v>0</v>
      </c>
      <c r="G165" s="20">
        <f>G152+G163</f>
        <v>0</v>
      </c>
      <c r="H165" s="20">
        <f t="shared" ref="H165:I165" si="87">H152+H163</f>
        <v>0</v>
      </c>
      <c r="I165" s="20">
        <f t="shared" si="87"/>
        <v>0</v>
      </c>
      <c r="J165" s="20">
        <f>J152+J163</f>
        <v>0</v>
      </c>
      <c r="K165" s="20">
        <f>K152+K163</f>
        <v>0</v>
      </c>
      <c r="L165" s="20">
        <f>L152+L163</f>
        <v>0</v>
      </c>
      <c r="M165" s="20">
        <f>M152+M163</f>
        <v>0</v>
      </c>
      <c r="N165" s="75">
        <f>SUM(B165:M165)</f>
        <v>43551.070000000007</v>
      </c>
      <c r="P165" s="20">
        <f>AVERAGE(B165:M165)</f>
        <v>3629.2558333333341</v>
      </c>
    </row>
    <row r="166" spans="1:16" x14ac:dyDescent="0.25">
      <c r="A166" s="74" t="s">
        <v>235</v>
      </c>
      <c r="B166" s="20">
        <f>B150+B151+B163</f>
        <v>14796.970000000001</v>
      </c>
      <c r="C166" s="20">
        <f>C150+C151+C163</f>
        <v>206250.89</v>
      </c>
      <c r="D166" s="20">
        <f t="shared" ref="D166:F166" si="88">D150+D151+D163</f>
        <v>126429.97</v>
      </c>
      <c r="E166" s="20">
        <f t="shared" si="88"/>
        <v>6072.3600000000006</v>
      </c>
      <c r="F166" s="20">
        <f t="shared" si="88"/>
        <v>0</v>
      </c>
      <c r="G166" s="20">
        <f>G150+G151+G163</f>
        <v>0</v>
      </c>
      <c r="H166" s="20">
        <f t="shared" ref="H166:I166" si="89">H150+H151+H163</f>
        <v>0</v>
      </c>
      <c r="I166" s="20">
        <f t="shared" si="89"/>
        <v>0</v>
      </c>
      <c r="J166" s="20">
        <f>J150+J151+J163</f>
        <v>0</v>
      </c>
      <c r="K166" s="20">
        <f t="shared" ref="K166" si="90">K150+K151+K163</f>
        <v>0</v>
      </c>
      <c r="L166" s="20">
        <f>L150+L151+L163</f>
        <v>0</v>
      </c>
      <c r="M166" s="20">
        <f>M150+M151+M163</f>
        <v>0</v>
      </c>
      <c r="N166" s="75">
        <f>SUM(B166:M166)</f>
        <v>353550.19</v>
      </c>
      <c r="P166" s="20">
        <f>AVERAGE(B166:M166)</f>
        <v>29462.515833333335</v>
      </c>
    </row>
    <row r="167" spans="1:16" x14ac:dyDescent="0.25">
      <c r="A167" s="74" t="s">
        <v>237</v>
      </c>
      <c r="B167" s="43">
        <f>B154+B163</f>
        <v>18473.760000000002</v>
      </c>
      <c r="C167" s="43">
        <f>C154+C163</f>
        <v>211066.81000000003</v>
      </c>
      <c r="D167" s="43">
        <f t="shared" ref="D167" si="91">D154+D163</f>
        <v>130652.62999999999</v>
      </c>
      <c r="E167" s="43">
        <f>E154+E163</f>
        <v>6650.0400000000009</v>
      </c>
      <c r="F167" s="43">
        <f>F154+F163</f>
        <v>0</v>
      </c>
      <c r="G167" s="43">
        <f>G154+G163</f>
        <v>0</v>
      </c>
      <c r="H167" s="43">
        <f>H154+H163</f>
        <v>0</v>
      </c>
      <c r="I167" s="43">
        <f t="shared" ref="I167" si="92">I154+I163</f>
        <v>0</v>
      </c>
      <c r="J167" s="43">
        <f>J154+J163</f>
        <v>0</v>
      </c>
      <c r="K167" s="43">
        <f t="shared" ref="K167" si="93">K154+K163</f>
        <v>0</v>
      </c>
      <c r="L167" s="43">
        <f>L154+L163</f>
        <v>0</v>
      </c>
      <c r="M167" s="43">
        <f>M154+M163</f>
        <v>0</v>
      </c>
      <c r="N167" s="75">
        <f>SUM(B167:M167)</f>
        <v>366843.24</v>
      </c>
      <c r="P167" s="20">
        <f>AVERAGE(B167:M167)</f>
        <v>30570.27</v>
      </c>
    </row>
    <row r="168" spans="1:16" x14ac:dyDescent="0.25">
      <c r="A168" s="74" t="s">
        <v>250</v>
      </c>
      <c r="B168" s="20">
        <f>SUM(B157:B160)</f>
        <v>2650.1699999999996</v>
      </c>
      <c r="C168" s="20">
        <f>SUM(C157:C160)</f>
        <v>2549.5899999999997</v>
      </c>
      <c r="D168" s="20">
        <f>SUM(D157:D160)</f>
        <v>2718.8</v>
      </c>
      <c r="E168" s="20">
        <f t="shared" ref="E168" si="94">SUM(E157:E160)</f>
        <v>1701.8</v>
      </c>
      <c r="F168" s="20">
        <f>SUM(F157:F160)</f>
        <v>0</v>
      </c>
      <c r="G168" s="20">
        <f>SUM(G157:G160)</f>
        <v>0</v>
      </c>
      <c r="H168" s="20">
        <f t="shared" ref="H168:I168" si="95">SUM(H157:H160)</f>
        <v>0</v>
      </c>
      <c r="I168" s="20">
        <f t="shared" si="95"/>
        <v>0</v>
      </c>
      <c r="J168" s="20">
        <f>SUM(J157:J160)</f>
        <v>0</v>
      </c>
      <c r="K168" s="20">
        <f>SUM(K157:K160)</f>
        <v>0</v>
      </c>
      <c r="L168" s="20">
        <f>SUM(L157:L160)</f>
        <v>0</v>
      </c>
      <c r="M168" s="20">
        <f>SUM(M157:M160)</f>
        <v>0</v>
      </c>
      <c r="N168" s="75">
        <f>SUM(N157:N160)</f>
        <v>9620.3599999999988</v>
      </c>
      <c r="P168" s="20">
        <f>AVERAGE(B168:M168)</f>
        <v>801.6966666666666</v>
      </c>
    </row>
    <row r="169" spans="1:16" x14ac:dyDescent="0.25">
      <c r="A169" s="74" t="s">
        <v>391</v>
      </c>
      <c r="B169" s="20">
        <f>SUM(B157:B162)</f>
        <v>7559.7000000000007</v>
      </c>
      <c r="C169" s="20">
        <f t="shared" ref="C169:F169" si="96">SUM(C157:C162)</f>
        <v>8600.15</v>
      </c>
      <c r="D169" s="20">
        <f t="shared" si="96"/>
        <v>9149.36</v>
      </c>
      <c r="E169" s="20">
        <f t="shared" si="96"/>
        <v>6072.3600000000006</v>
      </c>
      <c r="F169" s="20">
        <f t="shared" si="96"/>
        <v>0</v>
      </c>
      <c r="G169" s="20">
        <f>SUM(G157:G162)</f>
        <v>0</v>
      </c>
      <c r="H169" s="20">
        <f>SUM(H157:H162)</f>
        <v>0</v>
      </c>
      <c r="I169" s="20">
        <f t="shared" ref="I169:J169" si="97">SUM(I157:I162)</f>
        <v>0</v>
      </c>
      <c r="J169" s="20">
        <f t="shared" si="97"/>
        <v>0</v>
      </c>
      <c r="K169" s="20">
        <f>SUM(K157:K162)</f>
        <v>0</v>
      </c>
      <c r="L169" s="20">
        <f t="shared" ref="L169:N169" si="98">SUM(L157:L162)</f>
        <v>0</v>
      </c>
      <c r="M169" s="20">
        <f t="shared" si="98"/>
        <v>0</v>
      </c>
      <c r="N169" s="75">
        <f t="shared" si="98"/>
        <v>31381.57</v>
      </c>
      <c r="P169" s="20">
        <f>AVERAGE(B169:M169)</f>
        <v>2615.1308333333332</v>
      </c>
    </row>
    <row r="171" spans="1:16" x14ac:dyDescent="0.25">
      <c r="B171" s="41"/>
      <c r="C171" s="41"/>
      <c r="D171" s="3"/>
      <c r="E171" s="3"/>
    </row>
    <row r="172" spans="1:16" x14ac:dyDescent="0.25">
      <c r="B172" s="41"/>
      <c r="C172" s="41"/>
      <c r="D172" s="3"/>
      <c r="E172" s="3"/>
    </row>
    <row r="173" spans="1:16" x14ac:dyDescent="0.25">
      <c r="B173" s="41"/>
      <c r="C173" s="41"/>
      <c r="D173" s="3"/>
      <c r="E173" s="3"/>
    </row>
    <row r="174" spans="1:16" x14ac:dyDescent="0.25">
      <c r="B174" s="41"/>
      <c r="C174" s="41"/>
      <c r="D174" s="3"/>
      <c r="E174" s="3"/>
      <c r="F174" s="20"/>
      <c r="G174" s="20"/>
    </row>
    <row r="175" spans="1:16" x14ac:dyDescent="0.25">
      <c r="B175" s="20"/>
      <c r="C175" s="20"/>
      <c r="D175" s="12"/>
      <c r="F175" s="20"/>
    </row>
    <row r="176" spans="1:16" x14ac:dyDescent="0.25">
      <c r="B176" s="20"/>
      <c r="C176" s="20"/>
    </row>
    <row r="177" spans="1:4" x14ac:dyDescent="0.25">
      <c r="B177" s="20"/>
      <c r="C177" s="20"/>
    </row>
    <row r="178" spans="1:4" x14ac:dyDescent="0.25">
      <c r="B178" s="41"/>
      <c r="C178" s="41"/>
    </row>
    <row r="179" spans="1:4" x14ac:dyDescent="0.25">
      <c r="B179" s="41"/>
      <c r="C179" s="41"/>
    </row>
    <row r="180" spans="1:4" x14ac:dyDescent="0.25">
      <c r="B180" s="41"/>
      <c r="C180" s="41"/>
    </row>
    <row r="181" spans="1:4" x14ac:dyDescent="0.25">
      <c r="B181" s="41"/>
      <c r="C181" s="41"/>
    </row>
    <row r="182" spans="1:4" x14ac:dyDescent="0.25">
      <c r="B182" s="20"/>
      <c r="C182" s="20"/>
      <c r="D182" s="12"/>
    </row>
    <row r="183" spans="1:4" x14ac:dyDescent="0.25">
      <c r="B183" s="20"/>
      <c r="C183" s="20"/>
    </row>
    <row r="184" spans="1:4" x14ac:dyDescent="0.25">
      <c r="B184" s="20"/>
      <c r="C184" s="20"/>
    </row>
    <row r="185" spans="1:4" x14ac:dyDescent="0.25">
      <c r="B185" s="12"/>
      <c r="C185" s="12"/>
    </row>
    <row r="188" spans="1:4" x14ac:dyDescent="0.25">
      <c r="A188" s="14" t="s">
        <v>229</v>
      </c>
    </row>
    <row r="189" spans="1:4" x14ac:dyDescent="0.25">
      <c r="A189" t="s">
        <v>230</v>
      </c>
      <c r="B189" s="20">
        <f>N62-N61</f>
        <v>72125.87999999999</v>
      </c>
    </row>
    <row r="190" spans="1:4" x14ac:dyDescent="0.25">
      <c r="A190" t="s">
        <v>231</v>
      </c>
      <c r="B190" s="20">
        <f>N71</f>
        <v>71663.100000000006</v>
      </c>
    </row>
    <row r="191" spans="1:4" x14ac:dyDescent="0.25">
      <c r="A191" t="s">
        <v>254</v>
      </c>
      <c r="B191" s="65">
        <f>B190/B189</f>
        <v>0.99358371780004651</v>
      </c>
    </row>
    <row r="192" spans="1:4" x14ac:dyDescent="0.25">
      <c r="B192" s="20"/>
    </row>
    <row r="194" spans="1:13" x14ac:dyDescent="0.25">
      <c r="A194" t="s">
        <v>232</v>
      </c>
    </row>
    <row r="195" spans="1:13" x14ac:dyDescent="0.25">
      <c r="A195" t="s">
        <v>230</v>
      </c>
      <c r="B195" s="20">
        <f>N84-N83</f>
        <v>73576.790000000008</v>
      </c>
    </row>
    <row r="196" spans="1:13" x14ac:dyDescent="0.25">
      <c r="A196" t="s">
        <v>231</v>
      </c>
      <c r="B196" s="20">
        <f>N93</f>
        <v>94672.83</v>
      </c>
    </row>
    <row r="197" spans="1:13" x14ac:dyDescent="0.25">
      <c r="A197" t="s">
        <v>254</v>
      </c>
      <c r="B197" s="65">
        <f>B196/B195</f>
        <v>1.2867213967883078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</row>
    <row r="200" spans="1:13" x14ac:dyDescent="0.25">
      <c r="A200" t="s">
        <v>271</v>
      </c>
    </row>
    <row r="201" spans="1:13" x14ac:dyDescent="0.25">
      <c r="A201" t="s">
        <v>230</v>
      </c>
      <c r="B201" s="20">
        <f>N106-N105</f>
        <v>78353.400000000023</v>
      </c>
    </row>
    <row r="202" spans="1:13" x14ac:dyDescent="0.25">
      <c r="A202" t="s">
        <v>231</v>
      </c>
      <c r="B202" s="20">
        <f>N115</f>
        <v>105820.73000000001</v>
      </c>
    </row>
    <row r="203" spans="1:13" x14ac:dyDescent="0.25">
      <c r="A203" t="s">
        <v>254</v>
      </c>
      <c r="B203" s="65">
        <f>B202/B201</f>
        <v>1.3505569637054675</v>
      </c>
    </row>
    <row r="206" spans="1:13" x14ac:dyDescent="0.25">
      <c r="A206" t="s">
        <v>451</v>
      </c>
    </row>
    <row r="207" spans="1:13" x14ac:dyDescent="0.25">
      <c r="A207" t="s">
        <v>230</v>
      </c>
      <c r="B207" s="20">
        <f>N130-N128</f>
        <v>75472.360000000015</v>
      </c>
    </row>
    <row r="208" spans="1:13" x14ac:dyDescent="0.25">
      <c r="A208" t="s">
        <v>231</v>
      </c>
      <c r="B208" s="20">
        <f>N139</f>
        <v>99279.18</v>
      </c>
    </row>
    <row r="209" spans="1:7" x14ac:dyDescent="0.25">
      <c r="A209" t="s">
        <v>254</v>
      </c>
      <c r="B209" s="65">
        <f>B208/B207</f>
        <v>1.3154375986122597</v>
      </c>
    </row>
    <row r="212" spans="1:7" x14ac:dyDescent="0.25">
      <c r="C212" s="20"/>
      <c r="D212" s="20"/>
      <c r="E212" s="20"/>
      <c r="F212" s="20"/>
      <c r="G212" s="20"/>
    </row>
    <row r="223" spans="1:7" x14ac:dyDescent="0.25">
      <c r="C223" s="90"/>
    </row>
    <row r="224" spans="1:7" x14ac:dyDescent="0.25">
      <c r="C224" s="20"/>
      <c r="D224" s="12"/>
    </row>
    <row r="225" spans="3:4" x14ac:dyDescent="0.25">
      <c r="C225" s="20"/>
      <c r="D225" s="12"/>
    </row>
    <row r="226" spans="3:4" x14ac:dyDescent="0.25">
      <c r="C226" s="20"/>
      <c r="D226" s="12"/>
    </row>
    <row r="261" spans="1:13" x14ac:dyDescent="0.25">
      <c r="A261" t="s">
        <v>188</v>
      </c>
    </row>
    <row r="262" spans="1:13" x14ac:dyDescent="0.25">
      <c r="A262" s="90">
        <v>42948</v>
      </c>
      <c r="B262" s="20">
        <v>46.5</v>
      </c>
    </row>
    <row r="263" spans="1:13" x14ac:dyDescent="0.25">
      <c r="A263" s="90">
        <v>42979</v>
      </c>
      <c r="B263" s="20">
        <v>75</v>
      </c>
    </row>
    <row r="264" spans="1:13" x14ac:dyDescent="0.25">
      <c r="A264" s="90">
        <v>43009</v>
      </c>
      <c r="B264" s="20">
        <v>101.47</v>
      </c>
    </row>
    <row r="265" spans="1:13" x14ac:dyDescent="0.25">
      <c r="A265" s="90">
        <v>43040</v>
      </c>
      <c r="B265" s="20">
        <v>126.22</v>
      </c>
    </row>
    <row r="266" spans="1:13" x14ac:dyDescent="0.25">
      <c r="A266" s="90">
        <v>43070</v>
      </c>
      <c r="B266" s="20">
        <v>168.12</v>
      </c>
    </row>
    <row r="267" spans="1:13" x14ac:dyDescent="0.25">
      <c r="A267" s="90">
        <v>43101</v>
      </c>
      <c r="B267" s="20">
        <f>B89</f>
        <v>207.58</v>
      </c>
    </row>
    <row r="268" spans="1:13" x14ac:dyDescent="0.25">
      <c r="A268" s="90">
        <v>43132</v>
      </c>
      <c r="B268" s="20">
        <f>C89</f>
        <v>210.02</v>
      </c>
    </row>
    <row r="269" spans="1:13" x14ac:dyDescent="0.25">
      <c r="A269" s="90">
        <v>43160</v>
      </c>
      <c r="B269" s="20">
        <f>D89</f>
        <v>255.66</v>
      </c>
    </row>
    <row r="270" spans="1:13" x14ac:dyDescent="0.25">
      <c r="A270" s="90">
        <v>43191</v>
      </c>
      <c r="B270" s="20">
        <f>E89</f>
        <v>299.73</v>
      </c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</row>
    <row r="271" spans="1:13" x14ac:dyDescent="0.25">
      <c r="A271" s="90">
        <v>43221</v>
      </c>
      <c r="B271" s="20">
        <f>F89</f>
        <v>307.13</v>
      </c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1:13" x14ac:dyDescent="0.25">
      <c r="A272" s="90">
        <v>43252</v>
      </c>
      <c r="B272" s="20">
        <f>G89</f>
        <v>368.37</v>
      </c>
      <c r="C272" s="74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  <row r="273" spans="1:13" x14ac:dyDescent="0.25">
      <c r="A273" s="90">
        <v>43282</v>
      </c>
      <c r="B273" s="20">
        <f>H89</f>
        <v>399.14</v>
      </c>
      <c r="C273" s="20"/>
      <c r="D273" s="75"/>
      <c r="E273" s="75"/>
      <c r="F273" s="75"/>
      <c r="G273" s="75"/>
      <c r="H273" s="75"/>
      <c r="I273" s="75"/>
      <c r="J273" s="75"/>
      <c r="K273" s="75"/>
      <c r="L273" s="75"/>
      <c r="M273" s="75"/>
    </row>
    <row r="274" spans="1:13" x14ac:dyDescent="0.25">
      <c r="A274" s="90">
        <v>43313</v>
      </c>
      <c r="B274" s="20">
        <f>I89</f>
        <v>451.86</v>
      </c>
      <c r="C274" s="20"/>
    </row>
    <row r="275" spans="1:13" x14ac:dyDescent="0.25">
      <c r="A275" s="90">
        <v>43344</v>
      </c>
      <c r="B275" s="20">
        <f>J89</f>
        <v>498.75</v>
      </c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</row>
    <row r="276" spans="1:13" x14ac:dyDescent="0.25">
      <c r="A276" s="90">
        <v>43374</v>
      </c>
      <c r="B276" s="20">
        <f>K89</f>
        <v>536.79999999999995</v>
      </c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</row>
    <row r="277" spans="1:13" x14ac:dyDescent="0.25">
      <c r="A277" s="90">
        <v>43405</v>
      </c>
      <c r="B277" s="20">
        <f>L89</f>
        <v>584.16999999999996</v>
      </c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</row>
    <row r="278" spans="1:13" x14ac:dyDescent="0.25">
      <c r="A278" s="90">
        <v>43435</v>
      </c>
      <c r="B278" s="20">
        <f>M89</f>
        <v>643.83000000000004</v>
      </c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</row>
    <row r="279" spans="1:13" x14ac:dyDescent="0.25">
      <c r="A279" s="90">
        <v>43466</v>
      </c>
      <c r="B279" s="20">
        <f>B111</f>
        <v>684.7</v>
      </c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</row>
    <row r="280" spans="1:13" x14ac:dyDescent="0.25">
      <c r="A280" s="90">
        <v>43497</v>
      </c>
      <c r="B280" s="20">
        <f>C111</f>
        <v>735.65</v>
      </c>
      <c r="C280" s="20"/>
      <c r="D280" s="75"/>
      <c r="E280" s="75"/>
      <c r="F280" s="75"/>
      <c r="G280" s="75"/>
      <c r="H280" s="75"/>
      <c r="I280" s="75"/>
      <c r="J280" s="75"/>
      <c r="K280" s="75"/>
      <c r="L280" s="75"/>
      <c r="M280" s="75"/>
    </row>
    <row r="281" spans="1:13" x14ac:dyDescent="0.25">
      <c r="A281" s="90">
        <v>43525</v>
      </c>
      <c r="B281" s="20">
        <f>D111</f>
        <v>746.13</v>
      </c>
      <c r="C281" s="20"/>
    </row>
    <row r="282" spans="1:13" x14ac:dyDescent="0.25">
      <c r="A282" s="90">
        <v>43556</v>
      </c>
      <c r="B282" s="20">
        <f>E111</f>
        <v>858.78</v>
      </c>
      <c r="C282" s="20"/>
    </row>
    <row r="283" spans="1:13" x14ac:dyDescent="0.25">
      <c r="A283" s="90">
        <v>43586</v>
      </c>
      <c r="B283" s="20">
        <f>F111</f>
        <v>842.79</v>
      </c>
      <c r="C283" s="20"/>
    </row>
    <row r="284" spans="1:13" x14ac:dyDescent="0.25">
      <c r="A284" s="90">
        <v>43617</v>
      </c>
      <c r="B284" s="20">
        <f>G111</f>
        <v>905.99</v>
      </c>
      <c r="C284" s="20"/>
    </row>
    <row r="285" spans="1:13" x14ac:dyDescent="0.25">
      <c r="A285" s="90">
        <v>43647</v>
      </c>
      <c r="B285" s="20">
        <f>H111</f>
        <v>942.17</v>
      </c>
      <c r="C285" s="75"/>
    </row>
    <row r="286" spans="1:13" x14ac:dyDescent="0.25">
      <c r="A286" s="90">
        <v>43678</v>
      </c>
      <c r="B286" s="20">
        <f>I111</f>
        <v>1012.04</v>
      </c>
    </row>
    <row r="287" spans="1:13" x14ac:dyDescent="0.25">
      <c r="A287" s="90">
        <v>43709</v>
      </c>
      <c r="B287" s="20">
        <f>J111</f>
        <v>1033.6600000000001</v>
      </c>
    </row>
    <row r="288" spans="1:13" x14ac:dyDescent="0.25">
      <c r="A288" s="90">
        <v>43739</v>
      </c>
      <c r="B288" s="20">
        <f>K111</f>
        <v>1086.08</v>
      </c>
      <c r="C288" s="74"/>
    </row>
    <row r="289" spans="1:3" x14ac:dyDescent="0.25">
      <c r="A289" s="90">
        <v>43770</v>
      </c>
      <c r="B289" s="20">
        <f>L111</f>
        <v>1095.3499999999999</v>
      </c>
      <c r="C289" s="20"/>
    </row>
    <row r="290" spans="1:3" x14ac:dyDescent="0.25">
      <c r="A290" s="90">
        <v>43800</v>
      </c>
      <c r="B290" s="20">
        <f>M111</f>
        <v>1609.9</v>
      </c>
      <c r="C290" s="20"/>
    </row>
    <row r="291" spans="1:3" x14ac:dyDescent="0.25">
      <c r="A291" s="90">
        <v>43831</v>
      </c>
      <c r="B291" s="20">
        <f>B135</f>
        <v>1950.87</v>
      </c>
      <c r="C291" s="20"/>
    </row>
    <row r="292" spans="1:3" x14ac:dyDescent="0.25">
      <c r="A292" s="90">
        <v>43862</v>
      </c>
      <c r="B292" s="20">
        <f>C135</f>
        <v>1435.2</v>
      </c>
      <c r="C292" s="20"/>
    </row>
    <row r="293" spans="1:3" x14ac:dyDescent="0.25">
      <c r="A293" s="90">
        <v>43891</v>
      </c>
      <c r="B293" s="20">
        <f>D135</f>
        <v>1405.19</v>
      </c>
      <c r="C293" s="20"/>
    </row>
    <row r="294" spans="1:3" x14ac:dyDescent="0.25">
      <c r="A294" s="90">
        <v>43922</v>
      </c>
      <c r="B294" s="20">
        <f>E135</f>
        <v>1097.77</v>
      </c>
      <c r="C294" s="20"/>
    </row>
    <row r="295" spans="1:3" x14ac:dyDescent="0.25">
      <c r="A295" s="90">
        <v>43952</v>
      </c>
      <c r="B295" s="20">
        <f>F135</f>
        <v>1061.57</v>
      </c>
      <c r="C295" s="20"/>
    </row>
    <row r="296" spans="1:3" x14ac:dyDescent="0.25">
      <c r="A296" s="90">
        <v>43983</v>
      </c>
      <c r="B296" s="20">
        <f>G135</f>
        <v>1064.42</v>
      </c>
      <c r="C296" s="20"/>
    </row>
    <row r="297" spans="1:3" x14ac:dyDescent="0.25">
      <c r="A297" s="90">
        <v>44013</v>
      </c>
      <c r="B297" s="20">
        <f>H135</f>
        <v>1155.33</v>
      </c>
      <c r="C297" s="20"/>
    </row>
    <row r="298" spans="1:3" x14ac:dyDescent="0.25">
      <c r="A298" s="90">
        <v>44044</v>
      </c>
      <c r="B298" s="20">
        <f>I135</f>
        <v>1165.3</v>
      </c>
      <c r="C298" s="20"/>
    </row>
    <row r="299" spans="1:3" x14ac:dyDescent="0.25">
      <c r="A299" s="90">
        <v>44075</v>
      </c>
      <c r="B299" s="20">
        <f>J135</f>
        <v>1223.0999999999999</v>
      </c>
      <c r="C299" s="20"/>
    </row>
    <row r="300" spans="1:3" x14ac:dyDescent="0.25">
      <c r="A300" s="90">
        <v>44105</v>
      </c>
      <c r="B300" s="20">
        <f>K135</f>
        <v>1340.64</v>
      </c>
      <c r="C300" s="20"/>
    </row>
    <row r="301" spans="1:3" x14ac:dyDescent="0.25">
      <c r="A301" s="90">
        <v>44136</v>
      </c>
      <c r="B301" s="20">
        <f>L135</f>
        <v>1434.95</v>
      </c>
      <c r="C301" s="75"/>
    </row>
    <row r="302" spans="1:3" x14ac:dyDescent="0.25">
      <c r="A302" s="90">
        <v>44166</v>
      </c>
      <c r="B302" s="20">
        <f>M135</f>
        <v>1554.16</v>
      </c>
    </row>
    <row r="303" spans="1:3" x14ac:dyDescent="0.25">
      <c r="A303" s="90">
        <v>44197</v>
      </c>
      <c r="B303" s="20">
        <f>B159</f>
        <v>1879.85</v>
      </c>
    </row>
    <row r="304" spans="1:3" x14ac:dyDescent="0.25">
      <c r="A304" s="90">
        <v>44228</v>
      </c>
      <c r="B304" s="20">
        <f>C159</f>
        <v>1777.1</v>
      </c>
    </row>
    <row r="305" spans="1:2" x14ac:dyDescent="0.25">
      <c r="A305" s="90">
        <v>44256</v>
      </c>
      <c r="B305" s="20">
        <f>D159</f>
        <v>1705.25</v>
      </c>
    </row>
    <row r="307" spans="1:2" x14ac:dyDescent="0.25">
      <c r="A307" s="15" t="s">
        <v>4</v>
      </c>
      <c r="B307" s="20">
        <f>SUM(B264:B305)</f>
        <v>37962.79</v>
      </c>
    </row>
    <row r="308" spans="1:2" x14ac:dyDescent="0.25">
      <c r="A308" s="15" t="s">
        <v>227</v>
      </c>
      <c r="B308" s="20">
        <f>AVERAGE(B264:B304)</f>
        <v>884.33024390243907</v>
      </c>
    </row>
    <row r="311" spans="1:2" x14ac:dyDescent="0.25">
      <c r="A311" t="s">
        <v>14</v>
      </c>
    </row>
    <row r="312" spans="1:2" x14ac:dyDescent="0.25">
      <c r="A312" s="90">
        <v>42736</v>
      </c>
      <c r="B312" s="20">
        <f>B68</f>
        <v>16.5</v>
      </c>
    </row>
    <row r="313" spans="1:2" x14ac:dyDescent="0.25">
      <c r="A313" s="90">
        <v>42767</v>
      </c>
      <c r="B313" s="20">
        <f>C68</f>
        <v>51.16</v>
      </c>
    </row>
    <row r="314" spans="1:2" x14ac:dyDescent="0.25">
      <c r="A314" s="90">
        <v>42795</v>
      </c>
      <c r="B314" s="20">
        <f>D68</f>
        <v>371.64</v>
      </c>
    </row>
    <row r="315" spans="1:2" x14ac:dyDescent="0.25">
      <c r="A315" s="90">
        <v>42826</v>
      </c>
      <c r="B315" s="20">
        <f>E68</f>
        <v>162.38</v>
      </c>
    </row>
    <row r="316" spans="1:2" x14ac:dyDescent="0.25">
      <c r="A316" s="90">
        <v>42856</v>
      </c>
      <c r="B316" s="20">
        <f>F68</f>
        <v>611.75</v>
      </c>
    </row>
    <row r="317" spans="1:2" x14ac:dyDescent="0.25">
      <c r="A317" s="90">
        <v>42887</v>
      </c>
      <c r="B317" s="20">
        <f>G68</f>
        <v>305.7</v>
      </c>
    </row>
    <row r="318" spans="1:2" x14ac:dyDescent="0.25">
      <c r="A318" s="90">
        <v>42917</v>
      </c>
      <c r="B318" s="20">
        <f>H68</f>
        <v>27.33</v>
      </c>
    </row>
    <row r="319" spans="1:2" x14ac:dyDescent="0.25">
      <c r="A319" s="90">
        <v>42948</v>
      </c>
      <c r="B319" s="20">
        <f>I68</f>
        <v>399.66</v>
      </c>
    </row>
    <row r="320" spans="1:2" x14ac:dyDescent="0.25">
      <c r="A320" s="90">
        <v>42979</v>
      </c>
      <c r="B320" s="20">
        <f>J68</f>
        <v>6.48</v>
      </c>
    </row>
    <row r="321" spans="1:2" x14ac:dyDescent="0.25">
      <c r="A321" s="90">
        <v>43009</v>
      </c>
      <c r="B321" s="20">
        <f>K68</f>
        <v>144.62</v>
      </c>
    </row>
    <row r="322" spans="1:2" x14ac:dyDescent="0.25">
      <c r="A322" s="90">
        <v>43040</v>
      </c>
      <c r="B322" s="20">
        <f>L68</f>
        <v>224.86999999999998</v>
      </c>
    </row>
    <row r="323" spans="1:2" x14ac:dyDescent="0.25">
      <c r="A323" s="90">
        <v>43070</v>
      </c>
      <c r="B323" s="20">
        <f>M68</f>
        <v>428.79</v>
      </c>
    </row>
    <row r="324" spans="1:2" x14ac:dyDescent="0.25">
      <c r="A324" s="90">
        <v>43101</v>
      </c>
      <c r="B324" s="20">
        <f>B90</f>
        <v>0</v>
      </c>
    </row>
    <row r="325" spans="1:2" x14ac:dyDescent="0.25">
      <c r="A325" s="90">
        <v>43132</v>
      </c>
      <c r="B325" s="20">
        <f>C90</f>
        <v>243.02</v>
      </c>
    </row>
    <row r="326" spans="1:2" x14ac:dyDescent="0.25">
      <c r="A326" s="90">
        <v>43160</v>
      </c>
      <c r="B326" s="20">
        <f>D90</f>
        <v>1182.3700000000001</v>
      </c>
    </row>
    <row r="327" spans="1:2" x14ac:dyDescent="0.25">
      <c r="A327" s="90">
        <v>43191</v>
      </c>
      <c r="B327" s="20">
        <f>E90</f>
        <v>374.07</v>
      </c>
    </row>
    <row r="328" spans="1:2" x14ac:dyDescent="0.25">
      <c r="A328" s="90">
        <v>43221</v>
      </c>
      <c r="B328" s="20">
        <f>F90</f>
        <v>938.24</v>
      </c>
    </row>
    <row r="329" spans="1:2" x14ac:dyDescent="0.25">
      <c r="A329" s="90">
        <v>43252</v>
      </c>
      <c r="B329" s="20">
        <f>G90</f>
        <v>105.29</v>
      </c>
    </row>
    <row r="330" spans="1:2" x14ac:dyDescent="0.25">
      <c r="A330" s="90">
        <v>43282</v>
      </c>
      <c r="B330" s="20">
        <f>H90</f>
        <v>34.119999999999997</v>
      </c>
    </row>
    <row r="331" spans="1:2" x14ac:dyDescent="0.25">
      <c r="A331" s="90">
        <v>43313</v>
      </c>
      <c r="B331" s="20">
        <f>I90</f>
        <v>1085.92</v>
      </c>
    </row>
    <row r="332" spans="1:2" x14ac:dyDescent="0.25">
      <c r="A332" s="90">
        <v>43344</v>
      </c>
      <c r="B332" s="20">
        <f>J90</f>
        <v>7.26</v>
      </c>
    </row>
    <row r="333" spans="1:2" x14ac:dyDescent="0.25">
      <c r="A333" s="90">
        <v>43374</v>
      </c>
      <c r="B333" s="20">
        <f>K90</f>
        <v>35.61</v>
      </c>
    </row>
    <row r="334" spans="1:2" x14ac:dyDescent="0.25">
      <c r="A334" s="90">
        <v>43405</v>
      </c>
      <c r="B334" s="20">
        <f>L90</f>
        <v>906.6</v>
      </c>
    </row>
    <row r="335" spans="1:2" x14ac:dyDescent="0.25">
      <c r="A335" s="90">
        <v>43435</v>
      </c>
      <c r="B335" s="20">
        <f>M90</f>
        <v>316.23</v>
      </c>
    </row>
    <row r="336" spans="1:2" x14ac:dyDescent="0.25">
      <c r="A336" s="90">
        <v>43466</v>
      </c>
      <c r="B336" s="20">
        <f>B112</f>
        <v>153.80000000000001</v>
      </c>
    </row>
    <row r="337" spans="1:2" x14ac:dyDescent="0.25">
      <c r="A337" s="90">
        <v>43497</v>
      </c>
      <c r="B337" s="20">
        <f>C112</f>
        <v>517.16999999999996</v>
      </c>
    </row>
    <row r="338" spans="1:2" x14ac:dyDescent="0.25">
      <c r="A338" s="90">
        <v>43525</v>
      </c>
      <c r="B338" s="20">
        <f>D112</f>
        <v>2045.37</v>
      </c>
    </row>
    <row r="339" spans="1:2" x14ac:dyDescent="0.25">
      <c r="A339" s="90">
        <v>43556</v>
      </c>
      <c r="B339" s="20">
        <f>E112</f>
        <v>108.9</v>
      </c>
    </row>
    <row r="340" spans="1:2" x14ac:dyDescent="0.25">
      <c r="A340" s="90">
        <v>43586</v>
      </c>
      <c r="B340" s="20">
        <f>F112</f>
        <v>518.97</v>
      </c>
    </row>
    <row r="341" spans="1:2" x14ac:dyDescent="0.25">
      <c r="A341" s="90">
        <v>43617</v>
      </c>
      <c r="B341" s="20">
        <f>G112</f>
        <v>265.61</v>
      </c>
    </row>
    <row r="342" spans="1:2" x14ac:dyDescent="0.25">
      <c r="A342" s="90">
        <v>43647</v>
      </c>
      <c r="B342" s="20">
        <f>H112</f>
        <v>623.29999999999995</v>
      </c>
    </row>
    <row r="343" spans="1:2" x14ac:dyDescent="0.25">
      <c r="A343" s="90">
        <v>43678</v>
      </c>
      <c r="B343" s="20">
        <f>I112</f>
        <v>1434.25</v>
      </c>
    </row>
    <row r="344" spans="1:2" x14ac:dyDescent="0.25">
      <c r="A344" s="90">
        <v>43709</v>
      </c>
      <c r="B344" s="20">
        <f>J112</f>
        <v>174.2</v>
      </c>
    </row>
    <row r="345" spans="1:2" x14ac:dyDescent="0.25">
      <c r="A345" s="90">
        <v>43739</v>
      </c>
      <c r="B345" s="20">
        <f>K112</f>
        <v>160.32</v>
      </c>
    </row>
    <row r="346" spans="1:2" x14ac:dyDescent="0.25">
      <c r="A346" s="90">
        <v>43770</v>
      </c>
      <c r="B346" s="20">
        <f>L112</f>
        <v>857.65</v>
      </c>
    </row>
    <row r="347" spans="1:2" x14ac:dyDescent="0.25">
      <c r="A347" s="90">
        <v>43800</v>
      </c>
      <c r="B347" s="20">
        <f>M112</f>
        <v>940.02</v>
      </c>
    </row>
    <row r="348" spans="1:2" x14ac:dyDescent="0.25">
      <c r="A348" s="90">
        <v>43831</v>
      </c>
      <c r="B348" s="20">
        <f>B136</f>
        <v>403.65</v>
      </c>
    </row>
    <row r="349" spans="1:2" x14ac:dyDescent="0.25">
      <c r="A349" s="90">
        <v>43862</v>
      </c>
      <c r="B349" s="20">
        <f>C136</f>
        <v>255.99</v>
      </c>
    </row>
    <row r="350" spans="1:2" x14ac:dyDescent="0.25">
      <c r="A350" s="90">
        <v>43891</v>
      </c>
      <c r="B350" s="20">
        <f>D136</f>
        <v>1350.91</v>
      </c>
    </row>
    <row r="351" spans="1:2" x14ac:dyDescent="0.25">
      <c r="A351" s="90">
        <v>43922</v>
      </c>
      <c r="B351" s="20">
        <f>E136</f>
        <v>52</v>
      </c>
    </row>
    <row r="352" spans="1:2" x14ac:dyDescent="0.25">
      <c r="A352" s="90">
        <v>43952</v>
      </c>
      <c r="B352" s="20">
        <f>F136</f>
        <v>713.54</v>
      </c>
    </row>
    <row r="353" spans="1:2" x14ac:dyDescent="0.25">
      <c r="A353" s="90">
        <v>43983</v>
      </c>
      <c r="B353" s="20">
        <f>G136</f>
        <v>187.06</v>
      </c>
    </row>
    <row r="354" spans="1:2" x14ac:dyDescent="0.25">
      <c r="A354" s="90">
        <v>44013</v>
      </c>
      <c r="B354" s="20">
        <f>H136</f>
        <v>125.48</v>
      </c>
    </row>
    <row r="355" spans="1:2" x14ac:dyDescent="0.25">
      <c r="A355" s="90">
        <v>44044</v>
      </c>
      <c r="B355" s="20">
        <f>I136</f>
        <v>722.54</v>
      </c>
    </row>
    <row r="356" spans="1:2" x14ac:dyDescent="0.25">
      <c r="A356" s="90">
        <v>44075</v>
      </c>
      <c r="B356" s="20">
        <f>J136</f>
        <v>292.99</v>
      </c>
    </row>
    <row r="357" spans="1:2" x14ac:dyDescent="0.25">
      <c r="A357" s="90">
        <v>44105</v>
      </c>
      <c r="B357" s="20">
        <f>K136</f>
        <v>62.4</v>
      </c>
    </row>
    <row r="358" spans="1:2" x14ac:dyDescent="0.25">
      <c r="A358" s="90">
        <v>44136</v>
      </c>
      <c r="B358" s="20">
        <f>L136</f>
        <v>1005.97</v>
      </c>
    </row>
    <row r="359" spans="1:2" x14ac:dyDescent="0.25">
      <c r="A359" s="90">
        <v>44166</v>
      </c>
      <c r="B359" s="20">
        <f>M136</f>
        <v>805.37</v>
      </c>
    </row>
    <row r="360" spans="1:2" x14ac:dyDescent="0.25">
      <c r="A360" s="90">
        <v>44197</v>
      </c>
      <c r="B360" s="20">
        <f>B160</f>
        <v>202.52</v>
      </c>
    </row>
    <row r="361" spans="1:2" x14ac:dyDescent="0.25">
      <c r="A361" s="90">
        <v>44228</v>
      </c>
      <c r="B361" s="20">
        <f>C160</f>
        <v>318.85000000000002</v>
      </c>
    </row>
    <row r="362" spans="1:2" x14ac:dyDescent="0.25">
      <c r="A362" s="90">
        <v>44256</v>
      </c>
      <c r="B362" s="20">
        <f>D160</f>
        <v>1013.55</v>
      </c>
    </row>
    <row r="363" spans="1:2" x14ac:dyDescent="0.25">
      <c r="B363" s="20"/>
    </row>
    <row r="365" spans="1:2" x14ac:dyDescent="0.25">
      <c r="A365" s="15" t="s">
        <v>4</v>
      </c>
      <c r="B365" s="20">
        <f>SUM(B315:B362)</f>
        <v>22852.690000000002</v>
      </c>
    </row>
    <row r="366" spans="1:2" x14ac:dyDescent="0.25">
      <c r="A366" s="15" t="s">
        <v>227</v>
      </c>
      <c r="B366" s="20">
        <f>AVERAGE(B315:B361)</f>
        <v>464.66255319148945</v>
      </c>
    </row>
    <row r="371" spans="1:4" x14ac:dyDescent="0.25">
      <c r="A371" t="s">
        <v>380</v>
      </c>
      <c r="C371" s="15" t="s">
        <v>381</v>
      </c>
      <c r="D371" s="15" t="s">
        <v>382</v>
      </c>
    </row>
    <row r="372" spans="1:4" x14ac:dyDescent="0.25">
      <c r="A372">
        <v>2017</v>
      </c>
      <c r="B372" s="20">
        <f>N76</f>
        <v>5573.0999999999995</v>
      </c>
      <c r="C372" s="20">
        <f>B372/12</f>
        <v>464.42499999999995</v>
      </c>
    </row>
    <row r="373" spans="1:4" x14ac:dyDescent="0.25">
      <c r="A373">
        <v>2018</v>
      </c>
      <c r="B373" s="20">
        <f>N98</f>
        <v>11951.83</v>
      </c>
      <c r="C373" s="20">
        <f t="shared" ref="C373" si="99">B373/12</f>
        <v>995.98583333333329</v>
      </c>
      <c r="D373" s="12">
        <f>B373/B372-1</f>
        <v>1.1445568893434537</v>
      </c>
    </row>
    <row r="374" spans="1:4" x14ac:dyDescent="0.25">
      <c r="A374">
        <v>2019</v>
      </c>
      <c r="B374" s="20">
        <f>N120</f>
        <v>21367.72</v>
      </c>
      <c r="C374" s="20">
        <f>B374/12</f>
        <v>1780.6433333333334</v>
      </c>
      <c r="D374" s="12">
        <f>B374/B373-1</f>
        <v>0.78781994054466975</v>
      </c>
    </row>
    <row r="375" spans="1:4" x14ac:dyDescent="0.25">
      <c r="A375">
        <v>2020</v>
      </c>
      <c r="B375" s="20">
        <f>N144</f>
        <v>23951.980000000003</v>
      </c>
      <c r="C375" s="20">
        <f>B375/12</f>
        <v>1995.9983333333337</v>
      </c>
      <c r="D375" s="12">
        <f>B375/B374-1</f>
        <v>0.12094224372090245</v>
      </c>
    </row>
    <row r="376" spans="1:4" x14ac:dyDescent="0.25">
      <c r="A376">
        <v>2021</v>
      </c>
      <c r="B376" s="20">
        <f>N168</f>
        <v>9620.3599999999988</v>
      </c>
      <c r="C376" s="20">
        <f>B376/12</f>
        <v>801.6966666666666</v>
      </c>
      <c r="D376" s="12"/>
    </row>
    <row r="391" spans="1:4" x14ac:dyDescent="0.25">
      <c r="A391" t="s">
        <v>452</v>
      </c>
      <c r="C391" s="15" t="s">
        <v>381</v>
      </c>
      <c r="D391" s="15" t="s">
        <v>382</v>
      </c>
    </row>
    <row r="392" spans="1:4" x14ac:dyDescent="0.25">
      <c r="A392">
        <v>2017</v>
      </c>
      <c r="B392" s="20">
        <f>N75</f>
        <v>183137.51000000004</v>
      </c>
      <c r="C392" s="20">
        <f>B392/12</f>
        <v>15261.459166666669</v>
      </c>
    </row>
    <row r="393" spans="1:4" x14ac:dyDescent="0.25">
      <c r="A393">
        <v>2018</v>
      </c>
      <c r="B393" s="20">
        <f>N97</f>
        <v>208899.35</v>
      </c>
      <c r="C393" s="20">
        <f t="shared" ref="C393" si="100">B393/12</f>
        <v>17408.279166666667</v>
      </c>
      <c r="D393" s="12">
        <f>B393/B392-1</f>
        <v>0.14066938007402174</v>
      </c>
    </row>
    <row r="394" spans="1:4" x14ac:dyDescent="0.25">
      <c r="A394">
        <v>2019</v>
      </c>
      <c r="B394" s="20">
        <f>N119</f>
        <v>234522.44000000003</v>
      </c>
      <c r="C394" s="20">
        <f>B394/12</f>
        <v>19543.53666666667</v>
      </c>
      <c r="D394" s="12">
        <f>B394/B393-1</f>
        <v>0.12265758605759203</v>
      </c>
    </row>
    <row r="395" spans="1:4" x14ac:dyDescent="0.25">
      <c r="A395">
        <v>2020</v>
      </c>
      <c r="B395" s="20">
        <f>N143</f>
        <v>224416.81000000003</v>
      </c>
      <c r="C395" s="20">
        <f>B395/12</f>
        <v>18701.400833333337</v>
      </c>
      <c r="D395" s="12">
        <f>B395/B394-1</f>
        <v>-4.3090247568633555E-2</v>
      </c>
    </row>
    <row r="396" spans="1:4" x14ac:dyDescent="0.25">
      <c r="A396">
        <v>2021</v>
      </c>
      <c r="B396" s="20">
        <f>N167</f>
        <v>366843.24</v>
      </c>
      <c r="C396" s="20">
        <f>B396/12</f>
        <v>30570.27</v>
      </c>
      <c r="D396" s="12">
        <f>B396/B395-1</f>
        <v>0.63465134363152176</v>
      </c>
    </row>
    <row r="400" spans="1:4" x14ac:dyDescent="0.25">
      <c r="C400" s="20"/>
    </row>
  </sheetData>
  <sortState xmlns:xlrd2="http://schemas.microsoft.com/office/spreadsheetml/2017/richdata2" ref="A14:H52">
    <sortCondition ref="A14:A52"/>
  </sortState>
  <mergeCells count="7">
    <mergeCell ref="T104:AF104"/>
    <mergeCell ref="T1:AF1"/>
    <mergeCell ref="T46:AF46"/>
    <mergeCell ref="T12:AF12"/>
    <mergeCell ref="T29:AF29"/>
    <mergeCell ref="T63:AF63"/>
    <mergeCell ref="T80:AF80"/>
  </mergeCells>
  <pageMargins left="0.511811024" right="0.511811024" top="0.78740157499999996" bottom="0.78740157499999996" header="0.31496062000000002" footer="0.31496062000000002"/>
  <pageSetup orientation="portrait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790A-10B4-460A-8A5A-3E5FB396D40D}">
  <dimension ref="A1:L63"/>
  <sheetViews>
    <sheetView workbookViewId="0">
      <selection activeCell="A8" sqref="A8"/>
    </sheetView>
  </sheetViews>
  <sheetFormatPr defaultRowHeight="15" x14ac:dyDescent="0.25"/>
  <cols>
    <col min="1" max="2" width="9.140625" style="2"/>
    <col min="3" max="3" width="9.5703125" style="2" bestFit="1" customWidth="1"/>
    <col min="4" max="4" width="26.140625" customWidth="1"/>
    <col min="5" max="5" width="42.5703125" bestFit="1" customWidth="1"/>
    <col min="6" max="6" width="9.140625" style="15"/>
    <col min="7" max="7" width="14" customWidth="1"/>
    <col min="8" max="8" width="13.42578125" bestFit="1" customWidth="1"/>
    <col min="9" max="9" width="18.140625" customWidth="1"/>
  </cols>
  <sheetData>
    <row r="1" spans="1:12" x14ac:dyDescent="0.25">
      <c r="A1" s="2" t="s">
        <v>463</v>
      </c>
      <c r="B1" s="2" t="s">
        <v>247</v>
      </c>
      <c r="C1" s="2" t="s">
        <v>490</v>
      </c>
      <c r="D1" t="s">
        <v>469</v>
      </c>
      <c r="E1" t="s">
        <v>430</v>
      </c>
      <c r="F1" s="15" t="s">
        <v>476</v>
      </c>
      <c r="G1" t="s">
        <v>477</v>
      </c>
      <c r="H1" t="s">
        <v>478</v>
      </c>
      <c r="J1" t="s">
        <v>489</v>
      </c>
      <c r="L1" t="s">
        <v>506</v>
      </c>
    </row>
    <row r="2" spans="1:12" x14ac:dyDescent="0.25">
      <c r="A2" s="2" t="s">
        <v>464</v>
      </c>
      <c r="B2" s="2">
        <v>60.96</v>
      </c>
      <c r="C2" s="2">
        <v>300</v>
      </c>
      <c r="D2" t="s">
        <v>470</v>
      </c>
      <c r="E2" t="s">
        <v>475</v>
      </c>
      <c r="F2" s="147">
        <v>4.83</v>
      </c>
      <c r="G2" s="20">
        <v>3.5000000000000003E-2</v>
      </c>
      <c r="H2" t="s">
        <v>479</v>
      </c>
      <c r="J2" s="20">
        <f>B2*G2</f>
        <v>2.1336000000000004</v>
      </c>
      <c r="L2" s="20">
        <f>C2*G2</f>
        <v>10.500000000000002</v>
      </c>
    </row>
    <row r="3" spans="1:12" x14ac:dyDescent="0.25">
      <c r="A3" s="2" t="s">
        <v>465</v>
      </c>
      <c r="B3" s="2">
        <v>10.14</v>
      </c>
      <c r="C3" s="2">
        <v>100</v>
      </c>
      <c r="D3" t="s">
        <v>471</v>
      </c>
      <c r="E3" t="s">
        <v>480</v>
      </c>
      <c r="F3" s="147">
        <v>1.42</v>
      </c>
      <c r="G3" s="20">
        <v>0</v>
      </c>
      <c r="J3" s="20">
        <f t="shared" ref="J3:J6" si="0">B3*G3</f>
        <v>0</v>
      </c>
      <c r="L3" s="20">
        <f t="shared" ref="L3:L4" si="1">C3*G3</f>
        <v>0</v>
      </c>
    </row>
    <row r="4" spans="1:12" x14ac:dyDescent="0.25">
      <c r="A4" s="2" t="s">
        <v>466</v>
      </c>
      <c r="B4" s="2">
        <v>5.53</v>
      </c>
      <c r="C4" s="2">
        <v>100</v>
      </c>
      <c r="D4" t="s">
        <v>472</v>
      </c>
      <c r="E4" t="s">
        <v>481</v>
      </c>
      <c r="F4" s="147">
        <v>4.8899999999999997</v>
      </c>
      <c r="G4" s="20">
        <v>0.52</v>
      </c>
      <c r="H4" t="s">
        <v>482</v>
      </c>
      <c r="I4" t="s">
        <v>503</v>
      </c>
      <c r="J4" s="20">
        <f>B4*G4</f>
        <v>2.8756000000000004</v>
      </c>
      <c r="L4" s="20">
        <f t="shared" si="1"/>
        <v>52</v>
      </c>
    </row>
    <row r="5" spans="1:12" x14ac:dyDescent="0.25">
      <c r="A5" s="2" t="s">
        <v>467</v>
      </c>
      <c r="B5" s="2">
        <v>30.03</v>
      </c>
      <c r="C5" s="2">
        <v>300</v>
      </c>
      <c r="D5" t="s">
        <v>473</v>
      </c>
      <c r="E5" t="s">
        <v>484</v>
      </c>
      <c r="F5" s="147">
        <v>12.99</v>
      </c>
      <c r="G5" s="20">
        <v>0.34</v>
      </c>
      <c r="H5" t="s">
        <v>482</v>
      </c>
      <c r="I5" t="s">
        <v>483</v>
      </c>
      <c r="J5" s="20">
        <f t="shared" si="0"/>
        <v>10.2102</v>
      </c>
      <c r="L5" s="20">
        <f>C5*G5</f>
        <v>102.00000000000001</v>
      </c>
    </row>
    <row r="6" spans="1:12" x14ac:dyDescent="0.25">
      <c r="A6" s="2" t="s">
        <v>468</v>
      </c>
      <c r="B6" s="2">
        <v>15.11</v>
      </c>
      <c r="C6" s="2">
        <v>300</v>
      </c>
      <c r="D6" t="s">
        <v>474</v>
      </c>
      <c r="E6" t="s">
        <v>485</v>
      </c>
      <c r="F6" s="147">
        <v>8.93</v>
      </c>
      <c r="G6" s="20">
        <v>0.12</v>
      </c>
      <c r="H6" t="s">
        <v>479</v>
      </c>
      <c r="J6" s="20">
        <f t="shared" si="0"/>
        <v>1.8131999999999999</v>
      </c>
      <c r="L6" s="20">
        <f>C6*G6</f>
        <v>36</v>
      </c>
    </row>
    <row r="7" spans="1:12" x14ac:dyDescent="0.25">
      <c r="A7" s="2" t="s">
        <v>498</v>
      </c>
      <c r="B7" s="149">
        <v>14.12</v>
      </c>
      <c r="C7" s="2">
        <v>100</v>
      </c>
      <c r="D7" t="s">
        <v>499</v>
      </c>
      <c r="E7" t="s">
        <v>500</v>
      </c>
      <c r="F7" s="147">
        <v>4.57</v>
      </c>
      <c r="G7" s="20">
        <v>0.23</v>
      </c>
      <c r="H7" t="s">
        <v>479</v>
      </c>
      <c r="J7" s="20">
        <f>B7*G7</f>
        <v>3.2475999999999998</v>
      </c>
      <c r="L7" s="20">
        <f>C7*G7</f>
        <v>23</v>
      </c>
    </row>
    <row r="8" spans="1:12" x14ac:dyDescent="0.25">
      <c r="A8" s="2" t="s">
        <v>517</v>
      </c>
      <c r="B8" s="2">
        <v>57.37</v>
      </c>
      <c r="C8" s="2">
        <v>100</v>
      </c>
      <c r="D8" t="s">
        <v>518</v>
      </c>
      <c r="E8" t="s">
        <v>519</v>
      </c>
      <c r="F8" s="147">
        <v>6.89</v>
      </c>
      <c r="G8" s="20">
        <v>5.5E-2</v>
      </c>
      <c r="H8" t="s">
        <v>479</v>
      </c>
      <c r="J8" s="20">
        <f>B8*G8</f>
        <v>3.1553499999999999</v>
      </c>
      <c r="L8" s="20">
        <f>C8*G8</f>
        <v>5.5</v>
      </c>
    </row>
    <row r="9" spans="1:12" x14ac:dyDescent="0.25">
      <c r="I9" s="74" t="s">
        <v>4</v>
      </c>
      <c r="J9" s="75">
        <f>SUM(J2:J8)</f>
        <v>23.435549999999996</v>
      </c>
      <c r="K9" s="74"/>
      <c r="L9" s="75">
        <f>SUM(L2:L8)</f>
        <v>229</v>
      </c>
    </row>
    <row r="10" spans="1:12" x14ac:dyDescent="0.25">
      <c r="I10" s="74" t="s">
        <v>497</v>
      </c>
      <c r="J10" s="75">
        <f>J2+J6+J7+J8</f>
        <v>10.34975</v>
      </c>
      <c r="K10" s="74"/>
      <c r="L10" s="75">
        <f>L2+L6+L7+L8</f>
        <v>75</v>
      </c>
    </row>
    <row r="11" spans="1:12" x14ac:dyDescent="0.25">
      <c r="J11" s="20"/>
    </row>
    <row r="12" spans="1:12" x14ac:dyDescent="0.25">
      <c r="J12" s="20"/>
    </row>
    <row r="13" spans="1:12" x14ac:dyDescent="0.25">
      <c r="J13" s="20"/>
    </row>
    <row r="14" spans="1:12" x14ac:dyDescent="0.25">
      <c r="J14" s="20"/>
    </row>
    <row r="15" spans="1:12" x14ac:dyDescent="0.25">
      <c r="A15" s="14" t="s">
        <v>14</v>
      </c>
    </row>
    <row r="16" spans="1:12" x14ac:dyDescent="0.25">
      <c r="A16" s="14" t="s">
        <v>463</v>
      </c>
      <c r="B16" s="2" t="s">
        <v>0</v>
      </c>
      <c r="C16" s="15" t="s">
        <v>397</v>
      </c>
      <c r="D16" s="15" t="s">
        <v>416</v>
      </c>
      <c r="E16" s="15" t="s">
        <v>491</v>
      </c>
    </row>
    <row r="17" spans="1:5" x14ac:dyDescent="0.25">
      <c r="A17" s="148" t="s">
        <v>464</v>
      </c>
      <c r="B17" s="148">
        <v>44025</v>
      </c>
      <c r="C17" s="150">
        <v>0.52</v>
      </c>
      <c r="D17" s="20">
        <v>0.16</v>
      </c>
      <c r="E17" s="147">
        <f>C17-D17</f>
        <v>0.36</v>
      </c>
    </row>
    <row r="18" spans="1:5" x14ac:dyDescent="0.25">
      <c r="A18" s="2" t="s">
        <v>468</v>
      </c>
      <c r="B18" s="148">
        <v>44055</v>
      </c>
      <c r="C18" s="150">
        <v>0.91</v>
      </c>
      <c r="D18" s="20">
        <v>0.27</v>
      </c>
      <c r="E18" s="147">
        <f t="shared" ref="E18:E21" si="2">C18-D18</f>
        <v>0.64</v>
      </c>
    </row>
    <row r="19" spans="1:5" x14ac:dyDescent="0.25">
      <c r="A19" s="2" t="s">
        <v>464</v>
      </c>
      <c r="B19" s="148">
        <v>44057</v>
      </c>
      <c r="C19" s="150">
        <v>1.08</v>
      </c>
      <c r="D19" s="20">
        <v>0.32</v>
      </c>
      <c r="E19" s="147">
        <f t="shared" si="2"/>
        <v>0.76</v>
      </c>
    </row>
    <row r="20" spans="1:5" x14ac:dyDescent="0.25">
      <c r="A20" s="2" t="s">
        <v>466</v>
      </c>
      <c r="B20" s="148">
        <v>44060</v>
      </c>
      <c r="C20" s="150">
        <v>1.43</v>
      </c>
      <c r="D20" s="20">
        <v>0.43</v>
      </c>
      <c r="E20" s="147">
        <f t="shared" si="2"/>
        <v>1</v>
      </c>
    </row>
    <row r="21" spans="1:5" x14ac:dyDescent="0.25">
      <c r="A21" s="2" t="s">
        <v>464</v>
      </c>
      <c r="B21" s="148">
        <v>44085</v>
      </c>
      <c r="C21" s="150">
        <v>1.65</v>
      </c>
      <c r="D21" s="20">
        <v>0.5</v>
      </c>
      <c r="E21" s="20">
        <f t="shared" si="2"/>
        <v>1.1499999999999999</v>
      </c>
    </row>
    <row r="22" spans="1:5" x14ac:dyDescent="0.25">
      <c r="A22" s="2" t="s">
        <v>468</v>
      </c>
      <c r="B22" s="148">
        <v>44085</v>
      </c>
      <c r="C22" s="150">
        <v>1.78</v>
      </c>
      <c r="D22" s="20">
        <v>0.53</v>
      </c>
      <c r="E22" s="20">
        <f t="shared" ref="E22:E29" si="3">C22-D22</f>
        <v>1.25</v>
      </c>
    </row>
    <row r="23" spans="1:5" x14ac:dyDescent="0.25">
      <c r="A23" s="2" t="s">
        <v>468</v>
      </c>
      <c r="B23" s="148">
        <v>44116</v>
      </c>
      <c r="C23" s="121">
        <v>1.79</v>
      </c>
      <c r="D23" s="20">
        <v>0.54</v>
      </c>
      <c r="E23" s="147">
        <f t="shared" si="3"/>
        <v>1.25</v>
      </c>
    </row>
    <row r="24" spans="1:5" x14ac:dyDescent="0.25">
      <c r="A24" s="2" t="s">
        <v>464</v>
      </c>
      <c r="B24" s="148">
        <v>44120</v>
      </c>
      <c r="C24" s="150">
        <v>1.66</v>
      </c>
      <c r="D24" s="20">
        <v>0.5</v>
      </c>
      <c r="E24" s="147">
        <f t="shared" si="3"/>
        <v>1.1599999999999999</v>
      </c>
    </row>
    <row r="25" spans="1:5" x14ac:dyDescent="0.25">
      <c r="A25" s="2" t="s">
        <v>498</v>
      </c>
      <c r="B25" s="148">
        <v>44120</v>
      </c>
      <c r="C25" s="150">
        <v>1.69</v>
      </c>
      <c r="D25" s="20">
        <v>0.51</v>
      </c>
      <c r="E25" s="147">
        <f t="shared" si="3"/>
        <v>1.18</v>
      </c>
    </row>
    <row r="26" spans="1:5" x14ac:dyDescent="0.25">
      <c r="A26" s="2" t="s">
        <v>467</v>
      </c>
      <c r="B26" s="148">
        <v>44130</v>
      </c>
      <c r="C26" s="150">
        <v>6.19</v>
      </c>
      <c r="D26" s="20">
        <v>1.86</v>
      </c>
      <c r="E26" s="147">
        <f t="shared" si="3"/>
        <v>4.33</v>
      </c>
    </row>
    <row r="27" spans="1:5" x14ac:dyDescent="0.25">
      <c r="A27" s="2" t="s">
        <v>464</v>
      </c>
      <c r="B27" s="148">
        <v>44148</v>
      </c>
      <c r="C27" s="150">
        <v>1.66</v>
      </c>
      <c r="D27" s="20">
        <f>C27*0.3</f>
        <v>0.49799999999999994</v>
      </c>
      <c r="E27" s="147">
        <f t="shared" si="3"/>
        <v>1.1619999999999999</v>
      </c>
    </row>
    <row r="28" spans="1:5" x14ac:dyDescent="0.25">
      <c r="A28" s="2" t="s">
        <v>468</v>
      </c>
      <c r="B28" s="148">
        <v>44146</v>
      </c>
      <c r="C28" s="150">
        <v>1.8</v>
      </c>
      <c r="D28" s="20">
        <v>0.54</v>
      </c>
      <c r="E28" s="147">
        <f t="shared" si="3"/>
        <v>1.26</v>
      </c>
    </row>
    <row r="29" spans="1:5" x14ac:dyDescent="0.25">
      <c r="A29" s="2" t="s">
        <v>498</v>
      </c>
      <c r="B29" s="148">
        <v>44151</v>
      </c>
      <c r="C29" s="150">
        <v>1.7</v>
      </c>
      <c r="D29" s="20">
        <f>C29*0.3</f>
        <v>0.51</v>
      </c>
      <c r="E29" s="147">
        <f t="shared" si="3"/>
        <v>1.19</v>
      </c>
    </row>
    <row r="30" spans="1:5" x14ac:dyDescent="0.25">
      <c r="A30" s="2" t="s">
        <v>466</v>
      </c>
      <c r="B30" s="148">
        <v>44152</v>
      </c>
      <c r="C30" s="150">
        <v>2.85</v>
      </c>
      <c r="D30" s="20">
        <f>C30*0.3</f>
        <v>0.85499999999999998</v>
      </c>
      <c r="E30" s="147">
        <f t="shared" ref="E30:E32" si="4">C30-D30</f>
        <v>1.9950000000000001</v>
      </c>
    </row>
    <row r="31" spans="1:5" x14ac:dyDescent="0.25">
      <c r="A31" s="2" t="s">
        <v>468</v>
      </c>
      <c r="B31" s="148">
        <v>44175</v>
      </c>
      <c r="C31" s="150">
        <v>1.81</v>
      </c>
      <c r="D31" s="20">
        <v>0.54</v>
      </c>
      <c r="E31" s="147">
        <f t="shared" si="4"/>
        <v>1.27</v>
      </c>
    </row>
    <row r="32" spans="1:5" x14ac:dyDescent="0.25">
      <c r="A32" s="2" t="s">
        <v>468</v>
      </c>
      <c r="B32" s="148">
        <v>44209</v>
      </c>
      <c r="C32" s="150">
        <v>1.81</v>
      </c>
      <c r="D32" s="20">
        <v>0.5</v>
      </c>
      <c r="E32" s="147">
        <f t="shared" si="4"/>
        <v>1.31</v>
      </c>
    </row>
    <row r="33" spans="1:5" x14ac:dyDescent="0.25">
      <c r="A33" s="2" t="s">
        <v>464</v>
      </c>
      <c r="B33" s="148">
        <v>44176</v>
      </c>
      <c r="C33" s="150">
        <v>1.67</v>
      </c>
      <c r="D33" s="20">
        <v>0.5</v>
      </c>
      <c r="E33" s="147">
        <f t="shared" ref="E33:E36" si="5">C33-D33</f>
        <v>1.17</v>
      </c>
    </row>
    <row r="34" spans="1:5" x14ac:dyDescent="0.25">
      <c r="A34" s="2" t="s">
        <v>464</v>
      </c>
      <c r="B34" s="148">
        <v>44211</v>
      </c>
      <c r="C34" s="150">
        <v>2.13</v>
      </c>
      <c r="D34" s="20">
        <f>C34*0.3</f>
        <v>0.6389999999999999</v>
      </c>
      <c r="E34" s="147">
        <f t="shared" si="5"/>
        <v>1.4910000000000001</v>
      </c>
    </row>
    <row r="35" spans="1:5" x14ac:dyDescent="0.25">
      <c r="A35" s="2" t="s">
        <v>498</v>
      </c>
      <c r="B35" s="148">
        <v>44181</v>
      </c>
      <c r="C35" s="150">
        <v>2.09</v>
      </c>
      <c r="D35" s="20">
        <f>C35*0.3</f>
        <v>0.62699999999999989</v>
      </c>
      <c r="E35" s="147">
        <f t="shared" si="5"/>
        <v>1.4630000000000001</v>
      </c>
    </row>
    <row r="36" spans="1:5" x14ac:dyDescent="0.25">
      <c r="A36" s="2" t="s">
        <v>498</v>
      </c>
      <c r="B36" s="148">
        <v>44215</v>
      </c>
      <c r="C36" s="150">
        <v>3.31</v>
      </c>
      <c r="D36" s="20">
        <f>C36*0.3</f>
        <v>0.99299999999999999</v>
      </c>
      <c r="E36" s="147">
        <f t="shared" si="5"/>
        <v>2.3170000000000002</v>
      </c>
    </row>
    <row r="37" spans="1:5" x14ac:dyDescent="0.25">
      <c r="A37" s="2" t="s">
        <v>467</v>
      </c>
      <c r="B37" s="148">
        <v>44229</v>
      </c>
      <c r="C37" s="150">
        <v>7.51</v>
      </c>
      <c r="D37" s="20">
        <f t="shared" ref="D37:D42" si="6">C37*0.3</f>
        <v>2.2529999999999997</v>
      </c>
      <c r="E37" s="147">
        <f t="shared" ref="E37:E42" si="7">C37-D37</f>
        <v>5.2569999999999997</v>
      </c>
    </row>
    <row r="38" spans="1:5" x14ac:dyDescent="0.25">
      <c r="A38" s="2" t="s">
        <v>468</v>
      </c>
      <c r="B38" s="148">
        <v>44237</v>
      </c>
      <c r="C38" s="150">
        <v>1.81</v>
      </c>
      <c r="D38" s="20">
        <f t="shared" si="6"/>
        <v>0.54300000000000004</v>
      </c>
      <c r="E38" s="147">
        <f t="shared" si="7"/>
        <v>1.2669999999999999</v>
      </c>
    </row>
    <row r="39" spans="1:5" x14ac:dyDescent="0.25">
      <c r="A39" s="2" t="s">
        <v>517</v>
      </c>
      <c r="B39" s="148">
        <v>44239</v>
      </c>
      <c r="C39" s="150">
        <v>1.83</v>
      </c>
      <c r="D39" s="20">
        <f t="shared" si="6"/>
        <v>0.54900000000000004</v>
      </c>
      <c r="E39" s="147">
        <f t="shared" si="7"/>
        <v>1.2810000000000001</v>
      </c>
    </row>
    <row r="40" spans="1:5" x14ac:dyDescent="0.25">
      <c r="A40" s="2" t="s">
        <v>464</v>
      </c>
      <c r="B40" s="148">
        <v>44239</v>
      </c>
      <c r="C40" s="150">
        <v>2.13</v>
      </c>
      <c r="D40" s="20">
        <f t="shared" si="6"/>
        <v>0.6389999999999999</v>
      </c>
      <c r="E40" s="147">
        <f t="shared" si="7"/>
        <v>1.4910000000000001</v>
      </c>
    </row>
    <row r="41" spans="1:5" x14ac:dyDescent="0.25">
      <c r="A41" s="2" t="s">
        <v>466</v>
      </c>
      <c r="B41" s="148">
        <v>44244</v>
      </c>
      <c r="C41" s="150">
        <v>3.31</v>
      </c>
      <c r="D41" s="20">
        <f t="shared" si="6"/>
        <v>0.99299999999999999</v>
      </c>
      <c r="E41" s="147">
        <f t="shared" si="7"/>
        <v>2.3170000000000002</v>
      </c>
    </row>
    <row r="42" spans="1:5" x14ac:dyDescent="0.25">
      <c r="A42" s="2" t="s">
        <v>498</v>
      </c>
      <c r="B42" s="148">
        <v>44244</v>
      </c>
      <c r="C42" s="150">
        <v>3.31</v>
      </c>
      <c r="D42" s="20">
        <f t="shared" si="6"/>
        <v>0.99299999999999999</v>
      </c>
      <c r="E42" s="147">
        <f t="shared" si="7"/>
        <v>2.3170000000000002</v>
      </c>
    </row>
    <row r="43" spans="1:5" x14ac:dyDescent="0.25">
      <c r="A43" s="2" t="s">
        <v>468</v>
      </c>
      <c r="B43" s="148">
        <v>44265</v>
      </c>
      <c r="C43" s="150">
        <v>1.81</v>
      </c>
      <c r="D43" s="20">
        <f t="shared" ref="D43" si="8">C43*0.3</f>
        <v>0.54300000000000004</v>
      </c>
      <c r="E43" s="147">
        <f t="shared" ref="E43" si="9">C43-D43</f>
        <v>1.2669999999999999</v>
      </c>
    </row>
    <row r="44" spans="1:5" x14ac:dyDescent="0.25">
      <c r="A44" s="2" t="s">
        <v>517</v>
      </c>
      <c r="B44" s="148">
        <v>44267</v>
      </c>
      <c r="C44" s="150">
        <v>2.87</v>
      </c>
      <c r="D44" s="20">
        <f t="shared" ref="D44:D45" si="10">C44*0.3</f>
        <v>0.86099999999999999</v>
      </c>
      <c r="E44" s="147">
        <f t="shared" ref="E44:E45" si="11">C44-D44</f>
        <v>2.0090000000000003</v>
      </c>
    </row>
    <row r="45" spans="1:5" x14ac:dyDescent="0.25">
      <c r="A45" s="2" t="s">
        <v>464</v>
      </c>
      <c r="B45" s="148">
        <v>44267</v>
      </c>
      <c r="C45" s="150">
        <v>2.1800000000000002</v>
      </c>
      <c r="D45" s="20">
        <f t="shared" si="10"/>
        <v>0.65400000000000003</v>
      </c>
      <c r="E45" s="147">
        <f t="shared" si="11"/>
        <v>1.5260000000000002</v>
      </c>
    </row>
    <row r="46" spans="1:5" x14ac:dyDescent="0.25">
      <c r="A46" s="2" t="s">
        <v>466</v>
      </c>
      <c r="B46" s="148"/>
      <c r="C46" s="150"/>
      <c r="D46" s="20"/>
      <c r="E46" s="147"/>
    </row>
    <row r="47" spans="1:5" x14ac:dyDescent="0.25">
      <c r="A47" s="2" t="s">
        <v>498</v>
      </c>
      <c r="B47" s="148"/>
      <c r="C47" s="150"/>
      <c r="D47" s="20"/>
      <c r="E47" s="147"/>
    </row>
    <row r="48" spans="1:5" x14ac:dyDescent="0.25">
      <c r="B48" s="148"/>
      <c r="C48" s="150"/>
      <c r="D48" s="20"/>
      <c r="E48" s="147"/>
    </row>
    <row r="49" spans="1:8" x14ac:dyDescent="0.25">
      <c r="B49" s="148"/>
      <c r="C49" s="150"/>
      <c r="D49" s="20"/>
      <c r="E49" s="147"/>
    </row>
    <row r="50" spans="1:8" x14ac:dyDescent="0.25">
      <c r="B50" s="148"/>
      <c r="C50" s="150"/>
      <c r="D50" s="20"/>
      <c r="E50" s="147"/>
    </row>
    <row r="51" spans="1:8" x14ac:dyDescent="0.25">
      <c r="B51" s="148"/>
      <c r="C51" s="150"/>
      <c r="D51" s="20"/>
      <c r="E51" s="147"/>
    </row>
    <row r="53" spans="1:8" x14ac:dyDescent="0.25">
      <c r="A53" s="155" t="s">
        <v>4</v>
      </c>
      <c r="B53" s="155"/>
      <c r="C53" s="156">
        <f>SUM(C17:C52)</f>
        <v>66.29000000000002</v>
      </c>
      <c r="D53" s="156">
        <f>SUM(D17:D52)</f>
        <v>19.849999999999994</v>
      </c>
      <c r="E53" s="156">
        <f>SUM(E17:E52)</f>
        <v>46.440000000000005</v>
      </c>
    </row>
    <row r="59" spans="1:8" x14ac:dyDescent="0.25">
      <c r="A59" s="2" t="s">
        <v>492</v>
      </c>
    </row>
    <row r="60" spans="1:8" x14ac:dyDescent="0.25">
      <c r="A60" s="2" t="s">
        <v>493</v>
      </c>
    </row>
    <row r="61" spans="1:8" x14ac:dyDescent="0.25">
      <c r="A61" s="2" t="s">
        <v>502</v>
      </c>
    </row>
    <row r="62" spans="1:8" x14ac:dyDescent="0.25">
      <c r="A62" s="2" t="s">
        <v>486</v>
      </c>
      <c r="D62" t="s">
        <v>487</v>
      </c>
      <c r="E62" t="s">
        <v>488</v>
      </c>
      <c r="F62" s="147">
        <v>8.19</v>
      </c>
      <c r="G62" s="20">
        <v>0.12</v>
      </c>
      <c r="H62" t="s">
        <v>479</v>
      </c>
    </row>
    <row r="63" spans="1:8" x14ac:dyDescent="0.25">
      <c r="A63" s="2" t="s">
        <v>517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C97B-B222-400D-B0EA-DD402A69F438}">
  <dimension ref="A1:K44"/>
  <sheetViews>
    <sheetView workbookViewId="0">
      <selection activeCell="K7" sqref="K7"/>
    </sheetView>
  </sheetViews>
  <sheetFormatPr defaultRowHeight="15" x14ac:dyDescent="0.25"/>
  <cols>
    <col min="1" max="1" width="13.28515625" customWidth="1"/>
    <col min="2" max="2" width="18.5703125" customWidth="1"/>
    <col min="3" max="3" width="40.28515625" customWidth="1"/>
    <col min="5" max="5" width="11.5703125" customWidth="1"/>
    <col min="6" max="6" width="11.42578125" customWidth="1"/>
    <col min="7" max="7" width="10.85546875" customWidth="1"/>
    <col min="8" max="8" width="10.42578125" bestFit="1" customWidth="1"/>
    <col min="9" max="9" width="10.7109375" bestFit="1" customWidth="1"/>
  </cols>
  <sheetData>
    <row r="1" spans="1:11" x14ac:dyDescent="0.25">
      <c r="A1" s="141" t="s">
        <v>428</v>
      </c>
      <c r="B1" s="141"/>
      <c r="C1" s="141"/>
      <c r="D1" s="141"/>
    </row>
    <row r="2" spans="1:11" x14ac:dyDescent="0.25">
      <c r="A2" s="143" t="s">
        <v>449</v>
      </c>
      <c r="B2" s="144" t="s">
        <v>429</v>
      </c>
      <c r="C2" s="144" t="s">
        <v>430</v>
      </c>
      <c r="D2" s="144" t="s">
        <v>46</v>
      </c>
      <c r="E2" s="144" t="s">
        <v>20</v>
      </c>
      <c r="F2" s="144" t="s">
        <v>21</v>
      </c>
      <c r="G2" s="144" t="s">
        <v>22</v>
      </c>
      <c r="H2" s="144" t="s">
        <v>23</v>
      </c>
      <c r="I2" s="154" t="s">
        <v>26</v>
      </c>
      <c r="J2" s="154" t="s">
        <v>42</v>
      </c>
      <c r="K2" s="154" t="s">
        <v>43</v>
      </c>
    </row>
    <row r="3" spans="1:11" x14ac:dyDescent="0.25">
      <c r="A3" s="145">
        <v>3</v>
      </c>
      <c r="B3" t="s">
        <v>440</v>
      </c>
      <c r="C3" t="s">
        <v>441</v>
      </c>
      <c r="D3" s="20">
        <v>259.81</v>
      </c>
      <c r="E3" s="20">
        <v>259.81</v>
      </c>
      <c r="F3" s="20">
        <v>259.81</v>
      </c>
      <c r="G3" s="20">
        <v>265.85000000000002</v>
      </c>
      <c r="H3" s="20">
        <v>277.35000000000002</v>
      </c>
      <c r="I3" s="20">
        <v>278</v>
      </c>
      <c r="J3" s="20">
        <v>278</v>
      </c>
    </row>
    <row r="4" spans="1:11" x14ac:dyDescent="0.25">
      <c r="A4" s="145">
        <v>5</v>
      </c>
      <c r="B4" t="s">
        <v>432</v>
      </c>
      <c r="C4" t="s">
        <v>433</v>
      </c>
      <c r="D4" s="20">
        <v>402.4</v>
      </c>
      <c r="E4" s="20">
        <v>402.4</v>
      </c>
      <c r="F4" s="20">
        <v>402.4</v>
      </c>
      <c r="G4" s="20">
        <v>402.4</v>
      </c>
      <c r="H4" s="20">
        <v>402.4</v>
      </c>
      <c r="I4" s="20">
        <v>402.4</v>
      </c>
      <c r="J4" s="20">
        <v>402.4</v>
      </c>
      <c r="K4" s="20">
        <v>402.4</v>
      </c>
    </row>
    <row r="5" spans="1:11" x14ac:dyDescent="0.25">
      <c r="A5" s="145">
        <v>6</v>
      </c>
      <c r="B5" t="s">
        <v>445</v>
      </c>
      <c r="C5" t="s">
        <v>453</v>
      </c>
      <c r="D5" s="20">
        <v>87</v>
      </c>
      <c r="E5" s="20">
        <v>87</v>
      </c>
      <c r="F5" s="20">
        <v>82.68</v>
      </c>
      <c r="G5" s="20">
        <v>80.19</v>
      </c>
      <c r="H5" s="20">
        <v>90.62</v>
      </c>
      <c r="I5" s="20">
        <v>93.44</v>
      </c>
      <c r="J5" s="20">
        <v>94.83</v>
      </c>
    </row>
    <row r="6" spans="1:11" x14ac:dyDescent="0.25">
      <c r="A6" s="145">
        <v>5</v>
      </c>
      <c r="B6" t="s">
        <v>431</v>
      </c>
      <c r="C6" t="s">
        <v>442</v>
      </c>
      <c r="D6" s="20">
        <v>99.9</v>
      </c>
      <c r="E6" s="20">
        <v>99.9</v>
      </c>
      <c r="F6" s="20">
        <v>99.9</v>
      </c>
      <c r="G6" s="20">
        <v>99.9</v>
      </c>
      <c r="H6" s="20">
        <v>99.9</v>
      </c>
      <c r="I6" s="20">
        <v>99.9</v>
      </c>
      <c r="J6" s="20">
        <v>99.9</v>
      </c>
      <c r="K6" s="20">
        <v>99.9</v>
      </c>
    </row>
    <row r="7" spans="1:11" x14ac:dyDescent="0.25">
      <c r="A7" s="145">
        <v>10</v>
      </c>
      <c r="B7" t="s">
        <v>443</v>
      </c>
      <c r="C7" t="s">
        <v>444</v>
      </c>
      <c r="D7" s="20">
        <v>290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</row>
    <row r="8" spans="1:11" x14ac:dyDescent="0.25">
      <c r="A8" s="145">
        <v>18</v>
      </c>
      <c r="B8" t="s">
        <v>438</v>
      </c>
      <c r="C8" t="s">
        <v>439</v>
      </c>
      <c r="D8" s="20">
        <v>206.39</v>
      </c>
      <c r="E8" s="20">
        <v>0</v>
      </c>
      <c r="F8" s="20">
        <v>91.8</v>
      </c>
      <c r="G8" s="20">
        <v>91.8</v>
      </c>
      <c r="J8" s="20">
        <v>296.86</v>
      </c>
    </row>
    <row r="9" spans="1:11" x14ac:dyDescent="0.25">
      <c r="A9" s="145">
        <v>18</v>
      </c>
      <c r="B9" t="s">
        <v>438</v>
      </c>
      <c r="C9" t="s">
        <v>435</v>
      </c>
      <c r="D9" s="20">
        <v>63.52</v>
      </c>
      <c r="E9" s="20">
        <v>0</v>
      </c>
      <c r="F9" s="20">
        <v>69.87</v>
      </c>
      <c r="G9" s="20">
        <v>402.87</v>
      </c>
      <c r="J9" s="20">
        <v>430.84</v>
      </c>
    </row>
    <row r="10" spans="1:11" x14ac:dyDescent="0.25">
      <c r="A10" s="145">
        <v>20</v>
      </c>
      <c r="B10" t="s">
        <v>438</v>
      </c>
      <c r="C10" t="s">
        <v>457</v>
      </c>
      <c r="D10" s="20">
        <v>0</v>
      </c>
      <c r="E10" s="20">
        <v>360</v>
      </c>
      <c r="F10" s="20">
        <v>450</v>
      </c>
      <c r="G10" s="20">
        <v>450</v>
      </c>
      <c r="H10" s="20">
        <v>360</v>
      </c>
      <c r="I10" s="20">
        <v>360</v>
      </c>
      <c r="J10" s="20">
        <v>0</v>
      </c>
    </row>
    <row r="11" spans="1:11" x14ac:dyDescent="0.25">
      <c r="A11" s="145">
        <v>20</v>
      </c>
      <c r="B11" t="s">
        <v>436</v>
      </c>
      <c r="C11" t="s">
        <v>437</v>
      </c>
      <c r="D11" s="20">
        <v>152.44999999999999</v>
      </c>
      <c r="E11" s="20">
        <v>152.44999999999999</v>
      </c>
      <c r="F11" s="20">
        <v>152.44999999999999</v>
      </c>
      <c r="G11" s="20">
        <v>161.16</v>
      </c>
      <c r="I11" s="20">
        <v>132.11000000000001</v>
      </c>
      <c r="J11" s="20">
        <v>132.11000000000001</v>
      </c>
    </row>
    <row r="12" spans="1:11" x14ac:dyDescent="0.25">
      <c r="A12" s="145">
        <v>25</v>
      </c>
      <c r="B12" t="s">
        <v>434</v>
      </c>
      <c r="C12" t="s">
        <v>435</v>
      </c>
      <c r="D12" s="20">
        <v>1084.1500000000001</v>
      </c>
      <c r="E12" s="20">
        <v>1542.18</v>
      </c>
      <c r="F12" s="20">
        <v>1343.63</v>
      </c>
      <c r="G12" s="20">
        <v>1672.64</v>
      </c>
      <c r="I12" s="20">
        <v>2885.8</v>
      </c>
      <c r="J12" s="20">
        <v>2077.92</v>
      </c>
    </row>
    <row r="13" spans="1:11" x14ac:dyDescent="0.25">
      <c r="A13" s="145">
        <v>27</v>
      </c>
      <c r="B13" t="s">
        <v>445</v>
      </c>
      <c r="C13" t="s">
        <v>446</v>
      </c>
      <c r="D13" s="20">
        <v>166.72</v>
      </c>
      <c r="E13" s="20">
        <v>136.6</v>
      </c>
      <c r="F13" s="20">
        <v>122.37</v>
      </c>
      <c r="G13" s="20">
        <v>130.94</v>
      </c>
      <c r="I13" s="20">
        <v>114.64</v>
      </c>
      <c r="J13" s="20"/>
    </row>
    <row r="14" spans="1:11" x14ac:dyDescent="0.25">
      <c r="A14" s="145">
        <v>27</v>
      </c>
      <c r="B14" t="s">
        <v>447</v>
      </c>
      <c r="C14" t="s">
        <v>448</v>
      </c>
      <c r="D14" s="20">
        <v>37.979999999999997</v>
      </c>
      <c r="E14" s="20">
        <v>37.74</v>
      </c>
      <c r="F14" s="20">
        <v>38.49</v>
      </c>
      <c r="I14" s="20">
        <v>37.74</v>
      </c>
      <c r="J14" s="20">
        <v>71.5</v>
      </c>
    </row>
    <row r="15" spans="1:11" x14ac:dyDescent="0.25">
      <c r="A15" s="145">
        <v>30</v>
      </c>
      <c r="B15" t="s">
        <v>459</v>
      </c>
      <c r="C15" t="s">
        <v>460</v>
      </c>
      <c r="D15" s="20"/>
      <c r="E15">
        <f>222+126.96</f>
        <v>348.96</v>
      </c>
      <c r="F15" s="20">
        <f>210+120</f>
        <v>330</v>
      </c>
      <c r="G15" s="20">
        <v>0</v>
      </c>
      <c r="H15">
        <v>0</v>
      </c>
      <c r="I15" s="20">
        <v>0</v>
      </c>
      <c r="J15" s="20">
        <v>0</v>
      </c>
    </row>
    <row r="16" spans="1:11" x14ac:dyDescent="0.25">
      <c r="A16" s="145">
        <v>31</v>
      </c>
      <c r="B16" t="s">
        <v>461</v>
      </c>
      <c r="C16" t="s">
        <v>462</v>
      </c>
      <c r="D16" s="20"/>
      <c r="E16" s="20">
        <v>1595</v>
      </c>
      <c r="F16" s="20">
        <v>1603</v>
      </c>
      <c r="G16">
        <v>1605.65</v>
      </c>
      <c r="H16" s="20">
        <v>1608.19</v>
      </c>
      <c r="I16" s="20">
        <v>1613.26</v>
      </c>
      <c r="J16">
        <v>1618.18</v>
      </c>
    </row>
    <row r="17" spans="1:10" x14ac:dyDescent="0.25">
      <c r="A17" s="26"/>
      <c r="D17" s="20"/>
    </row>
    <row r="18" spans="1:10" x14ac:dyDescent="0.25">
      <c r="A18" s="26"/>
      <c r="C18" t="s">
        <v>4</v>
      </c>
      <c r="D18" s="20">
        <f>SUM(D3:D16)</f>
        <v>2850.3199999999997</v>
      </c>
      <c r="E18" s="20">
        <f>SUM(E3:E16)</f>
        <v>5022.04</v>
      </c>
      <c r="F18" s="20">
        <f t="shared" ref="F18:J18" si="0">SUM(F3:F16)</f>
        <v>5046.3999999999996</v>
      </c>
      <c r="G18" s="20">
        <f t="shared" si="0"/>
        <v>5363.4000000000005</v>
      </c>
      <c r="H18" s="20">
        <f t="shared" si="0"/>
        <v>2838.46</v>
      </c>
      <c r="I18" s="20">
        <f t="shared" si="0"/>
        <v>6017.29</v>
      </c>
      <c r="J18" s="20">
        <f t="shared" si="0"/>
        <v>5502.54</v>
      </c>
    </row>
    <row r="19" spans="1:10" x14ac:dyDescent="0.25">
      <c r="A19" s="26"/>
      <c r="D19" s="20"/>
    </row>
    <row r="20" spans="1:10" x14ac:dyDescent="0.25">
      <c r="A20" s="26"/>
      <c r="D20" s="20"/>
      <c r="I20" s="20"/>
    </row>
    <row r="21" spans="1:10" x14ac:dyDescent="0.25">
      <c r="A21" s="26"/>
      <c r="D21" s="20"/>
    </row>
    <row r="22" spans="1:10" x14ac:dyDescent="0.25">
      <c r="A22" s="26"/>
      <c r="D22" s="20"/>
    </row>
    <row r="23" spans="1:10" x14ac:dyDescent="0.25">
      <c r="A23" s="26"/>
      <c r="D23" s="20"/>
    </row>
    <row r="24" spans="1:10" x14ac:dyDescent="0.25">
      <c r="A24" s="140"/>
      <c r="B24" s="141"/>
      <c r="C24" s="141"/>
      <c r="D24" s="142"/>
    </row>
    <row r="25" spans="1:10" x14ac:dyDescent="0.25">
      <c r="A25" s="2"/>
      <c r="D25" s="20"/>
    </row>
    <row r="26" spans="1:10" x14ac:dyDescent="0.25">
      <c r="A26" s="2"/>
      <c r="D26" s="20"/>
    </row>
    <row r="27" spans="1:10" x14ac:dyDescent="0.25">
      <c r="A27" s="2"/>
      <c r="D27" s="20"/>
    </row>
    <row r="28" spans="1:10" x14ac:dyDescent="0.25">
      <c r="A28" s="2"/>
      <c r="D28" s="20"/>
    </row>
    <row r="29" spans="1:10" x14ac:dyDescent="0.25">
      <c r="A29" s="2"/>
      <c r="D29" s="20"/>
    </row>
    <row r="30" spans="1:10" x14ac:dyDescent="0.25">
      <c r="A30" s="2"/>
      <c r="D30" s="20"/>
    </row>
    <row r="31" spans="1:10" x14ac:dyDescent="0.25">
      <c r="A31" s="2"/>
      <c r="D31" s="20"/>
    </row>
    <row r="32" spans="1:10" x14ac:dyDescent="0.25">
      <c r="A32" s="2"/>
      <c r="D32" s="20"/>
    </row>
    <row r="33" spans="1:4" x14ac:dyDescent="0.25">
      <c r="A33" s="2"/>
      <c r="D33" s="20"/>
    </row>
    <row r="34" spans="1:4" x14ac:dyDescent="0.25">
      <c r="A34" s="2"/>
      <c r="D34" s="20"/>
    </row>
    <row r="35" spans="1:4" x14ac:dyDescent="0.25">
      <c r="A35" s="2"/>
      <c r="D35" s="20"/>
    </row>
    <row r="36" spans="1:4" x14ac:dyDescent="0.25">
      <c r="D36" s="20"/>
    </row>
    <row r="37" spans="1:4" x14ac:dyDescent="0.25">
      <c r="D37" s="20"/>
    </row>
    <row r="38" spans="1:4" x14ac:dyDescent="0.25">
      <c r="D38" s="20"/>
    </row>
    <row r="39" spans="1:4" x14ac:dyDescent="0.25">
      <c r="D39" s="20"/>
    </row>
    <row r="40" spans="1:4" x14ac:dyDescent="0.25">
      <c r="D40" s="20"/>
    </row>
    <row r="41" spans="1:4" x14ac:dyDescent="0.25">
      <c r="D41" s="20"/>
    </row>
    <row r="42" spans="1:4" x14ac:dyDescent="0.25">
      <c r="D42" s="20"/>
    </row>
    <row r="43" spans="1:4" x14ac:dyDescent="0.25">
      <c r="D43" s="20"/>
    </row>
    <row r="44" spans="1:4" x14ac:dyDescent="0.25">
      <c r="D44" s="2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B969-5DDA-4C65-864A-3C481D049E10}">
  <dimension ref="A3:Y105"/>
  <sheetViews>
    <sheetView topLeftCell="A44" zoomScaleNormal="100" workbookViewId="0">
      <selection activeCell="C61" sqref="C61"/>
    </sheetView>
  </sheetViews>
  <sheetFormatPr defaultRowHeight="15" x14ac:dyDescent="0.25"/>
  <cols>
    <col min="1" max="1" width="10.7109375" bestFit="1" customWidth="1"/>
    <col min="2" max="2" width="11.7109375" customWidth="1"/>
    <col min="3" max="3" width="8.28515625" customWidth="1"/>
    <col min="4" max="4" width="13.42578125" customWidth="1"/>
    <col min="5" max="5" width="9.7109375" customWidth="1"/>
    <col min="6" max="6" width="11.140625" style="20" bestFit="1" customWidth="1"/>
    <col min="8" max="8" width="11.42578125" bestFit="1" customWidth="1"/>
    <col min="9" max="9" width="13.140625" bestFit="1" customWidth="1"/>
    <col min="10" max="10" width="12.42578125" customWidth="1"/>
    <col min="14" max="14" width="10.7109375" bestFit="1" customWidth="1"/>
    <col min="18" max="18" width="16.28515625" bestFit="1" customWidth="1"/>
    <col min="22" max="22" width="12.42578125" bestFit="1" customWidth="1"/>
  </cols>
  <sheetData>
    <row r="3" spans="1:25" x14ac:dyDescent="0.25">
      <c r="A3" t="s">
        <v>0</v>
      </c>
      <c r="B3" t="s">
        <v>394</v>
      </c>
      <c r="C3" t="s">
        <v>392</v>
      </c>
      <c r="D3" t="s">
        <v>395</v>
      </c>
      <c r="E3" s="15" t="s">
        <v>81</v>
      </c>
      <c r="F3" s="147" t="s">
        <v>527</v>
      </c>
      <c r="G3" s="15" t="s">
        <v>392</v>
      </c>
      <c r="R3" t="s">
        <v>396</v>
      </c>
      <c r="S3" s="15" t="s">
        <v>397</v>
      </c>
      <c r="V3" t="s">
        <v>59</v>
      </c>
      <c r="W3" s="15" t="s">
        <v>397</v>
      </c>
    </row>
    <row r="4" spans="1:25" x14ac:dyDescent="0.25">
      <c r="A4" s="52">
        <v>42551</v>
      </c>
      <c r="B4" s="20">
        <f t="shared" ref="B4:B10" si="0">B5-C4</f>
        <v>1347.2899999999997</v>
      </c>
      <c r="C4" s="20">
        <v>23.53</v>
      </c>
      <c r="D4" s="20">
        <f t="shared" ref="D4:D8" si="1">B4+C4</f>
        <v>1370.8199999999997</v>
      </c>
      <c r="E4" s="12">
        <f t="shared" ref="E4:E9" si="2">D4/B4-1</f>
        <v>1.7464688374440485E-2</v>
      </c>
      <c r="F4" s="43"/>
      <c r="R4" s="52">
        <v>42549</v>
      </c>
      <c r="S4" s="20">
        <v>200</v>
      </c>
      <c r="T4" t="s">
        <v>421</v>
      </c>
      <c r="V4" s="52">
        <v>42911</v>
      </c>
      <c r="W4" s="20">
        <v>78.09</v>
      </c>
      <c r="X4" t="s">
        <v>422</v>
      </c>
    </row>
    <row r="5" spans="1:25" x14ac:dyDescent="0.25">
      <c r="A5" s="52">
        <v>42582</v>
      </c>
      <c r="B5" s="20">
        <f t="shared" si="0"/>
        <v>1370.8199999999997</v>
      </c>
      <c r="C5" s="20">
        <v>-81.349999999999994</v>
      </c>
      <c r="D5" s="20">
        <f t="shared" si="1"/>
        <v>1289.4699999999998</v>
      </c>
      <c r="E5" s="12">
        <f t="shared" si="2"/>
        <v>-5.9344042252082674E-2</v>
      </c>
      <c r="F5" s="43"/>
      <c r="R5" s="52">
        <v>42673</v>
      </c>
      <c r="S5" s="20">
        <f>125+78.09</f>
        <v>203.09</v>
      </c>
      <c r="T5" t="s">
        <v>422</v>
      </c>
      <c r="V5" s="52">
        <v>42912</v>
      </c>
      <c r="W5" s="20">
        <v>200</v>
      </c>
      <c r="X5" t="s">
        <v>422</v>
      </c>
    </row>
    <row r="6" spans="1:25" x14ac:dyDescent="0.25">
      <c r="A6" s="52">
        <v>42613</v>
      </c>
      <c r="B6" s="20">
        <f t="shared" si="0"/>
        <v>1289.4699999999998</v>
      </c>
      <c r="C6" s="20">
        <v>2.0299999999999998</v>
      </c>
      <c r="D6" s="20">
        <f t="shared" si="1"/>
        <v>1291.4999999999998</v>
      </c>
      <c r="E6" s="12">
        <f t="shared" si="2"/>
        <v>1.5742902122577451E-3</v>
      </c>
      <c r="F6" s="43"/>
      <c r="R6" s="52">
        <v>42696</v>
      </c>
      <c r="S6" s="20">
        <v>300</v>
      </c>
      <c r="T6" t="s">
        <v>421</v>
      </c>
      <c r="V6" s="52">
        <v>42930</v>
      </c>
      <c r="W6" s="20">
        <v>100</v>
      </c>
      <c r="X6" t="s">
        <v>423</v>
      </c>
    </row>
    <row r="7" spans="1:25" x14ac:dyDescent="0.25">
      <c r="A7" s="52">
        <v>42643</v>
      </c>
      <c r="B7" s="20">
        <f t="shared" si="0"/>
        <v>1291.4999999999998</v>
      </c>
      <c r="C7" s="20">
        <v>17.46</v>
      </c>
      <c r="D7" s="20">
        <f t="shared" si="1"/>
        <v>1308.9599999999998</v>
      </c>
      <c r="E7" s="12">
        <f t="shared" si="2"/>
        <v>1.3519163763066278E-2</v>
      </c>
      <c r="F7" s="43"/>
      <c r="R7" s="52">
        <v>42697</v>
      </c>
      <c r="S7" s="20">
        <v>100</v>
      </c>
      <c r="T7" t="s">
        <v>420</v>
      </c>
      <c r="V7" s="52">
        <v>43050</v>
      </c>
      <c r="W7" s="20">
        <v>1047.4000000000001</v>
      </c>
      <c r="X7" t="s">
        <v>422</v>
      </c>
    </row>
    <row r="8" spans="1:25" x14ac:dyDescent="0.25">
      <c r="A8" s="52">
        <v>42674</v>
      </c>
      <c r="B8" s="20">
        <f t="shared" si="0"/>
        <v>1308.9599999999998</v>
      </c>
      <c r="C8" s="20">
        <v>-37.07</v>
      </c>
      <c r="D8" s="20">
        <f t="shared" si="1"/>
        <v>1271.8899999999999</v>
      </c>
      <c r="E8" s="12">
        <f t="shared" si="2"/>
        <v>-2.8320193130424109E-2</v>
      </c>
      <c r="F8" s="43"/>
      <c r="R8" s="52">
        <v>42760</v>
      </c>
      <c r="S8" s="20">
        <v>300</v>
      </c>
      <c r="T8" t="s">
        <v>421</v>
      </c>
      <c r="V8" s="52">
        <v>43139</v>
      </c>
      <c r="W8" s="20">
        <v>50</v>
      </c>
      <c r="X8" t="s">
        <v>424</v>
      </c>
    </row>
    <row r="9" spans="1:25" x14ac:dyDescent="0.25">
      <c r="A9" s="52">
        <v>42704</v>
      </c>
      <c r="B9" s="20">
        <f t="shared" si="0"/>
        <v>1271.8899999999999</v>
      </c>
      <c r="C9" s="20">
        <v>-20.43</v>
      </c>
      <c r="D9" s="20">
        <f>B9+C9</f>
        <v>1251.4599999999998</v>
      </c>
      <c r="E9" s="12">
        <f t="shared" si="2"/>
        <v>-1.606270982553526E-2</v>
      </c>
      <c r="F9" s="43"/>
      <c r="R9" s="52">
        <v>42912</v>
      </c>
      <c r="S9" s="20">
        <v>100</v>
      </c>
      <c r="T9" t="s">
        <v>423</v>
      </c>
      <c r="V9" s="52">
        <v>43157</v>
      </c>
      <c r="W9" s="20">
        <v>100</v>
      </c>
      <c r="X9" t="s">
        <v>424</v>
      </c>
    </row>
    <row r="10" spans="1:25" x14ac:dyDescent="0.25">
      <c r="A10" s="52">
        <v>42735</v>
      </c>
      <c r="B10" s="20">
        <f t="shared" si="0"/>
        <v>1251.4599999999998</v>
      </c>
      <c r="C10" s="20">
        <v>33.24</v>
      </c>
      <c r="D10" s="20">
        <f>B10+C10</f>
        <v>1284.6999999999998</v>
      </c>
      <c r="E10" s="12">
        <f>D10/B10-1</f>
        <v>2.6560976779121948E-2</v>
      </c>
      <c r="F10" s="43"/>
      <c r="H10" s="12">
        <f>D10/B4-1</f>
        <v>-4.6456219522151843E-2</v>
      </c>
      <c r="I10" t="s">
        <v>398</v>
      </c>
      <c r="R10" s="52">
        <v>43050</v>
      </c>
      <c r="S10" s="20">
        <v>1047.4000000000001</v>
      </c>
      <c r="T10" t="s">
        <v>422</v>
      </c>
      <c r="V10" s="52">
        <v>43732</v>
      </c>
      <c r="W10" s="20">
        <v>50</v>
      </c>
      <c r="X10" t="s">
        <v>417</v>
      </c>
    </row>
    <row r="11" spans="1:25" x14ac:dyDescent="0.25">
      <c r="A11" s="52">
        <v>42766</v>
      </c>
      <c r="B11" s="20">
        <f t="shared" ref="B11:B22" si="3">B12-C11</f>
        <v>1284.6999999999998</v>
      </c>
      <c r="C11" s="20">
        <v>11.6</v>
      </c>
      <c r="D11" s="20">
        <f t="shared" ref="D11:D20" si="4">B11+C11</f>
        <v>1296.2999999999997</v>
      </c>
      <c r="E11" s="12">
        <f>D11/B11-1</f>
        <v>9.0293453724603623E-3</v>
      </c>
      <c r="F11" s="43"/>
      <c r="R11" s="52">
        <v>43182</v>
      </c>
      <c r="S11" s="20">
        <f>3.81+76.19</f>
        <v>80</v>
      </c>
      <c r="T11" t="s">
        <v>423</v>
      </c>
      <c r="V11" s="52">
        <v>43917</v>
      </c>
      <c r="W11" s="20">
        <v>100</v>
      </c>
      <c r="X11" t="s">
        <v>417</v>
      </c>
    </row>
    <row r="12" spans="1:25" x14ac:dyDescent="0.25">
      <c r="A12" s="52">
        <v>42794</v>
      </c>
      <c r="B12" s="20">
        <f t="shared" si="3"/>
        <v>1296.2999999999997</v>
      </c>
      <c r="C12" s="20">
        <v>99.29</v>
      </c>
      <c r="D12" s="20">
        <f t="shared" si="4"/>
        <v>1395.5899999999997</v>
      </c>
      <c r="E12" s="12">
        <f t="shared" ref="E12:E21" si="5">D12/B12-1</f>
        <v>7.6594924014502741E-2</v>
      </c>
      <c r="F12" s="43"/>
      <c r="R12" s="52">
        <v>43476</v>
      </c>
      <c r="S12" s="20">
        <f>14.71+1.29</f>
        <v>16</v>
      </c>
      <c r="T12" t="s">
        <v>423</v>
      </c>
      <c r="V12" s="52">
        <v>43956</v>
      </c>
      <c r="W12" s="20">
        <v>200</v>
      </c>
      <c r="X12" t="s">
        <v>417</v>
      </c>
      <c r="Y12" t="s">
        <v>427</v>
      </c>
    </row>
    <row r="13" spans="1:25" x14ac:dyDescent="0.25">
      <c r="A13" s="52">
        <v>42825</v>
      </c>
      <c r="B13" s="20">
        <f t="shared" si="3"/>
        <v>1395.5899999999997</v>
      </c>
      <c r="C13" s="20">
        <v>31.4</v>
      </c>
      <c r="D13" s="20">
        <f t="shared" si="4"/>
        <v>1426.9899999999998</v>
      </c>
      <c r="E13" s="12">
        <f t="shared" si="5"/>
        <v>2.249944467931142E-2</v>
      </c>
      <c r="F13" s="43"/>
      <c r="R13" s="52">
        <v>43503</v>
      </c>
      <c r="S13" s="20">
        <f>34.65+0.35</f>
        <v>35</v>
      </c>
      <c r="T13" t="s">
        <v>417</v>
      </c>
      <c r="V13" s="52">
        <v>43962</v>
      </c>
      <c r="W13" s="20">
        <v>168</v>
      </c>
      <c r="X13" t="s">
        <v>417</v>
      </c>
      <c r="Y13" t="s">
        <v>426</v>
      </c>
    </row>
    <row r="14" spans="1:25" x14ac:dyDescent="0.25">
      <c r="A14" s="52">
        <v>42855</v>
      </c>
      <c r="B14" s="20">
        <f t="shared" si="3"/>
        <v>1426.9899999999998</v>
      </c>
      <c r="C14" s="20">
        <v>88.82</v>
      </c>
      <c r="D14" s="20">
        <f t="shared" si="4"/>
        <v>1515.8099999999997</v>
      </c>
      <c r="E14" s="12">
        <f t="shared" si="5"/>
        <v>6.2242902893502983E-2</v>
      </c>
      <c r="F14" s="43"/>
      <c r="R14" s="52">
        <v>43524</v>
      </c>
      <c r="S14" s="20">
        <v>100</v>
      </c>
      <c r="T14" t="s">
        <v>417</v>
      </c>
      <c r="V14" s="52">
        <v>43980</v>
      </c>
      <c r="W14" s="20">
        <v>100</v>
      </c>
      <c r="X14" t="s">
        <v>424</v>
      </c>
    </row>
    <row r="15" spans="1:25" x14ac:dyDescent="0.25">
      <c r="A15" s="52">
        <v>42886</v>
      </c>
      <c r="B15" s="20">
        <f t="shared" si="3"/>
        <v>1515.8099999999997</v>
      </c>
      <c r="C15" s="20">
        <v>-18.68</v>
      </c>
      <c r="D15" s="20">
        <f t="shared" si="4"/>
        <v>1497.1299999999997</v>
      </c>
      <c r="E15" s="12">
        <f t="shared" si="5"/>
        <v>-1.2323444231137182E-2</v>
      </c>
      <c r="F15" s="43"/>
      <c r="R15" s="52">
        <v>43524</v>
      </c>
      <c r="S15" s="20">
        <f>3.83+379.17</f>
        <v>383</v>
      </c>
      <c r="T15" t="s">
        <v>417</v>
      </c>
      <c r="V15" s="52">
        <v>44005</v>
      </c>
      <c r="W15" s="20">
        <v>100</v>
      </c>
      <c r="X15" t="s">
        <v>424</v>
      </c>
    </row>
    <row r="16" spans="1:25" x14ac:dyDescent="0.25">
      <c r="A16" s="52">
        <v>42916</v>
      </c>
      <c r="B16" s="20">
        <f t="shared" si="3"/>
        <v>1497.1299999999997</v>
      </c>
      <c r="C16" s="20">
        <v>-18.78</v>
      </c>
      <c r="D16" s="20">
        <f t="shared" si="4"/>
        <v>1478.3499999999997</v>
      </c>
      <c r="E16" s="12">
        <f t="shared" si="5"/>
        <v>-1.2544000854969206E-2</v>
      </c>
      <c r="F16" s="43"/>
      <c r="R16" s="52">
        <v>43792</v>
      </c>
      <c r="S16" s="20">
        <v>100</v>
      </c>
      <c r="T16" t="s">
        <v>420</v>
      </c>
      <c r="V16" s="52">
        <v>44099</v>
      </c>
      <c r="W16" s="20">
        <v>100</v>
      </c>
      <c r="X16" t="s">
        <v>424</v>
      </c>
    </row>
    <row r="17" spans="1:24" x14ac:dyDescent="0.25">
      <c r="A17" s="52">
        <v>42947</v>
      </c>
      <c r="B17" s="20">
        <f t="shared" si="3"/>
        <v>1478.3499999999997</v>
      </c>
      <c r="C17" s="20">
        <v>82.23</v>
      </c>
      <c r="D17" s="20">
        <f t="shared" si="4"/>
        <v>1560.5799999999997</v>
      </c>
      <c r="E17" s="12">
        <f t="shared" si="5"/>
        <v>5.5622822741570044E-2</v>
      </c>
      <c r="F17" s="43"/>
      <c r="R17" s="52">
        <v>43823</v>
      </c>
      <c r="S17" s="20">
        <v>100</v>
      </c>
      <c r="T17" t="s">
        <v>420</v>
      </c>
      <c r="V17" s="52">
        <v>44138</v>
      </c>
      <c r="W17" s="20">
        <v>100</v>
      </c>
      <c r="X17" t="s">
        <v>424</v>
      </c>
    </row>
    <row r="18" spans="1:24" x14ac:dyDescent="0.25">
      <c r="A18" s="52">
        <v>42978</v>
      </c>
      <c r="B18" s="20">
        <f t="shared" si="3"/>
        <v>1560.5799999999997</v>
      </c>
      <c r="C18" s="20">
        <v>-54.05</v>
      </c>
      <c r="D18" s="20">
        <f t="shared" si="4"/>
        <v>1506.5299999999997</v>
      </c>
      <c r="E18" s="12">
        <f t="shared" si="5"/>
        <v>-3.4634558946032845E-2</v>
      </c>
      <c r="F18" s="43"/>
      <c r="Q18" s="20"/>
      <c r="R18" s="52">
        <v>43833</v>
      </c>
      <c r="S18" s="20">
        <v>100</v>
      </c>
      <c r="T18" t="s">
        <v>420</v>
      </c>
      <c r="V18" s="52">
        <v>44154</v>
      </c>
      <c r="W18" s="20">
        <v>100</v>
      </c>
      <c r="X18" t="s">
        <v>424</v>
      </c>
    </row>
    <row r="19" spans="1:24" x14ac:dyDescent="0.25">
      <c r="A19" s="52">
        <v>43008</v>
      </c>
      <c r="B19" s="20">
        <f t="shared" si="3"/>
        <v>1506.5299999999997</v>
      </c>
      <c r="C19" s="20">
        <v>24.99</v>
      </c>
      <c r="D19" s="20">
        <f t="shared" si="4"/>
        <v>1531.5199999999998</v>
      </c>
      <c r="E19" s="12">
        <f t="shared" si="5"/>
        <v>1.6587787830312006E-2</v>
      </c>
      <c r="F19" s="43"/>
      <c r="R19" s="52">
        <v>43867</v>
      </c>
      <c r="S19" s="20">
        <v>100</v>
      </c>
      <c r="T19" t="s">
        <v>420</v>
      </c>
    </row>
    <row r="20" spans="1:24" x14ac:dyDescent="0.25">
      <c r="A20" s="52">
        <v>43039</v>
      </c>
      <c r="B20" s="20">
        <f t="shared" si="3"/>
        <v>1531.5199999999998</v>
      </c>
      <c r="C20" s="20">
        <v>27.44</v>
      </c>
      <c r="D20" s="20">
        <f t="shared" si="4"/>
        <v>1558.9599999999998</v>
      </c>
      <c r="E20" s="12">
        <f t="shared" si="5"/>
        <v>1.7916840785624721E-2</v>
      </c>
      <c r="F20" s="43"/>
      <c r="R20" s="52">
        <v>43897</v>
      </c>
      <c r="S20" s="20">
        <v>100</v>
      </c>
      <c r="T20" t="s">
        <v>420</v>
      </c>
      <c r="W20" s="20"/>
    </row>
    <row r="21" spans="1:24" x14ac:dyDescent="0.25">
      <c r="A21" s="52">
        <v>43069</v>
      </c>
      <c r="B21" s="20">
        <f t="shared" si="3"/>
        <v>1558.9599999999998</v>
      </c>
      <c r="C21" s="20">
        <v>9.44</v>
      </c>
      <c r="D21" s="20">
        <f>B21+C21</f>
        <v>1568.3999999999999</v>
      </c>
      <c r="E21" s="12">
        <f t="shared" si="5"/>
        <v>6.055318930569209E-3</v>
      </c>
      <c r="F21" s="43"/>
      <c r="R21" s="52"/>
      <c r="S21" s="20"/>
    </row>
    <row r="22" spans="1:24" x14ac:dyDescent="0.25">
      <c r="A22" s="52">
        <v>43100</v>
      </c>
      <c r="B22" s="20">
        <f t="shared" si="3"/>
        <v>1568.3999999999999</v>
      </c>
      <c r="C22" s="20">
        <v>36.53</v>
      </c>
      <c r="D22" s="20">
        <f>B22+C22</f>
        <v>1604.9299999999998</v>
      </c>
      <c r="E22" s="12">
        <f>D22/B22-1</f>
        <v>2.3291252231573578E-2</v>
      </c>
      <c r="F22" s="43"/>
      <c r="H22" s="12">
        <f>D22/B11-1</f>
        <v>0.24926441970888158</v>
      </c>
      <c r="I22" t="s">
        <v>399</v>
      </c>
      <c r="K22" s="20"/>
    </row>
    <row r="23" spans="1:24" x14ac:dyDescent="0.25">
      <c r="A23" s="52">
        <v>43131</v>
      </c>
      <c r="B23" s="20">
        <f t="shared" ref="B23:B44" si="6">B24-C23</f>
        <v>1604.9299999999998</v>
      </c>
      <c r="C23" s="20">
        <v>-137.33000000000001</v>
      </c>
      <c r="D23" s="20">
        <f t="shared" ref="D23:D32" si="7">B23+C23</f>
        <v>1467.6</v>
      </c>
      <c r="E23" s="12">
        <f>D23/B23-1</f>
        <v>-8.5567594848373396E-2</v>
      </c>
      <c r="F23" s="43"/>
    </row>
    <row r="24" spans="1:24" x14ac:dyDescent="0.25">
      <c r="A24" s="52">
        <v>43159</v>
      </c>
      <c r="B24" s="20">
        <f t="shared" si="6"/>
        <v>1467.6</v>
      </c>
      <c r="C24" s="20">
        <v>90.65</v>
      </c>
      <c r="D24" s="20">
        <f t="shared" si="7"/>
        <v>1558.25</v>
      </c>
      <c r="E24" s="12">
        <f t="shared" ref="E24:E33" si="8">D24/B24-1</f>
        <v>6.1767511583537882E-2</v>
      </c>
      <c r="F24" s="43"/>
      <c r="R24" t="s">
        <v>4</v>
      </c>
      <c r="S24" s="20">
        <f>SUM(S4:S21)</f>
        <v>3364.4900000000002</v>
      </c>
      <c r="V24" t="s">
        <v>4</v>
      </c>
      <c r="W24" s="20">
        <f>SUM(W4:W20)</f>
        <v>2593.4900000000002</v>
      </c>
    </row>
    <row r="25" spans="1:24" x14ac:dyDescent="0.25">
      <c r="A25" s="52">
        <v>43190</v>
      </c>
      <c r="B25" s="20">
        <f t="shared" si="6"/>
        <v>1558.25</v>
      </c>
      <c r="C25" s="20">
        <v>128.38</v>
      </c>
      <c r="D25" s="20">
        <f t="shared" si="7"/>
        <v>1686.63</v>
      </c>
      <c r="E25" s="12">
        <f t="shared" si="8"/>
        <v>8.2387293438151765E-2</v>
      </c>
      <c r="F25" s="43"/>
      <c r="J25" s="20"/>
      <c r="R25" t="s">
        <v>393</v>
      </c>
      <c r="S25" s="20">
        <f>S24-W24</f>
        <v>771</v>
      </c>
    </row>
    <row r="26" spans="1:24" x14ac:dyDescent="0.25">
      <c r="A26" s="52">
        <v>43220</v>
      </c>
      <c r="B26" s="20">
        <f t="shared" si="6"/>
        <v>1686.6299999999999</v>
      </c>
      <c r="C26" s="20">
        <v>40.25</v>
      </c>
      <c r="D26" s="20">
        <f t="shared" si="7"/>
        <v>1726.8799999999999</v>
      </c>
      <c r="E26" s="12">
        <f t="shared" si="8"/>
        <v>2.3864155149617927E-2</v>
      </c>
      <c r="F26" s="43"/>
      <c r="R26" t="s">
        <v>425</v>
      </c>
      <c r="S26" s="20">
        <v>1573.41</v>
      </c>
      <c r="U26" s="20"/>
    </row>
    <row r="27" spans="1:24" x14ac:dyDescent="0.25">
      <c r="A27" s="52">
        <v>43251</v>
      </c>
      <c r="B27" s="20">
        <f t="shared" si="6"/>
        <v>1726.8799999999999</v>
      </c>
      <c r="C27" s="20">
        <v>3.57</v>
      </c>
      <c r="D27" s="20">
        <f t="shared" si="7"/>
        <v>1730.4499999999998</v>
      </c>
      <c r="E27" s="12">
        <f t="shared" si="8"/>
        <v>2.0673121467618127E-3</v>
      </c>
      <c r="F27" s="43"/>
      <c r="R27" t="s">
        <v>81</v>
      </c>
      <c r="S27" s="20">
        <f>S26-S25</f>
        <v>802.41000000000008</v>
      </c>
      <c r="V27" t="s">
        <v>450</v>
      </c>
      <c r="W27" s="20">
        <f>W8+W9+W14+W15+W16+W17+W18</f>
        <v>650</v>
      </c>
    </row>
    <row r="28" spans="1:24" x14ac:dyDescent="0.25">
      <c r="A28" s="52">
        <v>43281</v>
      </c>
      <c r="B28" s="20">
        <f t="shared" si="6"/>
        <v>1730.4499999999998</v>
      </c>
      <c r="C28" s="20">
        <v>-257.08</v>
      </c>
      <c r="D28" s="20">
        <f t="shared" si="7"/>
        <v>1473.37</v>
      </c>
      <c r="E28" s="12">
        <f t="shared" si="8"/>
        <v>-0.14856251264122045</v>
      </c>
      <c r="F28" s="43"/>
      <c r="R28" t="s">
        <v>418</v>
      </c>
      <c r="S28" s="20">
        <f>S13+S14+S15</f>
        <v>518</v>
      </c>
      <c r="V28" t="s">
        <v>419</v>
      </c>
      <c r="W28" s="20">
        <f>W10+W11+W12+W13</f>
        <v>518</v>
      </c>
    </row>
    <row r="29" spans="1:24" x14ac:dyDescent="0.25">
      <c r="A29" s="52">
        <v>43312</v>
      </c>
      <c r="B29" s="20">
        <f t="shared" si="6"/>
        <v>1473.37</v>
      </c>
      <c r="C29" s="20">
        <v>50.65</v>
      </c>
      <c r="D29" s="20">
        <f t="shared" si="7"/>
        <v>1524.02</v>
      </c>
      <c r="E29" s="12">
        <f t="shared" si="8"/>
        <v>3.4376972518783466E-2</v>
      </c>
      <c r="F29" s="43"/>
    </row>
    <row r="30" spans="1:24" x14ac:dyDescent="0.25">
      <c r="A30" s="52">
        <v>43343</v>
      </c>
      <c r="B30" s="20">
        <f t="shared" si="6"/>
        <v>1524.02</v>
      </c>
      <c r="C30" s="20">
        <v>-355.55</v>
      </c>
      <c r="D30" s="20">
        <f t="shared" si="7"/>
        <v>1168.47</v>
      </c>
      <c r="E30" s="12">
        <f t="shared" si="8"/>
        <v>-0.23329746328788337</v>
      </c>
      <c r="F30" s="43"/>
    </row>
    <row r="31" spans="1:24" x14ac:dyDescent="0.25">
      <c r="A31" s="52">
        <v>43373</v>
      </c>
      <c r="B31" s="20">
        <f t="shared" si="6"/>
        <v>1168.47</v>
      </c>
      <c r="C31" s="20">
        <v>50.58</v>
      </c>
      <c r="D31" s="20">
        <f t="shared" si="7"/>
        <v>1219.05</v>
      </c>
      <c r="E31" s="12">
        <f t="shared" si="8"/>
        <v>4.3287375799121897E-2</v>
      </c>
      <c r="F31" s="43"/>
    </row>
    <row r="32" spans="1:24" x14ac:dyDescent="0.25">
      <c r="A32" s="52">
        <v>43404</v>
      </c>
      <c r="B32" s="20">
        <f t="shared" si="6"/>
        <v>1219.05</v>
      </c>
      <c r="C32" s="20">
        <v>47.51</v>
      </c>
      <c r="D32" s="20">
        <f t="shared" si="7"/>
        <v>1266.56</v>
      </c>
      <c r="E32" s="12">
        <f t="shared" si="8"/>
        <v>3.8972970755916547E-2</v>
      </c>
      <c r="F32" s="43"/>
    </row>
    <row r="33" spans="1:19" x14ac:dyDescent="0.25">
      <c r="A33" s="52">
        <v>43434</v>
      </c>
      <c r="B33" s="20">
        <f t="shared" si="6"/>
        <v>1266.56</v>
      </c>
      <c r="C33" s="20">
        <v>-45.16</v>
      </c>
      <c r="D33" s="20">
        <f>B33+C33</f>
        <v>1221.3999999999999</v>
      </c>
      <c r="E33" s="12">
        <f t="shared" si="8"/>
        <v>-3.5655634158666016E-2</v>
      </c>
      <c r="F33" s="43"/>
    </row>
    <row r="34" spans="1:19" x14ac:dyDescent="0.25">
      <c r="A34" s="52">
        <v>43465</v>
      </c>
      <c r="B34" s="20">
        <f t="shared" si="6"/>
        <v>1221.3999999999999</v>
      </c>
      <c r="C34" s="20">
        <v>60.82</v>
      </c>
      <c r="D34" s="20">
        <f>B34+C34</f>
        <v>1282.2199999999998</v>
      </c>
      <c r="E34" s="12">
        <f>D34/B34-1</f>
        <v>4.979531684951688E-2</v>
      </c>
      <c r="F34" s="43"/>
      <c r="H34" s="12">
        <f>D34/B23-1</f>
        <v>-0.20107419015159544</v>
      </c>
      <c r="I34" t="s">
        <v>400</v>
      </c>
    </row>
    <row r="35" spans="1:19" x14ac:dyDescent="0.25">
      <c r="A35" s="52">
        <v>43496</v>
      </c>
      <c r="B35" s="20">
        <f t="shared" si="6"/>
        <v>1282.2199999999998</v>
      </c>
      <c r="C35" s="20">
        <v>-284.69</v>
      </c>
      <c r="D35" s="20">
        <f t="shared" ref="D35:D44" si="9">B35+C35</f>
        <v>997.52999999999975</v>
      </c>
      <c r="E35" s="12">
        <f>D35/B35-1</f>
        <v>-0.22202898098610235</v>
      </c>
      <c r="F35" s="43"/>
      <c r="N35" s="15" t="s">
        <v>454</v>
      </c>
      <c r="O35" s="15"/>
      <c r="P35" s="15" t="s">
        <v>392</v>
      </c>
      <c r="R35" t="s">
        <v>455</v>
      </c>
    </row>
    <row r="36" spans="1:19" x14ac:dyDescent="0.25">
      <c r="A36" s="52">
        <v>43524</v>
      </c>
      <c r="B36" s="20">
        <f t="shared" si="6"/>
        <v>997.52999999999975</v>
      </c>
      <c r="C36" s="20">
        <v>23.5</v>
      </c>
      <c r="D36" s="20">
        <f t="shared" si="9"/>
        <v>1021.0299999999997</v>
      </c>
      <c r="E36" s="12">
        <f t="shared" ref="E36:E45" si="10">D36/B36-1</f>
        <v>2.3558188726153562E-2</v>
      </c>
      <c r="F36" s="43"/>
      <c r="N36" s="90"/>
      <c r="O36" s="20"/>
      <c r="P36" s="20"/>
      <c r="Q36" s="20"/>
      <c r="R36" s="12"/>
    </row>
    <row r="37" spans="1:19" x14ac:dyDescent="0.25">
      <c r="A37" s="52">
        <v>43555</v>
      </c>
      <c r="B37" s="20">
        <f t="shared" si="6"/>
        <v>1021.0299999999997</v>
      </c>
      <c r="C37" s="20">
        <v>35.950000000000003</v>
      </c>
      <c r="D37" s="20">
        <f t="shared" si="9"/>
        <v>1056.9799999999998</v>
      </c>
      <c r="E37" s="12">
        <f t="shared" si="10"/>
        <v>3.5209543304310476E-2</v>
      </c>
      <c r="F37" s="43"/>
      <c r="N37" s="90"/>
      <c r="O37" s="20"/>
      <c r="P37" s="20"/>
      <c r="Q37" s="20"/>
      <c r="R37" s="12"/>
    </row>
    <row r="38" spans="1:19" x14ac:dyDescent="0.25">
      <c r="A38" s="52">
        <v>43585</v>
      </c>
      <c r="B38" s="20">
        <f t="shared" si="6"/>
        <v>1056.9799999999998</v>
      </c>
      <c r="C38" s="20">
        <v>42.65</v>
      </c>
      <c r="D38" s="20">
        <f t="shared" si="9"/>
        <v>1099.6299999999999</v>
      </c>
      <c r="E38" s="12">
        <f t="shared" si="10"/>
        <v>4.0350810800582781E-2</v>
      </c>
      <c r="F38" s="43"/>
      <c r="N38" s="90"/>
      <c r="O38" s="20"/>
      <c r="P38" s="20"/>
      <c r="Q38" s="20"/>
      <c r="R38" s="12"/>
    </row>
    <row r="39" spans="1:19" x14ac:dyDescent="0.25">
      <c r="A39" s="52">
        <v>43616</v>
      </c>
      <c r="B39" s="20">
        <f t="shared" si="6"/>
        <v>1099.6299999999999</v>
      </c>
      <c r="C39" s="20">
        <v>4.6399999999999997</v>
      </c>
      <c r="D39" s="20">
        <f t="shared" si="9"/>
        <v>1104.27</v>
      </c>
      <c r="E39" s="12">
        <f t="shared" si="10"/>
        <v>4.219601138564899E-3</v>
      </c>
      <c r="F39" s="43"/>
      <c r="N39" s="90"/>
      <c r="O39" s="20"/>
      <c r="P39" s="20"/>
      <c r="Q39" s="20"/>
      <c r="R39" s="12"/>
    </row>
    <row r="40" spans="1:19" x14ac:dyDescent="0.25">
      <c r="A40" s="52">
        <v>43646</v>
      </c>
      <c r="B40" s="20">
        <f t="shared" si="6"/>
        <v>1104.27</v>
      </c>
      <c r="C40" s="20">
        <v>55.21</v>
      </c>
      <c r="D40" s="20">
        <f t="shared" si="9"/>
        <v>1159.48</v>
      </c>
      <c r="E40" s="12">
        <f t="shared" si="10"/>
        <v>4.9996830485298016E-2</v>
      </c>
      <c r="F40" s="43"/>
      <c r="N40" s="90"/>
      <c r="O40" s="20"/>
      <c r="P40" s="20"/>
      <c r="Q40" s="20"/>
      <c r="R40" s="12"/>
    </row>
    <row r="41" spans="1:19" x14ac:dyDescent="0.25">
      <c r="A41" s="52">
        <v>43677</v>
      </c>
      <c r="B41" s="20">
        <f>B42-C41</f>
        <v>1159.48</v>
      </c>
      <c r="C41" s="20">
        <v>13.13</v>
      </c>
      <c r="D41" s="20">
        <f t="shared" si="9"/>
        <v>1172.6100000000001</v>
      </c>
      <c r="E41" s="12">
        <f t="shared" si="10"/>
        <v>1.1324041811846763E-2</v>
      </c>
      <c r="F41" s="43"/>
      <c r="N41" s="90"/>
      <c r="O41" s="20"/>
      <c r="P41" s="20"/>
      <c r="Q41" s="20"/>
      <c r="R41" s="12"/>
    </row>
    <row r="42" spans="1:19" x14ac:dyDescent="0.25">
      <c r="A42" s="52">
        <v>43708</v>
      </c>
      <c r="B42" s="20">
        <f t="shared" si="6"/>
        <v>1172.6100000000001</v>
      </c>
      <c r="C42" s="20">
        <v>5.81</v>
      </c>
      <c r="D42" s="20">
        <f t="shared" si="9"/>
        <v>1178.42</v>
      </c>
      <c r="E42" s="12">
        <f t="shared" si="10"/>
        <v>4.9547590417955423E-3</v>
      </c>
      <c r="F42" s="43"/>
      <c r="N42" s="90"/>
      <c r="O42" s="20"/>
      <c r="P42" s="20"/>
      <c r="Q42" s="20"/>
      <c r="R42" s="12"/>
    </row>
    <row r="43" spans="1:19" x14ac:dyDescent="0.25">
      <c r="A43" s="52">
        <v>43738</v>
      </c>
      <c r="B43" s="20">
        <f t="shared" si="6"/>
        <v>1178.42</v>
      </c>
      <c r="C43" s="20">
        <v>47.42</v>
      </c>
      <c r="D43" s="20">
        <f t="shared" si="9"/>
        <v>1225.8400000000001</v>
      </c>
      <c r="E43" s="12">
        <f t="shared" si="10"/>
        <v>4.024032178679926E-2</v>
      </c>
      <c r="F43" s="43"/>
      <c r="N43" s="90"/>
      <c r="O43" s="20"/>
      <c r="P43" s="20"/>
      <c r="Q43" s="20"/>
      <c r="R43" s="12"/>
    </row>
    <row r="44" spans="1:19" x14ac:dyDescent="0.25">
      <c r="A44" s="52">
        <v>43769</v>
      </c>
      <c r="B44" s="20">
        <f t="shared" si="6"/>
        <v>1225.8400000000001</v>
      </c>
      <c r="C44" s="20">
        <v>33.81</v>
      </c>
      <c r="D44" s="20">
        <f t="shared" si="9"/>
        <v>1259.6500000000001</v>
      </c>
      <c r="E44" s="12">
        <f t="shared" si="10"/>
        <v>2.7581087254453962E-2</v>
      </c>
      <c r="F44" s="43"/>
      <c r="N44" s="90"/>
      <c r="O44" s="20"/>
      <c r="P44" s="20"/>
      <c r="Q44" s="20"/>
      <c r="R44" s="12"/>
    </row>
    <row r="45" spans="1:19" x14ac:dyDescent="0.25">
      <c r="A45" s="52">
        <v>43799</v>
      </c>
      <c r="B45" s="20">
        <f>B46-C45</f>
        <v>1259.6500000000001</v>
      </c>
      <c r="C45" s="20">
        <v>32.549999999999997</v>
      </c>
      <c r="D45" s="20">
        <f>B45+C45</f>
        <v>1292.2</v>
      </c>
      <c r="E45" s="12">
        <f t="shared" si="10"/>
        <v>2.584051125312592E-2</v>
      </c>
      <c r="F45" s="43"/>
      <c r="N45" s="90"/>
      <c r="O45" s="20"/>
      <c r="P45" s="20"/>
      <c r="Q45" s="20"/>
      <c r="R45" s="12"/>
    </row>
    <row r="46" spans="1:19" x14ac:dyDescent="0.25">
      <c r="A46" s="52">
        <v>43830</v>
      </c>
      <c r="B46" s="20">
        <f>1342.57-C46</f>
        <v>1292.2</v>
      </c>
      <c r="C46" s="20">
        <v>50.37</v>
      </c>
      <c r="D46" s="20">
        <f>B46+C46</f>
        <v>1342.57</v>
      </c>
      <c r="E46" s="12">
        <f>D46/B46-1</f>
        <v>3.8980034050456469E-2</v>
      </c>
      <c r="F46" s="43"/>
      <c r="H46" s="12">
        <f>D46/B35-1</f>
        <v>4.7066806008329465E-2</v>
      </c>
      <c r="I46" t="s">
        <v>401</v>
      </c>
      <c r="N46" s="90"/>
      <c r="O46" s="20"/>
      <c r="P46" s="20"/>
      <c r="Q46" s="20"/>
      <c r="R46" s="12"/>
      <c r="S46" s="12"/>
    </row>
    <row r="47" spans="1:19" x14ac:dyDescent="0.25">
      <c r="A47" s="52">
        <v>43861</v>
      </c>
      <c r="B47" s="20">
        <f>D46</f>
        <v>1342.57</v>
      </c>
      <c r="C47" s="20">
        <v>33.78</v>
      </c>
      <c r="D47" s="20">
        <f>B47+C47</f>
        <v>1376.35</v>
      </c>
      <c r="E47" s="12">
        <f>D47/B47-1</f>
        <v>2.5160699255904806E-2</v>
      </c>
      <c r="F47" s="43"/>
      <c r="N47" s="90"/>
      <c r="O47" s="20"/>
      <c r="P47" s="20"/>
      <c r="Q47" s="20"/>
      <c r="R47" s="12"/>
    </row>
    <row r="48" spans="1:19" x14ac:dyDescent="0.25">
      <c r="A48" s="52">
        <v>43889</v>
      </c>
      <c r="B48" s="20">
        <f>D47</f>
        <v>1376.35</v>
      </c>
      <c r="C48" s="20">
        <v>33.36</v>
      </c>
      <c r="D48" s="20">
        <f t="shared" ref="D48:D49" si="11">B48+C48</f>
        <v>1409.7099999999998</v>
      </c>
      <c r="E48" s="12">
        <f t="shared" ref="E48" si="12">D48/B48-1</f>
        <v>2.4238020852254127E-2</v>
      </c>
      <c r="F48" s="43"/>
      <c r="N48" s="90"/>
      <c r="O48" s="20"/>
      <c r="P48" s="20"/>
      <c r="Q48" s="20"/>
      <c r="R48" s="12"/>
    </row>
    <row r="49" spans="1:20" x14ac:dyDescent="0.25">
      <c r="A49" s="52">
        <v>43921</v>
      </c>
      <c r="B49" s="20">
        <f>D48</f>
        <v>1409.7099999999998</v>
      </c>
      <c r="C49" s="20">
        <v>100.87</v>
      </c>
      <c r="D49" s="20">
        <f t="shared" si="11"/>
        <v>1510.58</v>
      </c>
      <c r="E49" s="12">
        <f>D49/B49-1</f>
        <v>7.1553723815536596E-2</v>
      </c>
      <c r="F49" s="43"/>
      <c r="N49" s="90"/>
      <c r="O49" s="20"/>
      <c r="P49" s="20"/>
      <c r="Q49" s="20"/>
      <c r="R49" s="12"/>
    </row>
    <row r="50" spans="1:20" x14ac:dyDescent="0.25">
      <c r="A50" s="52">
        <v>43951</v>
      </c>
      <c r="B50" s="20">
        <f t="shared" ref="B50:B57" si="13">D49</f>
        <v>1510.58</v>
      </c>
      <c r="C50" s="20">
        <v>35.08</v>
      </c>
      <c r="D50" s="20">
        <f t="shared" ref="D50:D57" si="14">B50+C50</f>
        <v>1545.6599999999999</v>
      </c>
      <c r="E50" s="12">
        <f t="shared" ref="E50:E57" si="15">D50/B50-1</f>
        <v>2.3222868037442446E-2</v>
      </c>
      <c r="F50" s="43"/>
      <c r="N50" s="90"/>
      <c r="O50" s="20"/>
      <c r="P50" s="20"/>
      <c r="Q50" s="20"/>
      <c r="R50" s="12"/>
    </row>
    <row r="51" spans="1:20" x14ac:dyDescent="0.25">
      <c r="A51" s="52">
        <v>43982</v>
      </c>
      <c r="B51" s="20">
        <f t="shared" si="13"/>
        <v>1545.6599999999999</v>
      </c>
      <c r="C51" s="20">
        <v>52.39</v>
      </c>
      <c r="D51" s="20">
        <f t="shared" si="14"/>
        <v>1598.05</v>
      </c>
      <c r="E51" s="12">
        <f t="shared" si="15"/>
        <v>3.3894905736061132E-2</v>
      </c>
      <c r="F51" s="43"/>
      <c r="H51" s="12"/>
      <c r="N51" s="90"/>
      <c r="O51" s="20"/>
      <c r="P51" s="20"/>
      <c r="Q51" s="20"/>
      <c r="R51" s="12"/>
      <c r="T51" s="12"/>
    </row>
    <row r="52" spans="1:20" x14ac:dyDescent="0.25">
      <c r="A52" s="52">
        <v>44012</v>
      </c>
      <c r="B52" s="20">
        <f t="shared" si="13"/>
        <v>1598.05</v>
      </c>
      <c r="C52" s="20">
        <v>89.39</v>
      </c>
      <c r="D52" s="20">
        <f t="shared" si="14"/>
        <v>1687.44</v>
      </c>
      <c r="E52" s="12">
        <f t="shared" si="15"/>
        <v>5.5936923125058824E-2</v>
      </c>
      <c r="F52" s="43"/>
      <c r="H52" s="12"/>
      <c r="N52" s="90"/>
      <c r="O52" s="20"/>
      <c r="P52" s="20"/>
      <c r="Q52" s="20"/>
      <c r="R52" s="12"/>
      <c r="S52" s="12"/>
    </row>
    <row r="53" spans="1:20" x14ac:dyDescent="0.25">
      <c r="A53" s="52">
        <v>44043</v>
      </c>
      <c r="B53" s="20">
        <f t="shared" si="13"/>
        <v>1687.44</v>
      </c>
      <c r="C53" s="20">
        <v>101.19</v>
      </c>
      <c r="D53" s="20">
        <f t="shared" si="14"/>
        <v>1788.63</v>
      </c>
      <c r="E53" s="12">
        <f t="shared" si="15"/>
        <v>5.9966576589389975E-2</v>
      </c>
      <c r="F53" s="43"/>
      <c r="N53" s="90"/>
      <c r="O53" s="20"/>
      <c r="P53" s="20"/>
      <c r="Q53" s="20"/>
      <c r="R53" s="12"/>
    </row>
    <row r="54" spans="1:20" x14ac:dyDescent="0.25">
      <c r="A54" s="52">
        <v>44074</v>
      </c>
      <c r="B54" s="20">
        <f t="shared" si="13"/>
        <v>1788.63</v>
      </c>
      <c r="C54" s="20">
        <v>109.67</v>
      </c>
      <c r="D54" s="20">
        <f t="shared" si="14"/>
        <v>1898.3000000000002</v>
      </c>
      <c r="E54" s="12">
        <f t="shared" si="15"/>
        <v>6.1315084729653524E-2</v>
      </c>
      <c r="F54" s="43"/>
      <c r="H54" s="12"/>
    </row>
    <row r="55" spans="1:20" x14ac:dyDescent="0.25">
      <c r="A55" s="52">
        <v>44104</v>
      </c>
      <c r="B55" s="20">
        <f t="shared" si="13"/>
        <v>1898.3000000000002</v>
      </c>
      <c r="C55" s="20">
        <v>84.78</v>
      </c>
      <c r="D55" s="20">
        <f t="shared" si="14"/>
        <v>1983.0800000000002</v>
      </c>
      <c r="E55" s="12">
        <f t="shared" si="15"/>
        <v>4.4661012484854767E-2</v>
      </c>
      <c r="F55" s="43"/>
      <c r="O55" s="146"/>
      <c r="P55" s="146"/>
      <c r="Q55" s="146"/>
      <c r="R55" s="15"/>
      <c r="S55" s="12"/>
    </row>
    <row r="56" spans="1:20" x14ac:dyDescent="0.25">
      <c r="A56" s="52">
        <v>44135</v>
      </c>
      <c r="B56" s="20">
        <f t="shared" si="13"/>
        <v>1983.0800000000002</v>
      </c>
      <c r="C56" s="20">
        <v>48.67</v>
      </c>
      <c r="D56" s="20">
        <f t="shared" si="14"/>
        <v>2031.7500000000002</v>
      </c>
      <c r="E56" s="12">
        <f t="shared" si="15"/>
        <v>2.4542630655344233E-2</v>
      </c>
      <c r="F56" s="43"/>
      <c r="H56" s="12"/>
    </row>
    <row r="57" spans="1:20" x14ac:dyDescent="0.25">
      <c r="A57" s="52">
        <v>44165</v>
      </c>
      <c r="B57" s="20">
        <f t="shared" si="13"/>
        <v>2031.7500000000002</v>
      </c>
      <c r="C57" s="20">
        <v>142.13</v>
      </c>
      <c r="D57" s="20">
        <f t="shared" si="14"/>
        <v>2173.88</v>
      </c>
      <c r="E57" s="12">
        <f t="shared" si="15"/>
        <v>6.9954472745170415E-2</v>
      </c>
      <c r="F57" s="43"/>
      <c r="H57" s="12"/>
    </row>
    <row r="58" spans="1:20" x14ac:dyDescent="0.25">
      <c r="A58" s="52">
        <v>44195</v>
      </c>
      <c r="B58" s="20">
        <f t="shared" ref="B58" si="16">D57</f>
        <v>2173.88</v>
      </c>
      <c r="C58" s="20">
        <v>112.69</v>
      </c>
      <c r="D58" s="20">
        <f t="shared" ref="D58" si="17">B58+C58</f>
        <v>2286.5700000000002</v>
      </c>
      <c r="E58" s="12">
        <f t="shared" ref="E58" si="18">D58/B58-1</f>
        <v>5.1838187940456804E-2</v>
      </c>
      <c r="F58" s="43"/>
      <c r="G58" s="12"/>
      <c r="H58" s="12">
        <f>D58/$B$47-1</f>
        <v>0.70312907334440689</v>
      </c>
      <c r="I58" t="s">
        <v>526</v>
      </c>
    </row>
    <row r="59" spans="1:20" x14ac:dyDescent="0.25">
      <c r="A59" s="52">
        <v>44227</v>
      </c>
      <c r="B59" s="20">
        <f t="shared" ref="B59" si="19">D58</f>
        <v>2286.5700000000002</v>
      </c>
      <c r="C59" s="20">
        <v>98.31</v>
      </c>
      <c r="D59" s="20">
        <f t="shared" ref="D59" si="20">B59+C59</f>
        <v>2384.88</v>
      </c>
      <c r="E59" s="12">
        <f>D59/B59-1</f>
        <v>4.2994528923234299E-2</v>
      </c>
      <c r="F59" s="43">
        <f>1077.31+98.31</f>
        <v>1175.6199999999999</v>
      </c>
      <c r="G59" s="12">
        <f>C59/F59</f>
        <v>8.3623960123169055E-2</v>
      </c>
      <c r="H59" s="12"/>
    </row>
    <row r="60" spans="1:20" x14ac:dyDescent="0.25">
      <c r="A60" s="52">
        <v>44255</v>
      </c>
      <c r="B60" s="20">
        <f t="shared" ref="B60" si="21">D59</f>
        <v>2384.88</v>
      </c>
      <c r="C60" s="20">
        <v>50.1</v>
      </c>
      <c r="D60" s="20">
        <f t="shared" ref="D60" si="22">B60+C60</f>
        <v>2434.98</v>
      </c>
      <c r="E60" s="12">
        <f>D60/B60-1</f>
        <v>2.1007346281573858E-2</v>
      </c>
      <c r="F60" s="43"/>
      <c r="H60" s="12"/>
    </row>
    <row r="61" spans="1:20" x14ac:dyDescent="0.25">
      <c r="A61" s="52"/>
      <c r="B61" s="20"/>
      <c r="C61" s="20"/>
      <c r="D61" s="20"/>
      <c r="E61" s="12"/>
      <c r="F61" s="43"/>
      <c r="H61" s="12"/>
    </row>
    <row r="62" spans="1:20" x14ac:dyDescent="0.25">
      <c r="A62" s="52"/>
      <c r="B62" s="20"/>
      <c r="C62" s="20"/>
      <c r="D62" s="20"/>
      <c r="E62" s="12"/>
      <c r="F62" s="43"/>
      <c r="H62" s="12"/>
    </row>
    <row r="63" spans="1:20" x14ac:dyDescent="0.25">
      <c r="A63" s="52"/>
      <c r="B63" s="20"/>
      <c r="C63" s="20"/>
      <c r="D63" s="20"/>
      <c r="E63" s="12"/>
      <c r="F63" s="43"/>
      <c r="H63" s="12"/>
    </row>
    <row r="64" spans="1:20" x14ac:dyDescent="0.25">
      <c r="A64" s="52"/>
      <c r="B64" s="20"/>
      <c r="C64" s="20"/>
      <c r="D64" s="20"/>
      <c r="E64" s="12"/>
      <c r="F64" s="43"/>
      <c r="H64" s="12"/>
    </row>
    <row r="65" spans="1:8" x14ac:dyDescent="0.25">
      <c r="A65" s="52"/>
      <c r="B65" s="20"/>
      <c r="C65" s="20"/>
      <c r="D65" s="20"/>
      <c r="E65" s="12"/>
      <c r="F65" s="43"/>
      <c r="G65" s="12"/>
      <c r="H65" s="12"/>
    </row>
    <row r="66" spans="1:8" x14ac:dyDescent="0.25">
      <c r="A66" s="52"/>
      <c r="B66" s="20"/>
      <c r="C66" s="20"/>
      <c r="D66" s="20"/>
      <c r="E66" s="12"/>
      <c r="F66" s="43"/>
      <c r="H66" s="12"/>
    </row>
    <row r="67" spans="1:8" x14ac:dyDescent="0.25">
      <c r="A67" s="52"/>
      <c r="B67" s="20"/>
      <c r="C67" s="20"/>
      <c r="D67" s="20"/>
      <c r="E67" s="12"/>
      <c r="F67" s="43"/>
      <c r="H67" s="12"/>
    </row>
    <row r="68" spans="1:8" x14ac:dyDescent="0.25">
      <c r="A68" s="52"/>
      <c r="B68" s="20"/>
      <c r="C68" s="20"/>
      <c r="D68" s="20"/>
      <c r="E68" s="12"/>
      <c r="F68" s="43"/>
      <c r="H68" s="12"/>
    </row>
    <row r="69" spans="1:8" x14ac:dyDescent="0.25">
      <c r="A69" s="52"/>
      <c r="B69" s="20"/>
      <c r="C69" s="20"/>
      <c r="D69" s="20"/>
      <c r="E69" s="12"/>
      <c r="F69" s="43"/>
      <c r="H69" s="12"/>
    </row>
    <row r="70" spans="1:8" x14ac:dyDescent="0.25">
      <c r="A70" s="52"/>
      <c r="B70" s="20"/>
      <c r="C70" s="20"/>
      <c r="D70" s="20"/>
      <c r="E70" s="12"/>
      <c r="F70" s="43"/>
      <c r="H70" s="12"/>
    </row>
    <row r="71" spans="1:8" x14ac:dyDescent="0.25">
      <c r="A71" s="52"/>
      <c r="B71" s="20"/>
      <c r="C71" s="20"/>
      <c r="D71" s="20"/>
      <c r="E71" s="12"/>
      <c r="F71" s="43"/>
      <c r="H71" s="12"/>
    </row>
    <row r="72" spans="1:8" x14ac:dyDescent="0.25">
      <c r="A72" s="52"/>
      <c r="B72" s="20"/>
      <c r="C72" s="20"/>
      <c r="D72" s="20"/>
      <c r="E72" s="12"/>
      <c r="F72" s="43"/>
      <c r="H72" s="12"/>
    </row>
    <row r="75" spans="1:8" x14ac:dyDescent="0.25">
      <c r="A75" s="95" t="s">
        <v>515</v>
      </c>
      <c r="B75" s="95"/>
      <c r="C75" s="95"/>
      <c r="D75" s="95"/>
      <c r="E75" s="95"/>
      <c r="F75" s="157"/>
    </row>
    <row r="76" spans="1:8" x14ac:dyDescent="0.25">
      <c r="A76" s="152" t="s">
        <v>511</v>
      </c>
      <c r="B76" s="152" t="s">
        <v>394</v>
      </c>
      <c r="C76" s="152" t="s">
        <v>392</v>
      </c>
      <c r="D76" s="152" t="s">
        <v>395</v>
      </c>
      <c r="E76" s="152" t="s">
        <v>362</v>
      </c>
      <c r="F76" s="158"/>
    </row>
    <row r="77" spans="1:8" x14ac:dyDescent="0.25">
      <c r="A77" s="151">
        <v>43889</v>
      </c>
      <c r="B77" s="20">
        <v>997.52999999999975</v>
      </c>
      <c r="C77" s="20">
        <v>23.5</v>
      </c>
      <c r="D77" s="20">
        <v>1021.0299999999997</v>
      </c>
      <c r="E77" s="12">
        <v>2.3558188726153562E-2</v>
      </c>
      <c r="F77" s="43"/>
    </row>
    <row r="78" spans="1:8" x14ac:dyDescent="0.25">
      <c r="A78" s="151">
        <v>43921</v>
      </c>
      <c r="B78" s="20">
        <v>1021.0299999999997</v>
      </c>
      <c r="C78" s="20">
        <v>35.950000000000003</v>
      </c>
      <c r="D78" s="20">
        <v>1056.9799999999998</v>
      </c>
      <c r="E78" s="12">
        <v>3.5209543304310476E-2</v>
      </c>
      <c r="F78" s="43"/>
    </row>
    <row r="79" spans="1:8" x14ac:dyDescent="0.25">
      <c r="A79" s="151">
        <v>43951</v>
      </c>
      <c r="B79" s="20">
        <v>1056.9799999999998</v>
      </c>
      <c r="C79" s="20">
        <v>42.65</v>
      </c>
      <c r="D79" s="20">
        <v>1099.6299999999999</v>
      </c>
      <c r="E79" s="12">
        <v>4.0350810800582781E-2</v>
      </c>
      <c r="F79" s="43"/>
    </row>
    <row r="80" spans="1:8" x14ac:dyDescent="0.25">
      <c r="A80" s="151">
        <v>43982</v>
      </c>
      <c r="B80" s="20">
        <v>1099.6299999999999</v>
      </c>
      <c r="C80" s="20">
        <v>4.6399999999999997</v>
      </c>
      <c r="D80" s="20">
        <v>1104.27</v>
      </c>
      <c r="E80" s="12">
        <v>4.219601138564899E-3</v>
      </c>
      <c r="F80" s="43"/>
    </row>
    <row r="81" spans="1:9" x14ac:dyDescent="0.25">
      <c r="A81" s="151">
        <v>44012</v>
      </c>
      <c r="B81" s="20">
        <v>1104.27</v>
      </c>
      <c r="C81" s="20">
        <v>55.21</v>
      </c>
      <c r="D81" s="20">
        <v>1159.48</v>
      </c>
      <c r="E81" s="12">
        <v>4.9996830485298016E-2</v>
      </c>
      <c r="F81" s="43"/>
    </row>
    <row r="82" spans="1:9" x14ac:dyDescent="0.25">
      <c r="A82" s="151">
        <v>44043</v>
      </c>
      <c r="B82" s="20">
        <v>1159.48</v>
      </c>
      <c r="C82" s="20">
        <v>13.13</v>
      </c>
      <c r="D82" s="20">
        <v>1172.6100000000001</v>
      </c>
      <c r="E82" s="12">
        <v>1.1324041811846763E-2</v>
      </c>
      <c r="F82" s="43"/>
    </row>
    <row r="83" spans="1:9" x14ac:dyDescent="0.25">
      <c r="A83" s="151">
        <v>44074</v>
      </c>
      <c r="B83" s="20">
        <v>1172.6100000000001</v>
      </c>
      <c r="C83" s="20">
        <v>5.81</v>
      </c>
      <c r="D83" s="20">
        <v>1178.42</v>
      </c>
      <c r="E83" s="12">
        <v>4.9547590417955423E-3</v>
      </c>
      <c r="F83" s="43"/>
    </row>
    <row r="84" spans="1:9" x14ac:dyDescent="0.25">
      <c r="A84" s="151">
        <v>44104</v>
      </c>
      <c r="B84" s="20">
        <v>1178.42</v>
      </c>
      <c r="C84" s="20">
        <v>47.42</v>
      </c>
      <c r="D84" s="20">
        <v>1225.8400000000001</v>
      </c>
      <c r="E84" s="12">
        <v>4.024032178679926E-2</v>
      </c>
      <c r="F84" s="43"/>
    </row>
    <row r="85" spans="1:9" x14ac:dyDescent="0.25">
      <c r="A85" s="151">
        <v>44135</v>
      </c>
      <c r="B85" s="20">
        <v>1225.8400000000001</v>
      </c>
      <c r="C85" s="20">
        <v>33.81</v>
      </c>
      <c r="D85" s="20">
        <v>1259.6500000000001</v>
      </c>
      <c r="E85" s="12">
        <v>2.7581087254453962E-2</v>
      </c>
      <c r="F85" s="43"/>
    </row>
    <row r="86" spans="1:9" x14ac:dyDescent="0.25">
      <c r="A86" s="151">
        <v>44165</v>
      </c>
      <c r="B86" s="20">
        <v>1259.6500000000001</v>
      </c>
      <c r="C86" s="20">
        <v>32.549999999999997</v>
      </c>
      <c r="D86" s="20">
        <v>1292.2</v>
      </c>
      <c r="E86" s="12">
        <v>2.584051125312592E-2</v>
      </c>
      <c r="F86" s="43"/>
    </row>
    <row r="87" spans="1:9" x14ac:dyDescent="0.25">
      <c r="A87" s="15" t="s">
        <v>513</v>
      </c>
      <c r="B87" s="20">
        <v>1292.2</v>
      </c>
      <c r="C87" s="20">
        <v>50.37</v>
      </c>
      <c r="D87" s="20">
        <v>1342.57</v>
      </c>
      <c r="E87" s="12">
        <v>3.8980034050456469E-2</v>
      </c>
      <c r="F87" s="43"/>
    </row>
    <row r="88" spans="1:9" x14ac:dyDescent="0.25">
      <c r="A88" s="92"/>
      <c r="B88" s="92"/>
      <c r="C88" s="92"/>
      <c r="D88" s="91" t="s">
        <v>512</v>
      </c>
      <c r="E88" s="153">
        <f>D87/B77-1</f>
        <v>0.34589435906689547</v>
      </c>
      <c r="F88" s="159"/>
    </row>
    <row r="91" spans="1:9" x14ac:dyDescent="0.25">
      <c r="A91" s="95" t="s">
        <v>514</v>
      </c>
      <c r="B91" s="95"/>
      <c r="C91" s="95"/>
      <c r="D91" s="95"/>
      <c r="E91" s="95"/>
      <c r="F91" s="157"/>
    </row>
    <row r="92" spans="1:9" x14ac:dyDescent="0.25">
      <c r="A92" s="152" t="s">
        <v>511</v>
      </c>
      <c r="B92" s="152" t="s">
        <v>394</v>
      </c>
      <c r="C92" s="152" t="s">
        <v>392</v>
      </c>
      <c r="D92" s="152" t="s">
        <v>395</v>
      </c>
      <c r="E92" s="152" t="s">
        <v>362</v>
      </c>
      <c r="F92" s="158"/>
      <c r="H92" s="152"/>
      <c r="I92" s="152"/>
    </row>
    <row r="93" spans="1:9" x14ac:dyDescent="0.25">
      <c r="A93" s="151">
        <v>43861</v>
      </c>
      <c r="B93" s="20">
        <v>1342.57</v>
      </c>
      <c r="C93" s="20">
        <v>33.78</v>
      </c>
      <c r="D93" s="20">
        <v>1376.35</v>
      </c>
      <c r="E93" s="12">
        <v>2.5160699255904806E-2</v>
      </c>
      <c r="F93" s="43"/>
    </row>
    <row r="94" spans="1:9" x14ac:dyDescent="0.25">
      <c r="A94" s="151">
        <v>43889</v>
      </c>
      <c r="B94" s="20">
        <v>1376.35</v>
      </c>
      <c r="C94" s="20">
        <v>33.36</v>
      </c>
      <c r="D94" s="20">
        <v>1409.7099999999998</v>
      </c>
      <c r="E94" s="12">
        <v>2.4238020852254127E-2</v>
      </c>
      <c r="F94" s="43"/>
    </row>
    <row r="95" spans="1:9" x14ac:dyDescent="0.25">
      <c r="A95" s="151">
        <v>43921</v>
      </c>
      <c r="B95" s="20">
        <v>1409.7099999999998</v>
      </c>
      <c r="C95" s="20">
        <v>100.87</v>
      </c>
      <c r="D95" s="20">
        <v>1510.58</v>
      </c>
      <c r="E95" s="12">
        <v>7.1553723815536596E-2</v>
      </c>
      <c r="F95" s="43"/>
    </row>
    <row r="96" spans="1:9" x14ac:dyDescent="0.25">
      <c r="A96" s="151">
        <v>43951</v>
      </c>
      <c r="B96" s="20">
        <v>1510.58</v>
      </c>
      <c r="C96" s="20">
        <v>35.08</v>
      </c>
      <c r="D96" s="20">
        <v>1545.6599999999999</v>
      </c>
      <c r="E96" s="12">
        <v>2.3222868037442446E-2</v>
      </c>
      <c r="F96" s="43"/>
    </row>
    <row r="97" spans="1:8" x14ac:dyDescent="0.25">
      <c r="A97" s="151">
        <v>43982</v>
      </c>
      <c r="B97" s="20">
        <v>1545.6599999999999</v>
      </c>
      <c r="C97" s="20">
        <v>52.39</v>
      </c>
      <c r="D97" s="20">
        <v>1598.05</v>
      </c>
      <c r="E97" s="12">
        <v>3.3894905736061132E-2</v>
      </c>
      <c r="F97" s="43"/>
    </row>
    <row r="98" spans="1:8" x14ac:dyDescent="0.25">
      <c r="A98" s="151">
        <v>44012</v>
      </c>
      <c r="B98" s="20">
        <v>1598.05</v>
      </c>
      <c r="C98" s="20">
        <v>89.39</v>
      </c>
      <c r="D98" s="20">
        <v>1687.44</v>
      </c>
      <c r="E98" s="12">
        <v>5.5936923125058824E-2</v>
      </c>
      <c r="F98" s="43"/>
    </row>
    <row r="99" spans="1:8" x14ac:dyDescent="0.25">
      <c r="A99" s="151">
        <v>44043</v>
      </c>
      <c r="B99" s="20">
        <v>1687.44</v>
      </c>
      <c r="C99" s="20">
        <v>101.19</v>
      </c>
      <c r="D99" s="20">
        <v>1788.63</v>
      </c>
      <c r="E99" s="12">
        <v>5.9966576589389975E-2</v>
      </c>
      <c r="F99" s="43"/>
    </row>
    <row r="100" spans="1:8" x14ac:dyDescent="0.25">
      <c r="A100" s="151">
        <v>44074</v>
      </c>
      <c r="B100" s="20">
        <v>1788.63</v>
      </c>
      <c r="C100" s="20">
        <v>109.67</v>
      </c>
      <c r="D100" s="20">
        <v>1898.3000000000002</v>
      </c>
      <c r="E100" s="12">
        <v>6.1315084729653524E-2</v>
      </c>
      <c r="F100" s="43"/>
    </row>
    <row r="101" spans="1:8" x14ac:dyDescent="0.25">
      <c r="A101" s="151">
        <v>44104</v>
      </c>
      <c r="B101" s="20">
        <v>1898.3000000000002</v>
      </c>
      <c r="C101" s="20">
        <v>84.78</v>
      </c>
      <c r="D101" s="20">
        <v>1983.0800000000002</v>
      </c>
      <c r="E101" s="12">
        <v>4.4661012484854767E-2</v>
      </c>
      <c r="F101" s="43"/>
    </row>
    <row r="102" spans="1:8" x14ac:dyDescent="0.25">
      <c r="A102" s="151">
        <v>44135</v>
      </c>
      <c r="B102" s="20">
        <v>1983.0800000000002</v>
      </c>
      <c r="C102" s="20">
        <v>48.67</v>
      </c>
      <c r="D102" s="20">
        <v>2031.7500000000002</v>
      </c>
      <c r="E102" s="12">
        <v>2.4542630655344233E-2</v>
      </c>
      <c r="F102" s="43"/>
    </row>
    <row r="103" spans="1:8" x14ac:dyDescent="0.25">
      <c r="A103" s="151">
        <v>44165</v>
      </c>
      <c r="B103" s="20">
        <v>2031.7500000000002</v>
      </c>
      <c r="C103" s="20">
        <v>142.13</v>
      </c>
      <c r="D103" s="20">
        <v>2173.88</v>
      </c>
      <c r="E103" s="12">
        <v>6.9954472745170415E-2</v>
      </c>
      <c r="F103" s="43"/>
    </row>
    <row r="104" spans="1:8" x14ac:dyDescent="0.25">
      <c r="A104" s="15" t="s">
        <v>513</v>
      </c>
      <c r="B104" s="20">
        <v>2173.88</v>
      </c>
      <c r="C104" s="20">
        <v>112.69</v>
      </c>
      <c r="D104" s="20">
        <v>2286.5700000000002</v>
      </c>
      <c r="E104" s="12">
        <v>5.1838187940456804E-2</v>
      </c>
      <c r="F104" s="43"/>
      <c r="H104" s="20"/>
    </row>
    <row r="105" spans="1:8" x14ac:dyDescent="0.25">
      <c r="A105" s="92"/>
      <c r="B105" s="92"/>
      <c r="C105" s="92"/>
      <c r="D105" s="91" t="s">
        <v>512</v>
      </c>
      <c r="E105" s="153">
        <v>0.70309999999999995</v>
      </c>
      <c r="F105" s="159"/>
    </row>
  </sheetData>
  <sortState xmlns:xlrd2="http://schemas.microsoft.com/office/spreadsheetml/2017/richdata2" ref="R4:T20">
    <sortCondition ref="R4:R2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0706-AD81-4478-8802-F41ED9567DED}">
  <dimension ref="A1:AR353"/>
  <sheetViews>
    <sheetView zoomScale="90" zoomScaleNormal="90" workbookViewId="0">
      <selection activeCell="C16" sqref="C16"/>
    </sheetView>
  </sheetViews>
  <sheetFormatPr defaultRowHeight="15" x14ac:dyDescent="0.25"/>
  <cols>
    <col min="1" max="1" width="15" bestFit="1" customWidth="1"/>
    <col min="2" max="2" width="12.7109375" customWidth="1"/>
    <col min="3" max="3" width="14.28515625" customWidth="1"/>
    <col min="4" max="4" width="13.28515625" customWidth="1"/>
    <col min="5" max="5" width="12.5703125" bestFit="1" customWidth="1"/>
    <col min="6" max="14" width="10.7109375" customWidth="1"/>
    <col min="15" max="15" width="12.7109375" customWidth="1"/>
    <col min="16" max="16" width="10.7109375" customWidth="1"/>
    <col min="17" max="17" width="15.28515625" customWidth="1"/>
    <col min="18" max="29" width="10.7109375" customWidth="1"/>
    <col min="31" max="35" width="10.140625" bestFit="1" customWidth="1"/>
    <col min="42" max="42" width="10.140625" bestFit="1" customWidth="1"/>
  </cols>
  <sheetData>
    <row r="1" spans="1:44" x14ac:dyDescent="0.25">
      <c r="A1" s="94" t="s">
        <v>19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</row>
    <row r="2" spans="1:44" x14ac:dyDescent="0.25">
      <c r="B2" s="179">
        <v>2017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P2" s="179">
        <v>2018</v>
      </c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E2" s="179">
        <v>2019</v>
      </c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</row>
    <row r="3" spans="1:44" x14ac:dyDescent="0.25">
      <c r="A3" s="95" t="s">
        <v>190</v>
      </c>
      <c r="B3" s="96" t="s">
        <v>191</v>
      </c>
      <c r="C3" s="96" t="s">
        <v>192</v>
      </c>
      <c r="D3" s="96" t="s">
        <v>193</v>
      </c>
      <c r="E3" s="96" t="s">
        <v>194</v>
      </c>
      <c r="F3" s="96" t="s">
        <v>195</v>
      </c>
      <c r="G3" s="96" t="s">
        <v>196</v>
      </c>
      <c r="H3" s="96" t="s">
        <v>197</v>
      </c>
      <c r="I3" s="96" t="s">
        <v>198</v>
      </c>
      <c r="J3" s="96" t="s">
        <v>199</v>
      </c>
      <c r="K3" s="96" t="s">
        <v>200</v>
      </c>
      <c r="L3" s="96" t="s">
        <v>201</v>
      </c>
      <c r="M3" s="96" t="s">
        <v>202</v>
      </c>
      <c r="N3" s="96" t="s">
        <v>4</v>
      </c>
      <c r="O3" s="15"/>
      <c r="P3" s="96" t="s">
        <v>191</v>
      </c>
      <c r="Q3" s="96" t="s">
        <v>192</v>
      </c>
      <c r="R3" s="96" t="s">
        <v>193</v>
      </c>
      <c r="S3" s="96" t="s">
        <v>194</v>
      </c>
      <c r="T3" s="96" t="s">
        <v>195</v>
      </c>
      <c r="U3" s="96" t="s">
        <v>196</v>
      </c>
      <c r="V3" s="96" t="s">
        <v>197</v>
      </c>
      <c r="W3" s="96" t="s">
        <v>198</v>
      </c>
      <c r="X3" s="96" t="s">
        <v>199</v>
      </c>
      <c r="Y3" s="96" t="s">
        <v>200</v>
      </c>
      <c r="Z3" s="96" t="s">
        <v>201</v>
      </c>
      <c r="AA3" s="96" t="s">
        <v>202</v>
      </c>
      <c r="AB3" s="95"/>
      <c r="AC3" s="96" t="s">
        <v>4</v>
      </c>
      <c r="AE3" s="96" t="s">
        <v>191</v>
      </c>
      <c r="AF3" s="96" t="s">
        <v>192</v>
      </c>
      <c r="AG3" s="96" t="s">
        <v>193</v>
      </c>
      <c r="AH3" s="96" t="s">
        <v>194</v>
      </c>
      <c r="AI3" s="96" t="s">
        <v>195</v>
      </c>
      <c r="AJ3" s="96" t="s">
        <v>196</v>
      </c>
      <c r="AK3" s="96" t="s">
        <v>197</v>
      </c>
      <c r="AL3" s="96" t="s">
        <v>198</v>
      </c>
      <c r="AM3" s="96" t="s">
        <v>199</v>
      </c>
      <c r="AN3" s="96" t="s">
        <v>200</v>
      </c>
      <c r="AO3" s="95"/>
      <c r="AP3" s="96" t="s">
        <v>4</v>
      </c>
    </row>
    <row r="4" spans="1:44" x14ac:dyDescent="0.25">
      <c r="A4" t="s">
        <v>69</v>
      </c>
      <c r="B4" s="20">
        <v>43027</v>
      </c>
      <c r="C4" s="20">
        <v>49011</v>
      </c>
      <c r="D4" s="20">
        <v>52397</v>
      </c>
      <c r="E4" s="20">
        <v>53716</v>
      </c>
      <c r="F4" s="20">
        <v>57121</v>
      </c>
      <c r="G4" s="20">
        <v>60851</v>
      </c>
      <c r="H4" s="20">
        <v>62216</v>
      </c>
      <c r="I4" s="20">
        <v>62216</v>
      </c>
      <c r="J4" s="20">
        <v>64546</v>
      </c>
      <c r="K4" s="20">
        <v>66934</v>
      </c>
      <c r="L4" s="20">
        <v>70561</v>
      </c>
      <c r="M4" s="20">
        <v>74564</v>
      </c>
      <c r="N4" s="20">
        <f>M4</f>
        <v>74564</v>
      </c>
      <c r="O4" s="20"/>
      <c r="P4" s="20">
        <v>76596</v>
      </c>
      <c r="Q4" s="20">
        <v>77674</v>
      </c>
      <c r="R4" s="20">
        <v>81231.600000000006</v>
      </c>
      <c r="S4" s="20">
        <v>81582</v>
      </c>
      <c r="T4" s="20">
        <v>83328.600000000006</v>
      </c>
      <c r="U4" s="20">
        <v>86131.16</v>
      </c>
      <c r="V4" s="20">
        <v>87449.3</v>
      </c>
      <c r="W4" s="20">
        <v>88897.1</v>
      </c>
      <c r="X4" s="20">
        <v>91787.1</v>
      </c>
      <c r="Y4" s="20">
        <v>94120.6</v>
      </c>
      <c r="Z4" s="20">
        <f>Y4+3255</f>
        <v>97375.6</v>
      </c>
      <c r="AA4" s="20">
        <f>Z4+2466</f>
        <v>99841.600000000006</v>
      </c>
      <c r="AC4" s="20">
        <f>AA4</f>
        <v>99841.600000000006</v>
      </c>
      <c r="AE4" s="20">
        <f>AA4+2598</f>
        <v>102439.6</v>
      </c>
      <c r="AF4" s="20">
        <f>AE4+1103.98</f>
        <v>103543.58</v>
      </c>
      <c r="AG4" s="20">
        <f>AF4+1128</f>
        <v>104671.58</v>
      </c>
      <c r="AH4" s="20">
        <f>AG4+1015</f>
        <v>105686.58</v>
      </c>
      <c r="AI4" s="20">
        <f>AH4</f>
        <v>105686.58</v>
      </c>
      <c r="AJ4" s="20"/>
      <c r="AK4" s="20"/>
      <c r="AL4" s="20"/>
      <c r="AM4" s="20"/>
      <c r="AN4" s="20"/>
      <c r="AP4" s="20">
        <f>AI4</f>
        <v>105686.58</v>
      </c>
    </row>
    <row r="5" spans="1:44" x14ac:dyDescent="0.25">
      <c r="A5" t="s">
        <v>70</v>
      </c>
      <c r="B5" s="20">
        <v>16.5</v>
      </c>
      <c r="C5" s="20">
        <v>51.16</v>
      </c>
      <c r="D5" s="20">
        <v>371.64</v>
      </c>
      <c r="E5" s="20">
        <v>162.38</v>
      </c>
      <c r="F5" s="20">
        <v>611.75</v>
      </c>
      <c r="G5" s="20">
        <v>305.7</v>
      </c>
      <c r="H5" s="20">
        <v>27.33</v>
      </c>
      <c r="I5" s="20">
        <v>446.16</v>
      </c>
      <c r="J5" s="20">
        <v>6.48</v>
      </c>
      <c r="K5" s="20">
        <v>144.62</v>
      </c>
      <c r="L5" s="20">
        <v>205.89</v>
      </c>
      <c r="M5" s="20">
        <v>428.79</v>
      </c>
      <c r="N5" s="20">
        <f>SUM(B5:M5)</f>
        <v>2778.3999999999996</v>
      </c>
      <c r="O5" s="20"/>
      <c r="P5" s="20">
        <v>0</v>
      </c>
      <c r="Q5" s="20">
        <v>243.02</v>
      </c>
      <c r="R5" s="20">
        <f>1175.42+6.95</f>
        <v>1182.3700000000001</v>
      </c>
      <c r="S5" s="20">
        <v>374.07</v>
      </c>
      <c r="T5" s="20">
        <v>938.24</v>
      </c>
      <c r="U5" s="20">
        <v>98.72</v>
      </c>
      <c r="V5" s="20">
        <v>34.119999999999997</v>
      </c>
      <c r="W5" s="20">
        <v>1085.92</v>
      </c>
      <c r="X5" s="20">
        <v>7.26</v>
      </c>
      <c r="Y5" s="20">
        <v>35.61</v>
      </c>
      <c r="Z5" s="20">
        <v>906.6</v>
      </c>
      <c r="AA5" s="20">
        <v>316.23</v>
      </c>
      <c r="AC5" s="20">
        <f>SUM(P5:AA5)</f>
        <v>5222.16</v>
      </c>
      <c r="AE5" s="20">
        <v>153.80000000000001</v>
      </c>
      <c r="AF5" s="20">
        <v>517.16999999999996</v>
      </c>
      <c r="AG5" s="20">
        <v>2045.37</v>
      </c>
      <c r="AH5" s="20">
        <v>108.9</v>
      </c>
      <c r="AI5" s="20">
        <v>426.7</v>
      </c>
      <c r="AJ5" s="20"/>
      <c r="AK5" s="20"/>
      <c r="AL5" s="20"/>
      <c r="AM5" s="20"/>
      <c r="AN5" s="20"/>
      <c r="AP5" s="20">
        <f>SUM(AE5:AN5)</f>
        <v>3251.94</v>
      </c>
      <c r="AR5" s="20">
        <f>N5+AC5+AP5</f>
        <v>11252.5</v>
      </c>
    </row>
    <row r="6" spans="1:44" x14ac:dyDescent="0.25">
      <c r="A6" t="s">
        <v>189</v>
      </c>
      <c r="B6" s="13">
        <f>B5/B4</f>
        <v>3.8348014037697259E-4</v>
      </c>
      <c r="C6" s="13">
        <f t="shared" ref="C6:G6" si="0">C5/C4</f>
        <v>1.0438472995858072E-3</v>
      </c>
      <c r="D6" s="13">
        <f t="shared" si="0"/>
        <v>7.0927724869744449E-3</v>
      </c>
      <c r="E6" s="13">
        <f t="shared" si="0"/>
        <v>3.0229354382306948E-3</v>
      </c>
      <c r="F6" s="13">
        <f t="shared" si="0"/>
        <v>1.0709721468461686E-2</v>
      </c>
      <c r="G6" s="13">
        <f t="shared" si="0"/>
        <v>5.0237465284054495E-3</v>
      </c>
      <c r="H6" s="13">
        <f>H5/H4</f>
        <v>4.3927607046418923E-4</v>
      </c>
      <c r="I6" s="13">
        <f t="shared" ref="I6" si="1">I5/I4</f>
        <v>7.1711456859971717E-3</v>
      </c>
      <c r="J6" s="13">
        <f t="shared" ref="J6" si="2">J5/J4</f>
        <v>1.0039351780125802E-4</v>
      </c>
      <c r="K6" s="13">
        <f t="shared" ref="K6" si="3">K5/K4</f>
        <v>2.1606358502405357E-3</v>
      </c>
      <c r="L6" s="13">
        <f t="shared" ref="L6" si="4">L5/L4</f>
        <v>2.9179008234010285E-3</v>
      </c>
      <c r="M6" s="13">
        <f t="shared" ref="M6" si="5">M5/M4</f>
        <v>5.7506303309908273E-3</v>
      </c>
      <c r="N6" s="13">
        <f>N5/N4</f>
        <v>3.7261949466230349E-2</v>
      </c>
      <c r="O6" s="13"/>
      <c r="P6" s="13">
        <f>P5/P4</f>
        <v>0</v>
      </c>
      <c r="Q6" s="13">
        <f t="shared" ref="Q6" si="6">Q5/Q4</f>
        <v>3.128717460153977E-3</v>
      </c>
      <c r="R6" s="13">
        <f t="shared" ref="R6" si="7">R5/R4</f>
        <v>1.4555542424376721E-2</v>
      </c>
      <c r="S6" s="13">
        <f t="shared" ref="S6" si="8">S5/S4</f>
        <v>4.5852026182246087E-3</v>
      </c>
      <c r="T6" s="13">
        <f t="shared" ref="T6" si="9">T5/T4</f>
        <v>1.1259519540709912E-2</v>
      </c>
      <c r="U6" s="13">
        <f>U5/U4</f>
        <v>1.1461589510695083E-3</v>
      </c>
      <c r="V6" s="13">
        <f t="shared" ref="V6:AA6" si="10">V5/V4</f>
        <v>3.9016893216984011E-4</v>
      </c>
      <c r="W6" s="13">
        <f t="shared" si="10"/>
        <v>1.2215471595811336E-2</v>
      </c>
      <c r="X6" s="13">
        <f t="shared" si="10"/>
        <v>7.9096082129188083E-5</v>
      </c>
      <c r="Y6" s="13">
        <f t="shared" si="10"/>
        <v>3.7834437944509489E-4</v>
      </c>
      <c r="Z6" s="13">
        <f t="shared" si="10"/>
        <v>9.3103405781325092E-3</v>
      </c>
      <c r="AA6" s="13">
        <f t="shared" si="10"/>
        <v>3.1673170301757983E-3</v>
      </c>
      <c r="AC6" s="13">
        <f>AC5/AC4</f>
        <v>5.2304450249194723E-2</v>
      </c>
      <c r="AE6" s="13">
        <f>AE5/AE4</f>
        <v>1.5013725160972905E-3</v>
      </c>
      <c r="AF6" s="13">
        <f t="shared" ref="AF6:AI6" si="11">AF5/AF4</f>
        <v>4.9947085082435814E-3</v>
      </c>
      <c r="AG6" s="13">
        <f t="shared" si="11"/>
        <v>1.9540834293320115E-2</v>
      </c>
      <c r="AH6" s="13">
        <f t="shared" si="11"/>
        <v>1.0304051848399295E-3</v>
      </c>
      <c r="AI6" s="13">
        <f t="shared" si="11"/>
        <v>4.0374094799926347E-3</v>
      </c>
      <c r="AJ6" s="13" t="e">
        <f>AJ5/AJ4</f>
        <v>#DIV/0!</v>
      </c>
      <c r="AK6" s="13" t="e">
        <f t="shared" ref="AK6:AN6" si="12">AK5/AK4</f>
        <v>#DIV/0!</v>
      </c>
      <c r="AL6" s="13" t="e">
        <f t="shared" si="12"/>
        <v>#DIV/0!</v>
      </c>
      <c r="AM6" s="13" t="e">
        <f t="shared" si="12"/>
        <v>#DIV/0!</v>
      </c>
      <c r="AN6" s="13" t="e">
        <f t="shared" si="12"/>
        <v>#DIV/0!</v>
      </c>
      <c r="AP6" s="13">
        <f>AP5/AP4</f>
        <v>3.0769658740021674E-2</v>
      </c>
    </row>
    <row r="7" spans="1:44" x14ac:dyDescent="0.25">
      <c r="A7" t="s">
        <v>203</v>
      </c>
      <c r="B7" s="13"/>
      <c r="C7" s="13"/>
      <c r="D7" s="13"/>
      <c r="E7" s="13"/>
      <c r="F7" s="13"/>
      <c r="G7" s="20">
        <v>66430</v>
      </c>
      <c r="H7" s="20">
        <v>71854</v>
      </c>
      <c r="I7" s="20">
        <v>73267</v>
      </c>
      <c r="J7" s="20">
        <v>77930</v>
      </c>
      <c r="K7" s="20">
        <v>80941</v>
      </c>
      <c r="L7" s="20">
        <v>76630</v>
      </c>
      <c r="M7" s="20">
        <v>81588</v>
      </c>
      <c r="N7" s="12">
        <f>L7/L4-1</f>
        <v>8.6010685789600583E-2</v>
      </c>
      <c r="O7" s="13"/>
      <c r="P7" s="20">
        <v>90275.71</v>
      </c>
      <c r="Q7" s="20">
        <v>94931.53</v>
      </c>
      <c r="R7" s="20">
        <v>95899.83</v>
      </c>
      <c r="S7" s="20">
        <v>95094.16</v>
      </c>
      <c r="T7" s="20">
        <v>85862.3</v>
      </c>
      <c r="U7" s="20">
        <v>82778.7</v>
      </c>
      <c r="V7" s="20">
        <v>93873.2</v>
      </c>
      <c r="W7" s="20">
        <v>90173</v>
      </c>
      <c r="X7" s="20">
        <v>94036.5</v>
      </c>
      <c r="Y7" s="20">
        <v>118841.71</v>
      </c>
      <c r="Z7" s="20">
        <v>131431.13</v>
      </c>
      <c r="AA7" s="20">
        <v>141015.72</v>
      </c>
      <c r="AC7" s="12">
        <f>AA7/AA4-1</f>
        <v>0.41239443278152588</v>
      </c>
      <c r="AE7" s="20">
        <v>142214.31</v>
      </c>
      <c r="AF7" s="20">
        <v>138718.96</v>
      </c>
      <c r="AG7" s="20">
        <v>138754.57</v>
      </c>
      <c r="AH7" s="20"/>
      <c r="AI7" s="20"/>
      <c r="AJ7" s="20"/>
      <c r="AK7" s="20"/>
      <c r="AL7" s="20"/>
      <c r="AM7" s="20"/>
      <c r="AN7" s="20"/>
      <c r="AP7" s="12" t="e">
        <f>AN7/AN4-1</f>
        <v>#DIV/0!</v>
      </c>
    </row>
    <row r="8" spans="1:44" x14ac:dyDescent="0.25">
      <c r="B8" s="13"/>
      <c r="C8" s="13"/>
      <c r="D8" s="13"/>
      <c r="E8" s="13"/>
      <c r="F8" s="13"/>
      <c r="G8" s="12"/>
      <c r="H8" s="12"/>
      <c r="I8" s="12"/>
      <c r="J8" s="12"/>
      <c r="K8" s="12"/>
      <c r="L8" s="12"/>
      <c r="M8" s="12"/>
      <c r="N8" s="12"/>
      <c r="O8" s="13"/>
      <c r="P8" s="20"/>
      <c r="Q8" s="12"/>
      <c r="R8" s="12"/>
      <c r="S8" s="20"/>
      <c r="T8" s="20"/>
      <c r="U8" s="20"/>
      <c r="V8" s="20"/>
      <c r="W8" s="20"/>
      <c r="X8" s="20"/>
      <c r="Y8" s="20"/>
      <c r="Z8" s="20"/>
      <c r="AA8" s="20"/>
      <c r="AC8" s="12"/>
      <c r="AE8" s="20"/>
      <c r="AF8" s="12"/>
      <c r="AG8" s="12"/>
      <c r="AH8" s="20"/>
      <c r="AI8" s="20"/>
      <c r="AJ8" s="20"/>
      <c r="AK8" s="20"/>
      <c r="AL8" s="20"/>
      <c r="AM8" s="20"/>
      <c r="AN8" s="20"/>
      <c r="AP8" s="12"/>
    </row>
    <row r="10" spans="1:44" x14ac:dyDescent="0.25">
      <c r="A10" s="95" t="s">
        <v>188</v>
      </c>
      <c r="B10" s="96" t="s">
        <v>191</v>
      </c>
      <c r="C10" s="96" t="s">
        <v>192</v>
      </c>
      <c r="D10" s="96" t="s">
        <v>193</v>
      </c>
      <c r="E10" s="96" t="s">
        <v>194</v>
      </c>
      <c r="F10" s="96" t="s">
        <v>195</v>
      </c>
      <c r="G10" s="96" t="s">
        <v>196</v>
      </c>
      <c r="H10" s="96" t="s">
        <v>197</v>
      </c>
      <c r="I10" s="96" t="s">
        <v>198</v>
      </c>
      <c r="J10" s="96" t="s">
        <v>199</v>
      </c>
      <c r="K10" s="96" t="s">
        <v>200</v>
      </c>
      <c r="L10" s="96" t="s">
        <v>201</v>
      </c>
      <c r="M10" s="96" t="s">
        <v>202</v>
      </c>
      <c r="N10" s="96" t="s">
        <v>4</v>
      </c>
      <c r="O10" s="15"/>
      <c r="P10" s="96" t="s">
        <v>191</v>
      </c>
      <c r="Q10" s="96" t="s">
        <v>192</v>
      </c>
      <c r="R10" s="96" t="s">
        <v>193</v>
      </c>
      <c r="S10" s="96" t="s">
        <v>194</v>
      </c>
      <c r="T10" s="96" t="s">
        <v>195</v>
      </c>
      <c r="U10" s="96" t="s">
        <v>196</v>
      </c>
      <c r="V10" s="96" t="s">
        <v>197</v>
      </c>
      <c r="W10" s="96" t="s">
        <v>198</v>
      </c>
      <c r="X10" s="96" t="s">
        <v>199</v>
      </c>
      <c r="Y10" s="96" t="s">
        <v>200</v>
      </c>
      <c r="Z10" s="96" t="s">
        <v>201</v>
      </c>
      <c r="AA10" s="96" t="s">
        <v>202</v>
      </c>
      <c r="AB10" s="95"/>
      <c r="AC10" s="96" t="s">
        <v>4</v>
      </c>
      <c r="AE10" s="96" t="s">
        <v>191</v>
      </c>
      <c r="AF10" s="96" t="s">
        <v>192</v>
      </c>
      <c r="AG10" s="96" t="s">
        <v>193</v>
      </c>
      <c r="AH10" s="96" t="s">
        <v>194</v>
      </c>
      <c r="AI10" s="96" t="s">
        <v>195</v>
      </c>
      <c r="AJ10" s="96" t="s">
        <v>196</v>
      </c>
      <c r="AK10" s="96" t="s">
        <v>197</v>
      </c>
      <c r="AL10" s="96" t="s">
        <v>198</v>
      </c>
      <c r="AM10" s="96" t="s">
        <v>199</v>
      </c>
      <c r="AN10" s="96" t="s">
        <v>200</v>
      </c>
      <c r="AO10" s="95"/>
      <c r="AP10" s="96" t="s">
        <v>4</v>
      </c>
    </row>
    <row r="11" spans="1:44" x14ac:dyDescent="0.25">
      <c r="A11" t="s">
        <v>69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4330</v>
      </c>
      <c r="I11" s="20">
        <v>10390</v>
      </c>
      <c r="J11" s="20">
        <v>14240</v>
      </c>
      <c r="K11" s="20">
        <v>17984</v>
      </c>
      <c r="L11" s="20">
        <v>23506</v>
      </c>
      <c r="M11" s="20">
        <v>27867</v>
      </c>
      <c r="N11" s="20">
        <f>M11</f>
        <v>27867</v>
      </c>
      <c r="O11" s="20"/>
      <c r="P11" s="20">
        <v>31450.5</v>
      </c>
      <c r="Q11" s="20">
        <v>38907.15</v>
      </c>
      <c r="R11" s="20">
        <v>46960.79</v>
      </c>
      <c r="S11" s="20">
        <v>49528.39</v>
      </c>
      <c r="T11" s="20">
        <v>54970.59</v>
      </c>
      <c r="U11" s="20">
        <v>56681.11</v>
      </c>
      <c r="V11" s="20">
        <v>64275.31</v>
      </c>
      <c r="W11" s="20">
        <v>67238.41</v>
      </c>
      <c r="X11" s="20">
        <v>73822.11</v>
      </c>
      <c r="Y11" s="20">
        <v>78002.62</v>
      </c>
      <c r="Z11" s="20">
        <f>Y11+4291.28</f>
        <v>82293.899999999994</v>
      </c>
      <c r="AA11" s="20">
        <f>Z11+1887.37</f>
        <v>84181.26999999999</v>
      </c>
      <c r="AC11" s="20">
        <f>AA11</f>
        <v>84181.26999999999</v>
      </c>
      <c r="AE11" s="20">
        <f>AA11+12207.7</f>
        <v>96388.969999999987</v>
      </c>
      <c r="AF11" s="20">
        <f>AE11+9427.73</f>
        <v>105816.69999999998</v>
      </c>
      <c r="AG11" s="20">
        <f>AF11+8789.5</f>
        <v>114606.19999999998</v>
      </c>
      <c r="AH11" s="20">
        <f>AG11+7719.39</f>
        <v>122325.58999999998</v>
      </c>
      <c r="AI11" s="20">
        <f>AH11+7220.65</f>
        <v>129546.23999999998</v>
      </c>
      <c r="AJ11" s="20"/>
      <c r="AK11" s="20"/>
      <c r="AL11" s="20"/>
      <c r="AM11" s="20"/>
      <c r="AN11" s="20"/>
      <c r="AP11" s="20">
        <f>AI11</f>
        <v>129546.23999999998</v>
      </c>
    </row>
    <row r="12" spans="1:44" x14ac:dyDescent="0.25">
      <c r="A12" t="s">
        <v>70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46.5</v>
      </c>
      <c r="J12" s="20">
        <v>75</v>
      </c>
      <c r="K12" s="20">
        <v>101.47</v>
      </c>
      <c r="L12" s="20">
        <v>126.22</v>
      </c>
      <c r="M12" s="20">
        <v>168.12</v>
      </c>
      <c r="N12" s="20">
        <f>SUM(B12:M12)</f>
        <v>517.30999999999995</v>
      </c>
      <c r="O12" s="20"/>
      <c r="P12" s="20">
        <f>24.4+183.18</f>
        <v>207.58</v>
      </c>
      <c r="Q12" s="20">
        <f>185.62+24.4</f>
        <v>210.02</v>
      </c>
      <c r="R12" s="20">
        <f>253.25+2.41</f>
        <v>255.66</v>
      </c>
      <c r="S12" s="20">
        <v>299.73</v>
      </c>
      <c r="T12" s="20">
        <v>307.13</v>
      </c>
      <c r="U12" s="20">
        <v>368.37</v>
      </c>
      <c r="V12" s="20">
        <v>399.14</v>
      </c>
      <c r="W12" s="20">
        <v>451.86</v>
      </c>
      <c r="X12" s="20">
        <v>498.75</v>
      </c>
      <c r="Y12" s="20">
        <v>536.79999999999995</v>
      </c>
      <c r="Z12" s="20">
        <v>584.16999999999996</v>
      </c>
      <c r="AA12" s="20">
        <v>643.83000000000004</v>
      </c>
      <c r="AC12" s="20">
        <f>SUM(P12:AA12)</f>
        <v>4763.04</v>
      </c>
      <c r="AE12" s="20">
        <v>684.7</v>
      </c>
      <c r="AF12" s="20">
        <v>735.65</v>
      </c>
      <c r="AG12" s="20">
        <v>746.13</v>
      </c>
      <c r="AH12" s="20">
        <v>858.78</v>
      </c>
      <c r="AI12" s="20">
        <v>842.72</v>
      </c>
      <c r="AJ12" s="20"/>
      <c r="AK12" s="20"/>
      <c r="AL12" s="20"/>
      <c r="AM12" s="20"/>
      <c r="AN12" s="20"/>
      <c r="AP12" s="20">
        <f>SUM(AE12:AN12)</f>
        <v>3867.9800000000005</v>
      </c>
      <c r="AR12" s="20">
        <f>N12+AC12+AP12</f>
        <v>9148.3300000000017</v>
      </c>
    </row>
    <row r="13" spans="1:44" x14ac:dyDescent="0.25">
      <c r="A13" t="s">
        <v>189</v>
      </c>
      <c r="B13" s="13"/>
      <c r="C13" s="13"/>
      <c r="D13" s="13"/>
      <c r="E13" s="13"/>
      <c r="F13" s="13"/>
      <c r="G13" s="13"/>
      <c r="H13" s="13">
        <f>H12/H11</f>
        <v>0</v>
      </c>
      <c r="I13" s="13">
        <f t="shared" ref="I13" si="13">I12/I11</f>
        <v>4.4754571703561116E-3</v>
      </c>
      <c r="J13" s="13">
        <f t="shared" ref="J13" si="14">J12/J11</f>
        <v>5.2668539325842695E-3</v>
      </c>
      <c r="K13" s="13">
        <f t="shared" ref="K13" si="15">K12/K11</f>
        <v>5.6422375444839853E-3</v>
      </c>
      <c r="L13" s="13">
        <f t="shared" ref="L13" si="16">L12/L11</f>
        <v>5.3696928443801584E-3</v>
      </c>
      <c r="M13" s="13">
        <f t="shared" ref="M13" si="17">M12/M11</f>
        <v>6.0329421896867267E-3</v>
      </c>
      <c r="N13" s="13">
        <f>N12/N11</f>
        <v>1.8563533929019986E-2</v>
      </c>
      <c r="O13" s="13"/>
      <c r="P13" s="13">
        <f>P12/P11</f>
        <v>6.6002130331791233E-3</v>
      </c>
      <c r="Q13" s="13">
        <f t="shared" ref="Q13" si="18">Q12/Q11</f>
        <v>5.397979548746182E-3</v>
      </c>
      <c r="R13" s="13">
        <f t="shared" ref="R13" si="19">R12/R11</f>
        <v>5.4441162510255898E-3</v>
      </c>
      <c r="S13" s="13">
        <f t="shared" ref="S13" si="20">S12/S11</f>
        <v>6.0516806623433558E-3</v>
      </c>
      <c r="T13" s="13">
        <f t="shared" ref="T13" si="21">T12/T11</f>
        <v>5.587169430053416E-3</v>
      </c>
      <c r="U13" s="13">
        <f t="shared" ref="U13:AA13" si="22">U12/U11</f>
        <v>6.4989905808125496E-3</v>
      </c>
      <c r="V13" s="13">
        <f t="shared" si="22"/>
        <v>6.2098494740826611E-3</v>
      </c>
      <c r="W13" s="13">
        <f t="shared" si="22"/>
        <v>6.7202659908228045E-3</v>
      </c>
      <c r="X13" s="13">
        <f t="shared" si="22"/>
        <v>6.7561059958865981E-3</v>
      </c>
      <c r="Y13" s="13">
        <f t="shared" si="22"/>
        <v>6.8818201234779035E-3</v>
      </c>
      <c r="Z13" s="13">
        <f t="shared" si="22"/>
        <v>7.0985820334192448E-3</v>
      </c>
      <c r="AA13" s="13">
        <f t="shared" si="22"/>
        <v>7.648138356667702E-3</v>
      </c>
      <c r="AC13" s="13">
        <f>AC12/AC11</f>
        <v>5.6580757215946027E-2</v>
      </c>
      <c r="AE13" s="13">
        <f>AE12/AE11</f>
        <v>7.1035098725507713E-3</v>
      </c>
      <c r="AF13" s="13">
        <f t="shared" ref="AF13:AN13" si="23">AF12/AF11</f>
        <v>6.9521162538616317E-3</v>
      </c>
      <c r="AG13" s="13">
        <f t="shared" si="23"/>
        <v>6.5103807647404772E-3</v>
      </c>
      <c r="AH13" s="13">
        <f t="shared" si="23"/>
        <v>7.0204443730866135E-3</v>
      </c>
      <c r="AI13" s="13">
        <f t="shared" si="23"/>
        <v>6.5051675756857179E-3</v>
      </c>
      <c r="AJ13" s="13" t="e">
        <f t="shared" si="23"/>
        <v>#DIV/0!</v>
      </c>
      <c r="AK13" s="13" t="e">
        <f t="shared" si="23"/>
        <v>#DIV/0!</v>
      </c>
      <c r="AL13" s="13" t="e">
        <f t="shared" si="23"/>
        <v>#DIV/0!</v>
      </c>
      <c r="AM13" s="13" t="e">
        <f t="shared" si="23"/>
        <v>#DIV/0!</v>
      </c>
      <c r="AN13" s="13" t="e">
        <f t="shared" si="23"/>
        <v>#DIV/0!</v>
      </c>
      <c r="AP13" s="13">
        <f>AP12/AP11</f>
        <v>2.9857910194846266E-2</v>
      </c>
      <c r="AQ13" s="13"/>
    </row>
    <row r="14" spans="1:44" x14ac:dyDescent="0.25">
      <c r="A14" t="s">
        <v>203</v>
      </c>
      <c r="H14" s="20">
        <v>4330</v>
      </c>
      <c r="I14" s="20">
        <v>10533</v>
      </c>
      <c r="J14" s="20">
        <v>14360</v>
      </c>
      <c r="K14" s="20">
        <f>16931+2274</f>
        <v>19205</v>
      </c>
      <c r="L14" s="20">
        <v>25657</v>
      </c>
      <c r="M14" s="20">
        <v>30049</v>
      </c>
      <c r="N14" s="12">
        <f>M14/M11-1</f>
        <v>7.8300498797861273E-2</v>
      </c>
      <c r="P14" s="20">
        <f>4491.6+29336.4</f>
        <v>33828</v>
      </c>
      <c r="Q14" s="20">
        <v>39580</v>
      </c>
      <c r="R14" s="20">
        <f>5388+1021.9+1021.9+2614.5+1224.86+41366</f>
        <v>52637.16</v>
      </c>
      <c r="S14" s="20">
        <v>56507.8</v>
      </c>
      <c r="T14" s="20">
        <v>58446.400000000001</v>
      </c>
      <c r="U14" s="20">
        <v>59394.04</v>
      </c>
      <c r="V14" s="20">
        <v>63609.68</v>
      </c>
      <c r="W14" s="20">
        <v>68305.149999999994</v>
      </c>
      <c r="X14" s="20">
        <v>74143.55</v>
      </c>
      <c r="Y14" s="20">
        <v>83136.320000000007</v>
      </c>
      <c r="Z14" s="20">
        <v>88650.75</v>
      </c>
      <c r="AA14" s="20">
        <v>96410.06</v>
      </c>
      <c r="AC14" s="12">
        <f>AA14/AA11-1</f>
        <v>0.14526734985110124</v>
      </c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P14" s="12" t="e">
        <f>AN14/AN11-1</f>
        <v>#DIV/0!</v>
      </c>
    </row>
    <row r="15" spans="1:44" x14ac:dyDescent="0.25">
      <c r="H15" s="20"/>
      <c r="I15" s="20"/>
      <c r="J15" s="20"/>
      <c r="K15" s="20"/>
      <c r="L15" s="20"/>
      <c r="M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C15" s="12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P15" s="12"/>
    </row>
    <row r="17" spans="1:44" x14ac:dyDescent="0.25">
      <c r="A17" s="95" t="s">
        <v>98</v>
      </c>
      <c r="B17" s="96" t="s">
        <v>191</v>
      </c>
      <c r="C17" s="96" t="s">
        <v>192</v>
      </c>
      <c r="D17" s="96" t="s">
        <v>193</v>
      </c>
      <c r="E17" s="96" t="s">
        <v>194</v>
      </c>
      <c r="F17" s="96" t="s">
        <v>195</v>
      </c>
      <c r="G17" s="96" t="s">
        <v>196</v>
      </c>
      <c r="H17" s="96" t="s">
        <v>197</v>
      </c>
      <c r="I17" s="96" t="s">
        <v>198</v>
      </c>
      <c r="J17" s="96" t="s">
        <v>199</v>
      </c>
      <c r="K17" s="96" t="s">
        <v>200</v>
      </c>
      <c r="L17" s="96" t="s">
        <v>201</v>
      </c>
      <c r="M17" s="96" t="s">
        <v>202</v>
      </c>
      <c r="N17" s="96" t="s">
        <v>4</v>
      </c>
      <c r="P17" s="96" t="s">
        <v>191</v>
      </c>
      <c r="Q17" s="96" t="s">
        <v>192</v>
      </c>
      <c r="R17" s="96" t="s">
        <v>193</v>
      </c>
      <c r="S17" s="96" t="s">
        <v>194</v>
      </c>
      <c r="T17" s="96" t="s">
        <v>195</v>
      </c>
      <c r="U17" s="96" t="s">
        <v>196</v>
      </c>
      <c r="V17" s="96" t="s">
        <v>197</v>
      </c>
      <c r="W17" s="96" t="s">
        <v>198</v>
      </c>
      <c r="X17" s="96" t="s">
        <v>199</v>
      </c>
      <c r="Y17" s="96" t="s">
        <v>200</v>
      </c>
      <c r="Z17" s="96" t="s">
        <v>201</v>
      </c>
      <c r="AA17" s="96" t="s">
        <v>202</v>
      </c>
      <c r="AB17" s="95"/>
      <c r="AC17" s="96" t="s">
        <v>4</v>
      </c>
      <c r="AE17" s="96" t="s">
        <v>191</v>
      </c>
      <c r="AF17" s="96" t="s">
        <v>192</v>
      </c>
      <c r="AG17" s="96" t="s">
        <v>193</v>
      </c>
      <c r="AH17" s="96" t="s">
        <v>194</v>
      </c>
      <c r="AI17" s="96" t="s">
        <v>195</v>
      </c>
      <c r="AJ17" s="96" t="s">
        <v>196</v>
      </c>
      <c r="AK17" s="96" t="s">
        <v>197</v>
      </c>
      <c r="AL17" s="96" t="s">
        <v>198</v>
      </c>
      <c r="AM17" s="96" t="s">
        <v>199</v>
      </c>
      <c r="AN17" s="96" t="s">
        <v>200</v>
      </c>
      <c r="AO17" s="95"/>
      <c r="AP17" s="96" t="s">
        <v>4</v>
      </c>
    </row>
    <row r="18" spans="1:44" x14ac:dyDescent="0.25">
      <c r="A18" t="s">
        <v>69</v>
      </c>
      <c r="B18" s="20"/>
      <c r="C18" s="20"/>
      <c r="D18" s="20"/>
      <c r="E18" s="20"/>
      <c r="F18" s="20"/>
      <c r="G18" s="20">
        <v>25434</v>
      </c>
      <c r="H18" s="20">
        <v>30571</v>
      </c>
      <c r="I18" s="20">
        <v>34860.660000000003</v>
      </c>
      <c r="J18" s="20">
        <v>35037.86</v>
      </c>
      <c r="K18" s="20">
        <v>37226.550000000003</v>
      </c>
      <c r="L18" s="20">
        <v>32350</v>
      </c>
      <c r="M18" s="20">
        <v>32492</v>
      </c>
      <c r="N18" s="20">
        <v>32492</v>
      </c>
      <c r="P18" s="20">
        <v>32658.91</v>
      </c>
      <c r="Q18" s="20">
        <v>12623.05</v>
      </c>
      <c r="R18" s="20">
        <v>12674.41</v>
      </c>
      <c r="S18" s="20">
        <v>12734.02</v>
      </c>
      <c r="T18" s="20">
        <v>18790.080000000002</v>
      </c>
      <c r="U18" s="20">
        <v>20885.86</v>
      </c>
      <c r="V18" s="20">
        <v>21982.54</v>
      </c>
      <c r="W18" s="20">
        <v>23092.46</v>
      </c>
      <c r="X18" s="20">
        <v>23180.85</v>
      </c>
      <c r="Y18" s="20">
        <v>23290.84</v>
      </c>
      <c r="Z18" s="20"/>
      <c r="AA18" s="20"/>
      <c r="AC18" s="20">
        <f>AA18</f>
        <v>0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P18" s="20">
        <f>AN18</f>
        <v>0</v>
      </c>
    </row>
    <row r="19" spans="1:44" x14ac:dyDescent="0.25">
      <c r="A19" t="s">
        <v>70</v>
      </c>
      <c r="B19" s="20"/>
      <c r="C19" s="20"/>
      <c r="D19" s="20"/>
      <c r="E19" s="20"/>
      <c r="F19" s="20"/>
      <c r="G19" s="20">
        <v>130.91</v>
      </c>
      <c r="H19" s="20">
        <v>216</v>
      </c>
      <c r="I19" s="20">
        <v>203.3</v>
      </c>
      <c r="J19" s="20">
        <v>177.2</v>
      </c>
      <c r="K19" s="20">
        <v>188.55</v>
      </c>
      <c r="L19" s="20">
        <v>163.74</v>
      </c>
      <c r="M19" s="20">
        <v>141.44999999999999</v>
      </c>
      <c r="N19" s="20">
        <f>SUM(B19:M19)</f>
        <v>1221.1500000000001</v>
      </c>
      <c r="P19" s="20">
        <v>159.54</v>
      </c>
      <c r="Q19" s="20">
        <v>92.48</v>
      </c>
      <c r="R19" s="20">
        <v>53.94</v>
      </c>
      <c r="S19" s="20">
        <v>54.56</v>
      </c>
      <c r="T19" s="20">
        <v>61.11</v>
      </c>
      <c r="U19" s="20">
        <v>95.78</v>
      </c>
      <c r="V19" s="20">
        <v>106.4</v>
      </c>
      <c r="W19" s="20">
        <v>115.86</v>
      </c>
      <c r="X19" s="20">
        <v>109.05</v>
      </c>
      <c r="Y19" s="20">
        <v>127.08</v>
      </c>
      <c r="Z19" s="20">
        <v>116.16</v>
      </c>
      <c r="AA19" s="20">
        <v>25.82</v>
      </c>
      <c r="AC19" s="20">
        <f>SUM(P19:AA19)</f>
        <v>1117.78</v>
      </c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P19" s="20">
        <f>SUM(AE19:AN19)</f>
        <v>0</v>
      </c>
    </row>
    <row r="20" spans="1:44" x14ac:dyDescent="0.25">
      <c r="A20" t="s">
        <v>189</v>
      </c>
      <c r="B20" s="13"/>
      <c r="C20" s="13"/>
      <c r="D20" s="13"/>
      <c r="E20" s="13"/>
      <c r="F20" s="13"/>
      <c r="G20" s="13">
        <f>G19/G18</f>
        <v>5.1470472595737983E-3</v>
      </c>
      <c r="H20" s="13">
        <f t="shared" ref="H20:M20" si="24">H19/H18</f>
        <v>7.0655196100879916E-3</v>
      </c>
      <c r="I20" s="13">
        <f t="shared" si="24"/>
        <v>5.8317886121490529E-3</v>
      </c>
      <c r="J20" s="13">
        <f t="shared" si="24"/>
        <v>5.0573864956364343E-3</v>
      </c>
      <c r="K20" s="13">
        <f t="shared" si="24"/>
        <v>5.0649334950458747E-3</v>
      </c>
      <c r="L20" s="13">
        <f t="shared" si="24"/>
        <v>5.0615146831530138E-3</v>
      </c>
      <c r="M20" s="13">
        <f t="shared" si="24"/>
        <v>4.3533792933645203E-3</v>
      </c>
      <c r="N20" s="13">
        <f>N19/N18</f>
        <v>3.758309737781608E-2</v>
      </c>
      <c r="P20" s="13">
        <f t="shared" ref="P20" si="25">P19/P18</f>
        <v>4.8850374981896207E-3</v>
      </c>
      <c r="Q20" s="13">
        <f t="shared" ref="Q20" si="26">Q19/Q18</f>
        <v>7.3262800987083159E-3</v>
      </c>
      <c r="R20" s="13">
        <f t="shared" ref="R20" si="27">R19/R18</f>
        <v>4.2558194030333559E-3</v>
      </c>
      <c r="S20" s="13">
        <f t="shared" ref="S20" si="28">S19/S18</f>
        <v>4.2845857003522845E-3</v>
      </c>
      <c r="T20" s="13">
        <f t="shared" ref="T20:Y20" si="29">T19/T18</f>
        <v>3.2522479946865577E-3</v>
      </c>
      <c r="U20" s="13">
        <f t="shared" si="29"/>
        <v>4.5858777182265897E-3</v>
      </c>
      <c r="V20" s="13">
        <f t="shared" si="29"/>
        <v>4.8402049990583437E-3</v>
      </c>
      <c r="W20" s="13">
        <f t="shared" si="29"/>
        <v>5.017222071619914E-3</v>
      </c>
      <c r="X20" s="13">
        <f t="shared" si="29"/>
        <v>4.7043141213544805E-3</v>
      </c>
      <c r="Y20" s="13">
        <f t="shared" si="29"/>
        <v>5.4562222745079183E-3</v>
      </c>
      <c r="Z20" s="13"/>
      <c r="AA20" s="13"/>
      <c r="AC20" s="13" t="e">
        <f>AC19/AC18</f>
        <v>#DIV/0!</v>
      </c>
      <c r="AE20" s="13" t="e">
        <f t="shared" ref="AE20:AN20" si="30">AE19/AE18</f>
        <v>#DIV/0!</v>
      </c>
      <c r="AF20" s="13" t="e">
        <f t="shared" si="30"/>
        <v>#DIV/0!</v>
      </c>
      <c r="AG20" s="13" t="e">
        <f t="shared" si="30"/>
        <v>#DIV/0!</v>
      </c>
      <c r="AH20" s="13" t="e">
        <f t="shared" si="30"/>
        <v>#DIV/0!</v>
      </c>
      <c r="AI20" s="13" t="e">
        <f t="shared" si="30"/>
        <v>#DIV/0!</v>
      </c>
      <c r="AJ20" s="13" t="e">
        <f t="shared" si="30"/>
        <v>#DIV/0!</v>
      </c>
      <c r="AK20" s="13" t="e">
        <f t="shared" si="30"/>
        <v>#DIV/0!</v>
      </c>
      <c r="AL20" s="13" t="e">
        <f t="shared" si="30"/>
        <v>#DIV/0!</v>
      </c>
      <c r="AM20" s="13" t="e">
        <f t="shared" si="30"/>
        <v>#DIV/0!</v>
      </c>
      <c r="AN20" s="13" t="e">
        <f t="shared" si="30"/>
        <v>#DIV/0!</v>
      </c>
      <c r="AP20" s="13" t="e">
        <f>AP19/AP18</f>
        <v>#DIV/0!</v>
      </c>
    </row>
    <row r="21" spans="1:44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P21" s="13"/>
      <c r="Q21" s="13"/>
      <c r="R21" s="13"/>
      <c r="S21" s="13"/>
      <c r="T21" s="13"/>
      <c r="U21" s="13"/>
      <c r="V21" s="13"/>
      <c r="W21" s="13"/>
      <c r="AC21" s="13"/>
      <c r="AE21" s="13"/>
      <c r="AF21" s="13"/>
      <c r="AG21" s="13"/>
      <c r="AH21" s="13"/>
      <c r="AI21" s="13"/>
      <c r="AJ21" s="13"/>
      <c r="AK21" s="13"/>
      <c r="AL21" s="13"/>
      <c r="AP21" s="13"/>
    </row>
    <row r="22" spans="1:44" x14ac:dyDescent="0.25">
      <c r="H22" s="20"/>
      <c r="I22" s="20"/>
      <c r="J22" s="20"/>
      <c r="K22" s="20"/>
      <c r="L22" s="20"/>
      <c r="M22" s="20"/>
    </row>
    <row r="23" spans="1:44" x14ac:dyDescent="0.25">
      <c r="A23" s="95" t="s">
        <v>100</v>
      </c>
      <c r="B23" s="96" t="s">
        <v>191</v>
      </c>
      <c r="C23" s="96" t="s">
        <v>192</v>
      </c>
      <c r="D23" s="96" t="s">
        <v>193</v>
      </c>
      <c r="E23" s="96" t="s">
        <v>194</v>
      </c>
      <c r="F23" s="96" t="s">
        <v>195</v>
      </c>
      <c r="G23" s="96" t="s">
        <v>196</v>
      </c>
      <c r="H23" s="96" t="s">
        <v>197</v>
      </c>
      <c r="I23" s="96" t="s">
        <v>198</v>
      </c>
      <c r="J23" s="96" t="s">
        <v>199</v>
      </c>
      <c r="K23" s="96" t="s">
        <v>200</v>
      </c>
      <c r="L23" s="96" t="s">
        <v>201</v>
      </c>
      <c r="M23" s="96" t="s">
        <v>202</v>
      </c>
      <c r="N23" s="96" t="s">
        <v>4</v>
      </c>
      <c r="P23" s="96" t="s">
        <v>191</v>
      </c>
      <c r="Q23" s="96" t="s">
        <v>192</v>
      </c>
      <c r="R23" s="96" t="s">
        <v>193</v>
      </c>
      <c r="S23" s="96" t="s">
        <v>194</v>
      </c>
      <c r="T23" s="96" t="s">
        <v>195</v>
      </c>
      <c r="U23" s="96" t="s">
        <v>196</v>
      </c>
      <c r="V23" s="96" t="s">
        <v>197</v>
      </c>
      <c r="W23" s="96" t="s">
        <v>198</v>
      </c>
      <c r="X23" s="96" t="s">
        <v>199</v>
      </c>
      <c r="Y23" s="96" t="s">
        <v>200</v>
      </c>
      <c r="Z23" s="96" t="s">
        <v>201</v>
      </c>
      <c r="AA23" s="96" t="s">
        <v>202</v>
      </c>
      <c r="AB23" s="95"/>
      <c r="AC23" s="96" t="s">
        <v>4</v>
      </c>
      <c r="AE23" s="96" t="s">
        <v>191</v>
      </c>
      <c r="AF23" s="96" t="s">
        <v>192</v>
      </c>
      <c r="AG23" s="96" t="s">
        <v>193</v>
      </c>
      <c r="AH23" s="96" t="s">
        <v>194</v>
      </c>
      <c r="AI23" s="96" t="s">
        <v>195</v>
      </c>
      <c r="AJ23" s="96" t="s">
        <v>196</v>
      </c>
      <c r="AK23" s="96" t="s">
        <v>197</v>
      </c>
      <c r="AL23" s="96" t="s">
        <v>198</v>
      </c>
      <c r="AM23" s="96" t="s">
        <v>199</v>
      </c>
      <c r="AN23" s="96" t="s">
        <v>200</v>
      </c>
      <c r="AO23" s="95"/>
      <c r="AP23" s="96" t="s">
        <v>4</v>
      </c>
    </row>
    <row r="24" spans="1:44" x14ac:dyDescent="0.25">
      <c r="A24" t="s">
        <v>69</v>
      </c>
      <c r="B24" s="20">
        <v>5821.92</v>
      </c>
      <c r="C24" s="20">
        <v>6979.51</v>
      </c>
      <c r="D24" s="20">
        <v>8527.11</v>
      </c>
      <c r="E24" s="20">
        <v>9003.93</v>
      </c>
      <c r="F24" s="20">
        <v>10100.35</v>
      </c>
      <c r="G24" s="20">
        <v>10575.46</v>
      </c>
      <c r="H24" s="20">
        <v>11519.75</v>
      </c>
      <c r="I24" s="20">
        <v>11519.75</v>
      </c>
      <c r="J24" s="20">
        <v>11519.75</v>
      </c>
      <c r="K24" s="20">
        <v>11519.75</v>
      </c>
      <c r="L24" s="20">
        <v>11519.75</v>
      </c>
      <c r="M24" s="20">
        <v>11749.18</v>
      </c>
      <c r="N24" s="20">
        <f>M24</f>
        <v>11749.18</v>
      </c>
      <c r="P24" s="20">
        <v>11749.18</v>
      </c>
      <c r="Q24" s="20">
        <v>12918.63</v>
      </c>
      <c r="R24" s="20">
        <v>12918.63</v>
      </c>
      <c r="S24" s="20">
        <v>12918.63</v>
      </c>
      <c r="T24" s="20">
        <v>14534.83</v>
      </c>
      <c r="U24" s="20">
        <v>14535.16</v>
      </c>
      <c r="V24" s="20">
        <v>15321.19</v>
      </c>
      <c r="W24" s="20">
        <v>16821.349999999999</v>
      </c>
      <c r="X24" s="20">
        <v>18733.84</v>
      </c>
      <c r="Y24" s="20">
        <v>19231.96</v>
      </c>
      <c r="Z24" s="20">
        <f>Y24+1000.53</f>
        <v>20232.489999999998</v>
      </c>
      <c r="AA24" s="20">
        <f>Z24+1492.27</f>
        <v>21724.76</v>
      </c>
      <c r="AC24" s="20">
        <f>AA24</f>
        <v>21724.76</v>
      </c>
      <c r="AE24" s="20">
        <f>AA24+1064.07</f>
        <v>22788.829999999998</v>
      </c>
      <c r="AF24" s="20">
        <f>AE24+599.72</f>
        <v>23388.55</v>
      </c>
      <c r="AG24" s="20"/>
      <c r="AH24" s="20"/>
      <c r="AI24" s="20"/>
      <c r="AJ24" s="20"/>
      <c r="AK24" s="20"/>
      <c r="AL24" s="20"/>
      <c r="AM24" s="20"/>
      <c r="AN24" s="20"/>
      <c r="AP24" s="20">
        <f>AF24</f>
        <v>23388.55</v>
      </c>
    </row>
    <row r="25" spans="1:44" x14ac:dyDescent="0.25">
      <c r="A25" t="s">
        <v>70</v>
      </c>
      <c r="B25" s="20"/>
      <c r="C25" s="20">
        <v>161.59</v>
      </c>
      <c r="D25" s="20"/>
      <c r="E25" s="20"/>
      <c r="F25" s="20"/>
      <c r="G25" s="20"/>
      <c r="H25" s="20"/>
      <c r="I25" s="20">
        <v>288.45</v>
      </c>
      <c r="J25" s="20"/>
      <c r="K25" s="20"/>
      <c r="L25" s="20"/>
      <c r="M25" s="20"/>
      <c r="N25" s="20">
        <f>SUM(B25:M25)</f>
        <v>450.03999999999996</v>
      </c>
      <c r="Q25">
        <v>354.23</v>
      </c>
      <c r="W25">
        <v>397.23</v>
      </c>
      <c r="AC25" s="20">
        <f>SUM(P25:AB25)</f>
        <v>751.46</v>
      </c>
      <c r="AE25">
        <v>256.10000000000002</v>
      </c>
      <c r="AF25">
        <v>409.15</v>
      </c>
      <c r="AP25" s="20">
        <f>SUM(AE25:AO25)</f>
        <v>665.25</v>
      </c>
      <c r="AR25" s="20">
        <f>N25+AC25+AP25</f>
        <v>1866.75</v>
      </c>
    </row>
    <row r="26" spans="1:44" x14ac:dyDescent="0.25">
      <c r="A26" t="s">
        <v>189</v>
      </c>
      <c r="B26" s="13"/>
      <c r="C26" s="13">
        <f t="shared" ref="C26" si="31">C25/C24</f>
        <v>2.3152055086961693E-2</v>
      </c>
      <c r="D26" s="13"/>
      <c r="E26" s="13"/>
      <c r="F26" s="13"/>
      <c r="G26" s="13"/>
      <c r="H26" s="13"/>
      <c r="I26" s="13">
        <f t="shared" ref="I26" si="32">I25/I24</f>
        <v>2.5039605894225134E-2</v>
      </c>
      <c r="J26" s="13"/>
      <c r="K26" s="13"/>
      <c r="L26" s="13"/>
      <c r="M26" s="13"/>
      <c r="N26" s="13">
        <f>N25/N24</f>
        <v>3.8303949722448709E-2</v>
      </c>
      <c r="Q26" s="13">
        <f t="shared" ref="Q26" si="33">Q25/Q24</f>
        <v>2.7420090210804091E-2</v>
      </c>
      <c r="W26" s="13">
        <f t="shared" ref="W26" si="34">W25/W24</f>
        <v>2.3614632594886859E-2</v>
      </c>
      <c r="AC26" s="13">
        <f>AC25/AC24</f>
        <v>3.4590025390384062E-2</v>
      </c>
      <c r="AE26" s="13">
        <f t="shared" ref="AE26:AF26" si="35">AE25/AE24</f>
        <v>1.1237961755825114E-2</v>
      </c>
      <c r="AF26" s="13">
        <f t="shared" si="35"/>
        <v>1.7493602638898091E-2</v>
      </c>
      <c r="AK26" s="13" t="e">
        <f t="shared" ref="AK26:AL26" si="36">AK25/AK24</f>
        <v>#DIV/0!</v>
      </c>
      <c r="AL26" s="13" t="e">
        <f t="shared" si="36"/>
        <v>#DIV/0!</v>
      </c>
      <c r="AP26" s="13">
        <f>AP25/AP24</f>
        <v>2.8443404999454861E-2</v>
      </c>
    </row>
    <row r="29" spans="1:44" x14ac:dyDescent="0.25">
      <c r="AP29" s="20">
        <f>AP4+AP11+AP24</f>
        <v>258621.36999999997</v>
      </c>
    </row>
    <row r="30" spans="1:44" x14ac:dyDescent="0.25">
      <c r="AP30" s="20">
        <f>AR5+AR12+AR25</f>
        <v>22267.58</v>
      </c>
    </row>
    <row r="32" spans="1:44" x14ac:dyDescent="0.25">
      <c r="AP32" s="12">
        <f>AP30/AP29</f>
        <v>8.6101082830084788E-2</v>
      </c>
    </row>
    <row r="38" spans="1:24" x14ac:dyDescent="0.25">
      <c r="A38" s="3"/>
    </row>
    <row r="39" spans="1:24" x14ac:dyDescent="0.25">
      <c r="A39" s="3"/>
      <c r="B39" s="12"/>
    </row>
    <row r="47" spans="1:24" x14ac:dyDescent="0.25">
      <c r="A47" t="s">
        <v>205</v>
      </c>
      <c r="B47" s="20">
        <v>10000</v>
      </c>
      <c r="D47" s="15" t="s">
        <v>204</v>
      </c>
      <c r="E47" s="13">
        <v>6.0000000000000001E-3</v>
      </c>
    </row>
    <row r="48" spans="1:24" x14ac:dyDescent="0.25">
      <c r="S48" t="s">
        <v>1</v>
      </c>
      <c r="T48" t="s">
        <v>11</v>
      </c>
      <c r="U48" t="s">
        <v>3</v>
      </c>
      <c r="X48" t="s">
        <v>356</v>
      </c>
    </row>
    <row r="49" spans="1:24" x14ac:dyDescent="0.25">
      <c r="A49" t="s">
        <v>97</v>
      </c>
      <c r="B49" t="s">
        <v>358</v>
      </c>
      <c r="C49" t="s">
        <v>360</v>
      </c>
      <c r="D49" t="s">
        <v>359</v>
      </c>
      <c r="E49" t="s">
        <v>361</v>
      </c>
      <c r="S49" t="s">
        <v>173</v>
      </c>
      <c r="T49" s="3">
        <v>45535.39</v>
      </c>
      <c r="U49" s="119">
        <v>590</v>
      </c>
      <c r="W49" s="3">
        <f>U49*V49</f>
        <v>0</v>
      </c>
      <c r="X49" s="12">
        <f>W49/T49</f>
        <v>0</v>
      </c>
    </row>
    <row r="50" spans="1:24" x14ac:dyDescent="0.25">
      <c r="A50">
        <v>1</v>
      </c>
      <c r="B50" s="20">
        <f>B47</f>
        <v>10000</v>
      </c>
      <c r="C50" s="20">
        <v>0</v>
      </c>
      <c r="D50">
        <v>0</v>
      </c>
      <c r="E50" s="20">
        <f>B50+D50</f>
        <v>10000</v>
      </c>
      <c r="I50" s="20"/>
      <c r="Q50" s="20"/>
      <c r="R50" s="20"/>
      <c r="S50" t="s">
        <v>222</v>
      </c>
      <c r="T50" s="3">
        <v>14376.77</v>
      </c>
      <c r="U50" s="119">
        <v>155</v>
      </c>
      <c r="V50">
        <v>1.5</v>
      </c>
      <c r="W50" s="3">
        <f>U50*V50</f>
        <v>232.5</v>
      </c>
      <c r="X50" s="12">
        <f>W50/T50</f>
        <v>1.6171921787717269E-2</v>
      </c>
    </row>
    <row r="51" spans="1:24" x14ac:dyDescent="0.25">
      <c r="A51">
        <f>A50+1</f>
        <v>2</v>
      </c>
      <c r="B51" s="20">
        <f>$B$47+B50</f>
        <v>20000</v>
      </c>
      <c r="C51" s="20">
        <f>B50*$E$47</f>
        <v>60</v>
      </c>
      <c r="D51" s="20">
        <f>C51</f>
        <v>60</v>
      </c>
      <c r="E51" s="20">
        <f>B51+D51</f>
        <v>20060</v>
      </c>
      <c r="I51" s="20"/>
      <c r="Q51" s="20"/>
      <c r="R51" s="20"/>
      <c r="S51" t="s">
        <v>180</v>
      </c>
      <c r="T51" s="3">
        <v>4123.04</v>
      </c>
      <c r="U51" s="119">
        <v>96</v>
      </c>
      <c r="V51">
        <v>0.2</v>
      </c>
      <c r="W51" s="3">
        <f>U51*V51</f>
        <v>19.200000000000003</v>
      </c>
      <c r="X51" s="12">
        <f>W51/T51</f>
        <v>4.6567581202219726E-3</v>
      </c>
    </row>
    <row r="52" spans="1:24" x14ac:dyDescent="0.25">
      <c r="A52">
        <f t="shared" ref="A52:A73" si="37">A51+1</f>
        <v>3</v>
      </c>
      <c r="B52" s="20">
        <f>$B$47+B51</f>
        <v>30000</v>
      </c>
      <c r="C52" s="20">
        <f>B51*$E$47</f>
        <v>120</v>
      </c>
      <c r="D52" s="20">
        <f>D51+C52</f>
        <v>180</v>
      </c>
      <c r="E52" s="20">
        <f>B52+D52</f>
        <v>30180</v>
      </c>
      <c r="I52" s="20"/>
      <c r="Q52" s="20"/>
      <c r="R52" s="20"/>
      <c r="S52" t="s">
        <v>184</v>
      </c>
      <c r="T52" s="3">
        <v>13048.12</v>
      </c>
      <c r="U52" s="119">
        <v>190</v>
      </c>
      <c r="V52">
        <v>1.92</v>
      </c>
      <c r="W52" s="3">
        <f>U52*V52</f>
        <v>364.8</v>
      </c>
      <c r="X52" s="12">
        <f t="shared" ref="X52:X56" si="38">W52/T52</f>
        <v>2.7958050661704519E-2</v>
      </c>
    </row>
    <row r="53" spans="1:24" x14ac:dyDescent="0.25">
      <c r="A53">
        <f t="shared" si="37"/>
        <v>4</v>
      </c>
      <c r="B53" s="20">
        <f t="shared" ref="B53:B116" si="39">$B$47+B52</f>
        <v>40000</v>
      </c>
      <c r="C53" s="20">
        <f t="shared" ref="C53:C116" si="40">B52*$E$47</f>
        <v>180</v>
      </c>
      <c r="D53" s="20">
        <f t="shared" ref="D53:D116" si="41">D52+C53</f>
        <v>360</v>
      </c>
      <c r="E53" s="20">
        <f t="shared" ref="E53:E116" si="42">B53+D53</f>
        <v>40360</v>
      </c>
      <c r="I53" s="20"/>
      <c r="Q53" s="20"/>
      <c r="R53" s="20"/>
      <c r="S53" t="s">
        <v>234</v>
      </c>
      <c r="T53" s="3">
        <v>4918.8</v>
      </c>
      <c r="U53" s="119">
        <v>40</v>
      </c>
      <c r="V53">
        <v>0.66</v>
      </c>
      <c r="W53" s="3">
        <f t="shared" ref="W53:W56" si="43">U53*V53</f>
        <v>26.400000000000002</v>
      </c>
      <c r="X53" s="12">
        <f t="shared" si="38"/>
        <v>5.3671627226152723E-3</v>
      </c>
    </row>
    <row r="54" spans="1:24" x14ac:dyDescent="0.25">
      <c r="A54">
        <f t="shared" si="37"/>
        <v>5</v>
      </c>
      <c r="B54" s="20">
        <f t="shared" si="39"/>
        <v>50000</v>
      </c>
      <c r="C54" s="20">
        <f t="shared" si="40"/>
        <v>240</v>
      </c>
      <c r="D54" s="20">
        <f t="shared" si="41"/>
        <v>600</v>
      </c>
      <c r="E54" s="20">
        <f t="shared" si="42"/>
        <v>50600</v>
      </c>
      <c r="I54" s="20"/>
      <c r="Q54" s="20"/>
      <c r="R54" s="20"/>
      <c r="S54" t="s">
        <v>267</v>
      </c>
      <c r="T54" s="3">
        <v>3200.42</v>
      </c>
      <c r="U54" s="119">
        <v>30</v>
      </c>
      <c r="V54">
        <v>0.74</v>
      </c>
      <c r="W54" s="3">
        <f t="shared" si="43"/>
        <v>22.2</v>
      </c>
      <c r="X54" s="12">
        <f t="shared" si="38"/>
        <v>6.9365895726185931E-3</v>
      </c>
    </row>
    <row r="55" spans="1:24" x14ac:dyDescent="0.25">
      <c r="A55">
        <f t="shared" si="37"/>
        <v>6</v>
      </c>
      <c r="B55" s="20">
        <f t="shared" si="39"/>
        <v>60000</v>
      </c>
      <c r="C55" s="20">
        <f t="shared" si="40"/>
        <v>300</v>
      </c>
      <c r="D55" s="20">
        <f t="shared" si="41"/>
        <v>900</v>
      </c>
      <c r="E55" s="20">
        <f t="shared" si="42"/>
        <v>60900</v>
      </c>
      <c r="I55" s="20"/>
      <c r="Q55" s="20"/>
      <c r="R55" s="20"/>
      <c r="S55" t="s">
        <v>276</v>
      </c>
      <c r="T55" s="3">
        <v>1495.42</v>
      </c>
      <c r="U55" s="119">
        <v>10</v>
      </c>
      <c r="V55">
        <v>0.47</v>
      </c>
      <c r="W55" s="3">
        <f t="shared" si="43"/>
        <v>4.6999999999999993</v>
      </c>
      <c r="X55" s="12">
        <f t="shared" si="38"/>
        <v>3.1429297454895607E-3</v>
      </c>
    </row>
    <row r="56" spans="1:24" x14ac:dyDescent="0.25">
      <c r="A56">
        <f t="shared" si="37"/>
        <v>7</v>
      </c>
      <c r="B56" s="20">
        <f t="shared" si="39"/>
        <v>70000</v>
      </c>
      <c r="C56" s="20">
        <f t="shared" si="40"/>
        <v>360</v>
      </c>
      <c r="D56" s="20">
        <f t="shared" si="41"/>
        <v>1260</v>
      </c>
      <c r="E56" s="20">
        <f t="shared" si="42"/>
        <v>71260</v>
      </c>
      <c r="I56" s="20"/>
      <c r="Q56" s="20"/>
      <c r="R56" s="20"/>
      <c r="S56" t="s">
        <v>377</v>
      </c>
      <c r="T56" s="3">
        <v>2601.2399999999998</v>
      </c>
      <c r="U56" s="119">
        <v>25</v>
      </c>
      <c r="V56">
        <v>0.34</v>
      </c>
      <c r="W56" s="3">
        <f t="shared" si="43"/>
        <v>8.5</v>
      </c>
      <c r="X56" s="12">
        <f t="shared" si="38"/>
        <v>3.2676723408835789E-3</v>
      </c>
    </row>
    <row r="57" spans="1:24" x14ac:dyDescent="0.25">
      <c r="A57">
        <f t="shared" si="37"/>
        <v>8</v>
      </c>
      <c r="B57" s="20">
        <f t="shared" si="39"/>
        <v>80000</v>
      </c>
      <c r="C57" s="20">
        <f t="shared" si="40"/>
        <v>420</v>
      </c>
      <c r="D57" s="20">
        <f t="shared" si="41"/>
        <v>1680</v>
      </c>
      <c r="E57" s="20">
        <f t="shared" si="42"/>
        <v>81680</v>
      </c>
      <c r="I57" s="20"/>
      <c r="Q57" s="20"/>
      <c r="R57" s="20"/>
      <c r="S57" t="s">
        <v>221</v>
      </c>
      <c r="T57" s="3">
        <v>15586.23</v>
      </c>
      <c r="U57" s="119">
        <v>1442</v>
      </c>
      <c r="V57">
        <v>0.13</v>
      </c>
      <c r="W57" s="3">
        <f t="shared" ref="W57:W58" si="44">U57*V57</f>
        <v>187.46</v>
      </c>
      <c r="X57" s="12">
        <f t="shared" ref="X57:X58" si="45">W57/T57</f>
        <v>1.2027283056903435E-2</v>
      </c>
    </row>
    <row r="58" spans="1:24" x14ac:dyDescent="0.25">
      <c r="A58">
        <f t="shared" si="37"/>
        <v>9</v>
      </c>
      <c r="B58" s="20">
        <f t="shared" si="39"/>
        <v>90000</v>
      </c>
      <c r="C58" s="20">
        <f t="shared" si="40"/>
        <v>480</v>
      </c>
      <c r="D58" s="20">
        <f t="shared" si="41"/>
        <v>2160</v>
      </c>
      <c r="E58" s="20">
        <f t="shared" si="42"/>
        <v>92160</v>
      </c>
      <c r="I58" s="20"/>
      <c r="Q58" s="20"/>
      <c r="R58" s="20"/>
      <c r="S58" t="s">
        <v>383</v>
      </c>
      <c r="T58" s="3">
        <v>2883.91</v>
      </c>
      <c r="U58" s="119">
        <v>30</v>
      </c>
      <c r="V58">
        <v>0.55000000000000004</v>
      </c>
      <c r="W58" s="3">
        <f t="shared" si="44"/>
        <v>16.5</v>
      </c>
      <c r="X58" s="12">
        <f t="shared" si="45"/>
        <v>5.7213990727865991E-3</v>
      </c>
    </row>
    <row r="59" spans="1:24" x14ac:dyDescent="0.25">
      <c r="A59">
        <f t="shared" si="37"/>
        <v>10</v>
      </c>
      <c r="B59" s="20">
        <f t="shared" si="39"/>
        <v>100000</v>
      </c>
      <c r="C59" s="20">
        <f t="shared" si="40"/>
        <v>540</v>
      </c>
      <c r="D59" s="20">
        <f t="shared" si="41"/>
        <v>2700</v>
      </c>
      <c r="E59" s="20">
        <f t="shared" si="42"/>
        <v>102700</v>
      </c>
      <c r="I59" s="20"/>
      <c r="Q59" s="20"/>
      <c r="R59" s="20"/>
      <c r="S59" t="s">
        <v>183</v>
      </c>
      <c r="T59" s="3">
        <v>3582.9</v>
      </c>
      <c r="U59" s="119">
        <v>75</v>
      </c>
      <c r="V59">
        <v>0.31</v>
      </c>
      <c r="W59" s="3">
        <f t="shared" ref="W59:W66" si="46">U59*V59</f>
        <v>23.25</v>
      </c>
      <c r="X59" s="12">
        <f t="shared" ref="X59:X66" si="47">W59/T59</f>
        <v>6.4891568282676041E-3</v>
      </c>
    </row>
    <row r="60" spans="1:24" x14ac:dyDescent="0.25">
      <c r="A60">
        <f t="shared" si="37"/>
        <v>11</v>
      </c>
      <c r="B60" s="20">
        <f t="shared" si="39"/>
        <v>110000</v>
      </c>
      <c r="C60" s="20">
        <f t="shared" si="40"/>
        <v>600</v>
      </c>
      <c r="D60" s="20">
        <f t="shared" si="41"/>
        <v>3300</v>
      </c>
      <c r="E60" s="20">
        <f t="shared" si="42"/>
        <v>113300</v>
      </c>
      <c r="I60" s="20"/>
      <c r="Q60" s="20"/>
      <c r="R60" s="20"/>
      <c r="S60" t="s">
        <v>220</v>
      </c>
      <c r="T60" s="3">
        <v>4034.85</v>
      </c>
      <c r="U60" s="119">
        <v>40</v>
      </c>
      <c r="V60">
        <v>0.55000000000000004</v>
      </c>
      <c r="W60" s="3">
        <f t="shared" si="46"/>
        <v>22</v>
      </c>
      <c r="X60" s="12">
        <f t="shared" si="47"/>
        <v>5.452495136126498E-3</v>
      </c>
    </row>
    <row r="61" spans="1:24" x14ac:dyDescent="0.25">
      <c r="A61">
        <f t="shared" si="37"/>
        <v>12</v>
      </c>
      <c r="B61" s="20">
        <f t="shared" si="39"/>
        <v>120000</v>
      </c>
      <c r="C61" s="20">
        <f t="shared" si="40"/>
        <v>660</v>
      </c>
      <c r="D61" s="20">
        <f t="shared" si="41"/>
        <v>3960</v>
      </c>
      <c r="E61" s="20">
        <f t="shared" si="42"/>
        <v>123960</v>
      </c>
      <c r="G61" t="s">
        <v>206</v>
      </c>
      <c r="I61" s="20"/>
      <c r="L61" s="12"/>
      <c r="M61" s="12"/>
      <c r="Q61" s="20"/>
      <c r="R61" s="20"/>
      <c r="S61" t="s">
        <v>181</v>
      </c>
      <c r="T61" s="3">
        <v>8800.75</v>
      </c>
      <c r="U61" s="119">
        <v>105</v>
      </c>
      <c r="V61">
        <v>0.56999999999999995</v>
      </c>
      <c r="W61" s="3">
        <f t="shared" si="46"/>
        <v>59.849999999999994</v>
      </c>
      <c r="X61" s="12">
        <f t="shared" si="47"/>
        <v>6.8005567707297666E-3</v>
      </c>
    </row>
    <row r="62" spans="1:24" x14ac:dyDescent="0.25">
      <c r="A62">
        <f t="shared" si="37"/>
        <v>13</v>
      </c>
      <c r="B62" s="20">
        <f t="shared" si="39"/>
        <v>130000</v>
      </c>
      <c r="C62" s="20">
        <f t="shared" si="40"/>
        <v>720</v>
      </c>
      <c r="D62" s="20">
        <f t="shared" si="41"/>
        <v>4680</v>
      </c>
      <c r="E62" s="20">
        <f t="shared" si="42"/>
        <v>134680</v>
      </c>
      <c r="I62" s="20"/>
      <c r="Q62" s="20"/>
      <c r="R62" s="20"/>
      <c r="S62" t="s">
        <v>186</v>
      </c>
      <c r="T62" s="3">
        <v>6241.73</v>
      </c>
      <c r="U62" s="119">
        <v>100</v>
      </c>
      <c r="V62">
        <v>0.73</v>
      </c>
      <c r="W62" s="3">
        <f t="shared" si="46"/>
        <v>73</v>
      </c>
      <c r="X62" s="12">
        <f t="shared" si="47"/>
        <v>1.1695475453119568E-2</v>
      </c>
    </row>
    <row r="63" spans="1:24" x14ac:dyDescent="0.25">
      <c r="A63">
        <f t="shared" si="37"/>
        <v>14</v>
      </c>
      <c r="B63" s="20">
        <f t="shared" si="39"/>
        <v>140000</v>
      </c>
      <c r="C63" s="20">
        <f t="shared" si="40"/>
        <v>780</v>
      </c>
      <c r="D63" s="20">
        <f t="shared" si="41"/>
        <v>5460</v>
      </c>
      <c r="E63" s="20">
        <f t="shared" si="42"/>
        <v>145460</v>
      </c>
      <c r="I63" s="20"/>
      <c r="Q63" s="20"/>
      <c r="R63" s="20"/>
      <c r="S63" t="s">
        <v>355</v>
      </c>
      <c r="T63" s="3">
        <v>3097.48</v>
      </c>
      <c r="U63" s="119">
        <v>95</v>
      </c>
      <c r="V63">
        <v>0.6</v>
      </c>
      <c r="W63" s="3">
        <f t="shared" si="46"/>
        <v>57</v>
      </c>
      <c r="X63" s="12">
        <f t="shared" si="47"/>
        <v>1.8402055864767487E-2</v>
      </c>
    </row>
    <row r="64" spans="1:24" x14ac:dyDescent="0.25">
      <c r="A64">
        <f t="shared" si="37"/>
        <v>15</v>
      </c>
      <c r="B64" s="20">
        <f t="shared" si="39"/>
        <v>150000</v>
      </c>
      <c r="C64" s="20">
        <f t="shared" si="40"/>
        <v>840</v>
      </c>
      <c r="D64" s="20">
        <f t="shared" si="41"/>
        <v>6300</v>
      </c>
      <c r="E64" s="20">
        <f t="shared" si="42"/>
        <v>156300</v>
      </c>
      <c r="I64" s="20"/>
      <c r="Q64" s="20"/>
      <c r="R64" s="20"/>
      <c r="S64" t="s">
        <v>169</v>
      </c>
      <c r="T64" s="3">
        <v>14502.95</v>
      </c>
      <c r="U64" s="119">
        <v>145</v>
      </c>
      <c r="V64">
        <v>0.77</v>
      </c>
      <c r="W64" s="3">
        <f t="shared" si="46"/>
        <v>111.65</v>
      </c>
      <c r="X64" s="12">
        <f t="shared" si="47"/>
        <v>7.6984337669232811E-3</v>
      </c>
    </row>
    <row r="65" spans="1:24" x14ac:dyDescent="0.25">
      <c r="A65">
        <f t="shared" si="37"/>
        <v>16</v>
      </c>
      <c r="B65" s="20">
        <f t="shared" si="39"/>
        <v>160000</v>
      </c>
      <c r="C65" s="20">
        <f t="shared" si="40"/>
        <v>900</v>
      </c>
      <c r="D65" s="20">
        <f t="shared" si="41"/>
        <v>7200</v>
      </c>
      <c r="E65" s="20">
        <f t="shared" si="42"/>
        <v>167200</v>
      </c>
      <c r="I65" s="20"/>
      <c r="Q65" s="20"/>
      <c r="R65" s="20"/>
      <c r="S65" t="s">
        <v>217</v>
      </c>
      <c r="T65" s="3">
        <v>15125.58</v>
      </c>
      <c r="U65" s="119">
        <v>153</v>
      </c>
      <c r="V65">
        <v>0.64</v>
      </c>
      <c r="W65" s="3">
        <f t="shared" si="46"/>
        <v>97.92</v>
      </c>
      <c r="X65" s="12">
        <f t="shared" si="47"/>
        <v>6.4738013352215254E-3</v>
      </c>
    </row>
    <row r="66" spans="1:24" x14ac:dyDescent="0.25">
      <c r="A66">
        <f t="shared" si="37"/>
        <v>17</v>
      </c>
      <c r="B66" s="20">
        <f t="shared" si="39"/>
        <v>170000</v>
      </c>
      <c r="C66" s="20">
        <f t="shared" si="40"/>
        <v>960</v>
      </c>
      <c r="D66" s="20">
        <f t="shared" si="41"/>
        <v>8160</v>
      </c>
      <c r="E66" s="20">
        <f t="shared" si="42"/>
        <v>178160</v>
      </c>
      <c r="I66" s="20"/>
      <c r="Q66" s="20"/>
      <c r="R66" s="20"/>
      <c r="S66" t="s">
        <v>270</v>
      </c>
      <c r="T66" s="3">
        <v>7672.01</v>
      </c>
      <c r="U66" s="119">
        <v>72</v>
      </c>
      <c r="V66">
        <v>0.59</v>
      </c>
      <c r="W66" s="3">
        <f t="shared" si="46"/>
        <v>42.48</v>
      </c>
      <c r="X66" s="12">
        <f t="shared" si="47"/>
        <v>5.5370105096317649E-3</v>
      </c>
    </row>
    <row r="67" spans="1:24" x14ac:dyDescent="0.25">
      <c r="A67">
        <f t="shared" si="37"/>
        <v>18</v>
      </c>
      <c r="B67" s="20">
        <f t="shared" si="39"/>
        <v>180000</v>
      </c>
      <c r="C67" s="20">
        <f t="shared" si="40"/>
        <v>1020</v>
      </c>
      <c r="D67" s="20">
        <f t="shared" si="41"/>
        <v>9180</v>
      </c>
      <c r="E67" s="20">
        <f t="shared" si="42"/>
        <v>189180</v>
      </c>
      <c r="I67" s="20"/>
      <c r="Q67" s="20"/>
      <c r="R67" s="20"/>
      <c r="S67" s="20"/>
      <c r="T67" s="20"/>
      <c r="U67" s="20"/>
    </row>
    <row r="68" spans="1:24" x14ac:dyDescent="0.25">
      <c r="A68">
        <f t="shared" si="37"/>
        <v>19</v>
      </c>
      <c r="B68" s="20">
        <f t="shared" si="39"/>
        <v>190000</v>
      </c>
      <c r="C68" s="20">
        <f t="shared" si="40"/>
        <v>1080</v>
      </c>
      <c r="D68" s="20">
        <f t="shared" si="41"/>
        <v>10260</v>
      </c>
      <c r="E68" s="20">
        <f t="shared" si="42"/>
        <v>200260</v>
      </c>
      <c r="I68" s="20"/>
      <c r="Q68" s="20"/>
      <c r="R68" s="20"/>
      <c r="S68" s="20"/>
      <c r="T68" s="20">
        <f>SUM(T49:T66)</f>
        <v>170827.59000000003</v>
      </c>
      <c r="U68" s="20"/>
      <c r="W68" s="3">
        <f>SUM(W51:W66)</f>
        <v>1136.9100000000001</v>
      </c>
      <c r="X68" s="12">
        <f>W68/T68</f>
        <v>6.6553066749931904E-3</v>
      </c>
    </row>
    <row r="69" spans="1:24" x14ac:dyDescent="0.25">
      <c r="A69">
        <f t="shared" si="37"/>
        <v>20</v>
      </c>
      <c r="B69" s="20">
        <f t="shared" si="39"/>
        <v>200000</v>
      </c>
      <c r="C69" s="20">
        <f t="shared" si="40"/>
        <v>1140</v>
      </c>
      <c r="D69" s="20">
        <f t="shared" si="41"/>
        <v>11400</v>
      </c>
      <c r="E69" s="20">
        <f t="shared" si="42"/>
        <v>211400</v>
      </c>
      <c r="I69" s="20"/>
      <c r="Q69" s="20"/>
      <c r="R69" s="20"/>
      <c r="S69" s="20"/>
      <c r="T69" s="20"/>
      <c r="U69" s="20"/>
    </row>
    <row r="70" spans="1:24" x14ac:dyDescent="0.25">
      <c r="A70">
        <f t="shared" si="37"/>
        <v>21</v>
      </c>
      <c r="B70" s="20">
        <f t="shared" si="39"/>
        <v>210000</v>
      </c>
      <c r="C70" s="20">
        <f t="shared" si="40"/>
        <v>1200</v>
      </c>
      <c r="D70" s="20">
        <f t="shared" si="41"/>
        <v>12600</v>
      </c>
      <c r="E70" s="20">
        <f t="shared" si="42"/>
        <v>222600</v>
      </c>
      <c r="I70" s="20"/>
      <c r="Q70" s="20"/>
      <c r="R70" s="20"/>
      <c r="S70" s="20"/>
      <c r="T70" s="20"/>
      <c r="U70" s="20"/>
    </row>
    <row r="71" spans="1:24" x14ac:dyDescent="0.25">
      <c r="A71">
        <f t="shared" si="37"/>
        <v>22</v>
      </c>
      <c r="B71" s="20">
        <f t="shared" si="39"/>
        <v>220000</v>
      </c>
      <c r="C71" s="20">
        <f t="shared" si="40"/>
        <v>1260</v>
      </c>
      <c r="D71" s="20">
        <f t="shared" si="41"/>
        <v>13860</v>
      </c>
      <c r="E71" s="20">
        <f t="shared" si="42"/>
        <v>233860</v>
      </c>
      <c r="I71" s="20"/>
      <c r="Q71" s="20"/>
      <c r="R71" s="20"/>
      <c r="S71" s="20"/>
      <c r="T71" s="20"/>
      <c r="U71" s="20"/>
    </row>
    <row r="72" spans="1:24" x14ac:dyDescent="0.25">
      <c r="A72">
        <f t="shared" si="37"/>
        <v>23</v>
      </c>
      <c r="B72" s="20">
        <f t="shared" si="39"/>
        <v>230000</v>
      </c>
      <c r="C72" s="20">
        <f t="shared" si="40"/>
        <v>1320</v>
      </c>
      <c r="D72" s="20">
        <f t="shared" si="41"/>
        <v>15180</v>
      </c>
      <c r="E72" s="20">
        <f t="shared" si="42"/>
        <v>245180</v>
      </c>
      <c r="I72" s="20"/>
      <c r="Q72" s="20"/>
      <c r="R72" s="20"/>
      <c r="S72" s="20"/>
      <c r="T72" s="20"/>
      <c r="U72" s="20"/>
    </row>
    <row r="73" spans="1:24" x14ac:dyDescent="0.25">
      <c r="A73">
        <f t="shared" si="37"/>
        <v>24</v>
      </c>
      <c r="B73" s="20">
        <f t="shared" si="39"/>
        <v>240000</v>
      </c>
      <c r="C73" s="20">
        <f t="shared" si="40"/>
        <v>1380</v>
      </c>
      <c r="D73" s="20">
        <f t="shared" si="41"/>
        <v>16560</v>
      </c>
      <c r="E73" s="20">
        <f t="shared" si="42"/>
        <v>256560</v>
      </c>
      <c r="G73" t="s">
        <v>207</v>
      </c>
      <c r="I73" s="20"/>
      <c r="L73" s="12"/>
      <c r="Q73" s="20"/>
      <c r="R73" s="20"/>
      <c r="S73" s="20"/>
      <c r="T73" s="20"/>
      <c r="U73" s="20"/>
    </row>
    <row r="74" spans="1:24" x14ac:dyDescent="0.25">
      <c r="A74">
        <f t="shared" ref="A74:A96" si="48">A73+1</f>
        <v>25</v>
      </c>
      <c r="B74" s="20">
        <f t="shared" si="39"/>
        <v>250000</v>
      </c>
      <c r="C74" s="20">
        <f t="shared" si="40"/>
        <v>1440</v>
      </c>
      <c r="D74" s="20">
        <f t="shared" si="41"/>
        <v>18000</v>
      </c>
      <c r="E74" s="20">
        <f t="shared" si="42"/>
        <v>268000</v>
      </c>
      <c r="I74" s="20"/>
      <c r="Q74" s="20"/>
      <c r="R74" s="20"/>
      <c r="S74" s="20"/>
      <c r="T74" s="20"/>
      <c r="U74" s="20"/>
    </row>
    <row r="75" spans="1:24" x14ac:dyDescent="0.25">
      <c r="A75">
        <f t="shared" si="48"/>
        <v>26</v>
      </c>
      <c r="B75" s="20">
        <f t="shared" si="39"/>
        <v>260000</v>
      </c>
      <c r="C75" s="20">
        <f t="shared" si="40"/>
        <v>1500</v>
      </c>
      <c r="D75" s="20">
        <f t="shared" si="41"/>
        <v>19500</v>
      </c>
      <c r="E75" s="20">
        <f t="shared" si="42"/>
        <v>279500</v>
      </c>
      <c r="I75" s="20"/>
      <c r="Q75" s="20"/>
      <c r="R75" s="20"/>
      <c r="S75" s="20"/>
      <c r="T75" s="20"/>
      <c r="U75" s="20"/>
    </row>
    <row r="76" spans="1:24" x14ac:dyDescent="0.25">
      <c r="A76">
        <f t="shared" si="48"/>
        <v>27</v>
      </c>
      <c r="B76" s="20">
        <f t="shared" si="39"/>
        <v>270000</v>
      </c>
      <c r="C76" s="20">
        <f t="shared" si="40"/>
        <v>1560</v>
      </c>
      <c r="D76" s="20">
        <f t="shared" si="41"/>
        <v>21060</v>
      </c>
      <c r="E76" s="20">
        <f t="shared" si="42"/>
        <v>291060</v>
      </c>
      <c r="I76" s="20"/>
      <c r="Q76" s="20"/>
      <c r="R76" s="20"/>
      <c r="S76" s="20"/>
      <c r="T76" s="20"/>
      <c r="U76" s="20"/>
    </row>
    <row r="77" spans="1:24" x14ac:dyDescent="0.25">
      <c r="A77">
        <f t="shared" si="48"/>
        <v>28</v>
      </c>
      <c r="B77" s="20">
        <f t="shared" si="39"/>
        <v>280000</v>
      </c>
      <c r="C77" s="20">
        <f t="shared" si="40"/>
        <v>1620</v>
      </c>
      <c r="D77" s="20">
        <f t="shared" si="41"/>
        <v>22680</v>
      </c>
      <c r="E77" s="20">
        <f t="shared" si="42"/>
        <v>302680</v>
      </c>
      <c r="I77" s="20"/>
      <c r="Q77" s="20"/>
      <c r="R77" s="20"/>
      <c r="S77" s="20"/>
      <c r="T77" s="20"/>
      <c r="U77" s="20"/>
    </row>
    <row r="78" spans="1:24" x14ac:dyDescent="0.25">
      <c r="A78">
        <f t="shared" si="48"/>
        <v>29</v>
      </c>
      <c r="B78" s="20">
        <f t="shared" si="39"/>
        <v>290000</v>
      </c>
      <c r="C78" s="20">
        <f t="shared" si="40"/>
        <v>1680</v>
      </c>
      <c r="D78" s="20">
        <f t="shared" si="41"/>
        <v>24360</v>
      </c>
      <c r="E78" s="20">
        <f t="shared" si="42"/>
        <v>314360</v>
      </c>
      <c r="I78" s="20"/>
      <c r="Q78" s="20"/>
      <c r="R78" s="20"/>
      <c r="S78" s="20"/>
      <c r="T78" s="20"/>
      <c r="U78" s="20"/>
    </row>
    <row r="79" spans="1:24" x14ac:dyDescent="0.25">
      <c r="A79">
        <f t="shared" si="48"/>
        <v>30</v>
      </c>
      <c r="B79" s="20">
        <f t="shared" si="39"/>
        <v>300000</v>
      </c>
      <c r="C79" s="20">
        <f t="shared" si="40"/>
        <v>1740</v>
      </c>
      <c r="D79" s="20">
        <f t="shared" si="41"/>
        <v>26100</v>
      </c>
      <c r="E79" s="20">
        <f t="shared" si="42"/>
        <v>326100</v>
      </c>
      <c r="I79" s="20"/>
      <c r="Q79" s="20"/>
      <c r="R79" s="20"/>
      <c r="S79" s="20"/>
      <c r="T79" s="20"/>
    </row>
    <row r="80" spans="1:24" x14ac:dyDescent="0.25">
      <c r="A80">
        <f t="shared" si="48"/>
        <v>31</v>
      </c>
      <c r="B80" s="20">
        <f t="shared" si="39"/>
        <v>310000</v>
      </c>
      <c r="C80" s="20">
        <f t="shared" si="40"/>
        <v>1800</v>
      </c>
      <c r="D80" s="20">
        <f t="shared" si="41"/>
        <v>27900</v>
      </c>
      <c r="E80" s="20">
        <f t="shared" si="42"/>
        <v>337900</v>
      </c>
      <c r="I80" s="20"/>
      <c r="Q80" s="20"/>
      <c r="R80" s="20"/>
      <c r="S80" s="20"/>
      <c r="T80" s="20"/>
    </row>
    <row r="81" spans="1:20" x14ac:dyDescent="0.25">
      <c r="A81">
        <f t="shared" si="48"/>
        <v>32</v>
      </c>
      <c r="B81" s="20">
        <f t="shared" si="39"/>
        <v>320000</v>
      </c>
      <c r="C81" s="20">
        <f t="shared" si="40"/>
        <v>1860</v>
      </c>
      <c r="D81" s="20">
        <f t="shared" si="41"/>
        <v>29760</v>
      </c>
      <c r="E81" s="20">
        <f t="shared" si="42"/>
        <v>349760</v>
      </c>
      <c r="I81" s="20"/>
      <c r="Q81" s="20"/>
      <c r="R81" s="20"/>
      <c r="S81" s="20"/>
      <c r="T81" s="20"/>
    </row>
    <row r="82" spans="1:20" x14ac:dyDescent="0.25">
      <c r="A82">
        <f t="shared" si="48"/>
        <v>33</v>
      </c>
      <c r="B82" s="20">
        <f t="shared" si="39"/>
        <v>330000</v>
      </c>
      <c r="C82" s="20">
        <f t="shared" si="40"/>
        <v>1920</v>
      </c>
      <c r="D82" s="20">
        <f t="shared" si="41"/>
        <v>31680</v>
      </c>
      <c r="E82" s="20">
        <f t="shared" si="42"/>
        <v>361680</v>
      </c>
      <c r="I82" s="20"/>
      <c r="Q82" s="20"/>
      <c r="R82" s="20"/>
      <c r="S82" s="20"/>
      <c r="T82" s="20"/>
    </row>
    <row r="83" spans="1:20" x14ac:dyDescent="0.25">
      <c r="A83">
        <f t="shared" si="48"/>
        <v>34</v>
      </c>
      <c r="B83" s="20">
        <f t="shared" si="39"/>
        <v>340000</v>
      </c>
      <c r="C83" s="20">
        <f t="shared" si="40"/>
        <v>1980</v>
      </c>
      <c r="D83" s="20">
        <f t="shared" si="41"/>
        <v>33660</v>
      </c>
      <c r="E83" s="20">
        <f t="shared" si="42"/>
        <v>373660</v>
      </c>
      <c r="I83" s="20"/>
      <c r="Q83" s="20"/>
      <c r="R83" s="20"/>
      <c r="S83" s="20"/>
      <c r="T83" s="20"/>
    </row>
    <row r="84" spans="1:20" x14ac:dyDescent="0.25">
      <c r="A84">
        <f t="shared" si="48"/>
        <v>35</v>
      </c>
      <c r="B84" s="20">
        <f t="shared" si="39"/>
        <v>350000</v>
      </c>
      <c r="C84" s="20">
        <f t="shared" si="40"/>
        <v>2040</v>
      </c>
      <c r="D84" s="20">
        <f t="shared" si="41"/>
        <v>35700</v>
      </c>
      <c r="E84" s="20">
        <f t="shared" si="42"/>
        <v>385700</v>
      </c>
      <c r="I84" s="20"/>
      <c r="Q84" s="20"/>
      <c r="R84" s="20"/>
      <c r="S84" s="20"/>
      <c r="T84" s="20"/>
    </row>
    <row r="85" spans="1:20" x14ac:dyDescent="0.25">
      <c r="A85">
        <f t="shared" si="48"/>
        <v>36</v>
      </c>
      <c r="B85" s="20">
        <f t="shared" si="39"/>
        <v>360000</v>
      </c>
      <c r="C85" s="20">
        <f t="shared" si="40"/>
        <v>2100</v>
      </c>
      <c r="D85" s="20">
        <f t="shared" si="41"/>
        <v>37800</v>
      </c>
      <c r="E85" s="20">
        <f t="shared" si="42"/>
        <v>397800</v>
      </c>
      <c r="G85" t="s">
        <v>208</v>
      </c>
      <c r="I85" s="20"/>
      <c r="L85" s="12"/>
      <c r="Q85" s="20"/>
      <c r="R85" s="20"/>
      <c r="S85" s="20"/>
      <c r="T85" s="20"/>
    </row>
    <row r="86" spans="1:20" x14ac:dyDescent="0.25">
      <c r="A86">
        <f t="shared" si="48"/>
        <v>37</v>
      </c>
      <c r="B86" s="20">
        <f t="shared" si="39"/>
        <v>370000</v>
      </c>
      <c r="C86" s="20">
        <f t="shared" si="40"/>
        <v>2160</v>
      </c>
      <c r="D86" s="20">
        <f t="shared" si="41"/>
        <v>39960</v>
      </c>
      <c r="E86" s="20">
        <f t="shared" si="42"/>
        <v>409960</v>
      </c>
      <c r="I86" s="20"/>
      <c r="Q86" s="20"/>
      <c r="R86" s="20"/>
      <c r="S86" s="20"/>
      <c r="T86" s="20"/>
    </row>
    <row r="87" spans="1:20" x14ac:dyDescent="0.25">
      <c r="A87">
        <f t="shared" si="48"/>
        <v>38</v>
      </c>
      <c r="B87" s="20">
        <f t="shared" si="39"/>
        <v>380000</v>
      </c>
      <c r="C87" s="20">
        <f t="shared" si="40"/>
        <v>2220</v>
      </c>
      <c r="D87" s="20">
        <f t="shared" si="41"/>
        <v>42180</v>
      </c>
      <c r="E87" s="20">
        <f t="shared" si="42"/>
        <v>422180</v>
      </c>
      <c r="I87" s="20"/>
      <c r="Q87" s="20"/>
      <c r="R87" s="20"/>
      <c r="S87" s="20"/>
      <c r="T87" s="20"/>
    </row>
    <row r="88" spans="1:20" x14ac:dyDescent="0.25">
      <c r="A88">
        <f t="shared" si="48"/>
        <v>39</v>
      </c>
      <c r="B88" s="20">
        <f t="shared" si="39"/>
        <v>390000</v>
      </c>
      <c r="C88" s="20">
        <f t="shared" si="40"/>
        <v>2280</v>
      </c>
      <c r="D88" s="20">
        <f t="shared" si="41"/>
        <v>44460</v>
      </c>
      <c r="E88" s="20">
        <f t="shared" si="42"/>
        <v>434460</v>
      </c>
      <c r="I88" s="20"/>
      <c r="Q88" s="20"/>
      <c r="R88" s="20"/>
      <c r="S88" s="20"/>
      <c r="T88" s="20"/>
    </row>
    <row r="89" spans="1:20" x14ac:dyDescent="0.25">
      <c r="A89">
        <f t="shared" si="48"/>
        <v>40</v>
      </c>
      <c r="B89" s="20">
        <f t="shared" si="39"/>
        <v>400000</v>
      </c>
      <c r="C89" s="20">
        <f t="shared" si="40"/>
        <v>2340</v>
      </c>
      <c r="D89" s="20">
        <f t="shared" si="41"/>
        <v>46800</v>
      </c>
      <c r="E89" s="20">
        <f t="shared" si="42"/>
        <v>446800</v>
      </c>
      <c r="I89" s="20"/>
      <c r="Q89" s="20"/>
      <c r="R89" s="20"/>
      <c r="S89" s="20"/>
      <c r="T89" s="20"/>
    </row>
    <row r="90" spans="1:20" x14ac:dyDescent="0.25">
      <c r="A90">
        <f t="shared" si="48"/>
        <v>41</v>
      </c>
      <c r="B90" s="20">
        <f t="shared" si="39"/>
        <v>410000</v>
      </c>
      <c r="C90" s="20">
        <f t="shared" si="40"/>
        <v>2400</v>
      </c>
      <c r="D90" s="20">
        <f t="shared" si="41"/>
        <v>49200</v>
      </c>
      <c r="E90" s="20">
        <f t="shared" si="42"/>
        <v>459200</v>
      </c>
      <c r="I90" s="20"/>
      <c r="Q90" s="20"/>
      <c r="R90" s="20"/>
      <c r="S90" s="20"/>
      <c r="T90" s="20"/>
    </row>
    <row r="91" spans="1:20" x14ac:dyDescent="0.25">
      <c r="A91">
        <f t="shared" si="48"/>
        <v>42</v>
      </c>
      <c r="B91" s="20">
        <f t="shared" si="39"/>
        <v>420000</v>
      </c>
      <c r="C91" s="20">
        <f t="shared" si="40"/>
        <v>2460</v>
      </c>
      <c r="D91" s="20">
        <f t="shared" si="41"/>
        <v>51660</v>
      </c>
      <c r="E91" s="20">
        <f t="shared" si="42"/>
        <v>471660</v>
      </c>
      <c r="I91" s="20"/>
      <c r="Q91" s="20"/>
      <c r="R91" s="20"/>
      <c r="S91" s="20"/>
      <c r="T91" s="20"/>
    </row>
    <row r="92" spans="1:20" x14ac:dyDescent="0.25">
      <c r="A92">
        <f t="shared" si="48"/>
        <v>43</v>
      </c>
      <c r="B92" s="20">
        <f t="shared" si="39"/>
        <v>430000</v>
      </c>
      <c r="C92" s="20">
        <f t="shared" si="40"/>
        <v>2520</v>
      </c>
      <c r="D92" s="20">
        <f t="shared" si="41"/>
        <v>54180</v>
      </c>
      <c r="E92" s="20">
        <f t="shared" si="42"/>
        <v>484180</v>
      </c>
      <c r="I92" s="20"/>
      <c r="Q92" s="20"/>
      <c r="R92" s="20"/>
      <c r="S92" s="20"/>
      <c r="T92" s="20"/>
    </row>
    <row r="93" spans="1:20" x14ac:dyDescent="0.25">
      <c r="A93">
        <f t="shared" si="48"/>
        <v>44</v>
      </c>
      <c r="B93" s="20">
        <f t="shared" si="39"/>
        <v>440000</v>
      </c>
      <c r="C93" s="20">
        <f t="shared" si="40"/>
        <v>2580</v>
      </c>
      <c r="D93" s="20">
        <f t="shared" si="41"/>
        <v>56760</v>
      </c>
      <c r="E93" s="20">
        <f t="shared" si="42"/>
        <v>496760</v>
      </c>
      <c r="I93" s="20"/>
      <c r="Q93" s="20"/>
      <c r="R93" s="20"/>
      <c r="S93" s="20"/>
      <c r="T93" s="20"/>
    </row>
    <row r="94" spans="1:20" x14ac:dyDescent="0.25">
      <c r="A94">
        <f t="shared" si="48"/>
        <v>45</v>
      </c>
      <c r="B94" s="20">
        <f t="shared" si="39"/>
        <v>450000</v>
      </c>
      <c r="C94" s="20">
        <f t="shared" si="40"/>
        <v>2640</v>
      </c>
      <c r="D94" s="20">
        <f t="shared" si="41"/>
        <v>59400</v>
      </c>
      <c r="E94" s="20">
        <f t="shared" si="42"/>
        <v>509400</v>
      </c>
      <c r="I94" s="20"/>
      <c r="Q94" s="20"/>
      <c r="R94" s="20"/>
      <c r="S94" s="20"/>
      <c r="T94" s="20"/>
    </row>
    <row r="95" spans="1:20" x14ac:dyDescent="0.25">
      <c r="A95">
        <f t="shared" si="48"/>
        <v>46</v>
      </c>
      <c r="B95" s="20">
        <f t="shared" si="39"/>
        <v>460000</v>
      </c>
      <c r="C95" s="20">
        <f t="shared" si="40"/>
        <v>2700</v>
      </c>
      <c r="D95" s="20">
        <f t="shared" si="41"/>
        <v>62100</v>
      </c>
      <c r="E95" s="20">
        <f t="shared" si="42"/>
        <v>522100</v>
      </c>
      <c r="I95" s="20"/>
      <c r="Q95" s="20"/>
      <c r="R95" s="20"/>
      <c r="S95" s="20"/>
      <c r="T95" s="20"/>
    </row>
    <row r="96" spans="1:20" x14ac:dyDescent="0.25">
      <c r="A96">
        <f t="shared" si="48"/>
        <v>47</v>
      </c>
      <c r="B96" s="20">
        <f t="shared" si="39"/>
        <v>470000</v>
      </c>
      <c r="C96" s="20">
        <f t="shared" si="40"/>
        <v>2760</v>
      </c>
      <c r="D96" s="20">
        <f t="shared" si="41"/>
        <v>64860</v>
      </c>
      <c r="E96" s="20">
        <f t="shared" si="42"/>
        <v>534860</v>
      </c>
      <c r="I96" s="20"/>
      <c r="Q96" s="20"/>
      <c r="R96" s="20"/>
      <c r="S96" s="20"/>
      <c r="T96" s="20"/>
    </row>
    <row r="97" spans="1:20" x14ac:dyDescent="0.25">
      <c r="A97">
        <f t="shared" ref="A97:A109" si="49">A96+1</f>
        <v>48</v>
      </c>
      <c r="B97" s="20">
        <f t="shared" si="39"/>
        <v>480000</v>
      </c>
      <c r="C97" s="20">
        <f t="shared" si="40"/>
        <v>2820</v>
      </c>
      <c r="D97" s="20">
        <f t="shared" si="41"/>
        <v>67680</v>
      </c>
      <c r="E97" s="20">
        <f t="shared" si="42"/>
        <v>547680</v>
      </c>
      <c r="G97" t="s">
        <v>209</v>
      </c>
      <c r="I97" s="20"/>
      <c r="L97" s="12"/>
      <c r="Q97" s="20"/>
      <c r="R97" s="20"/>
      <c r="S97" s="20"/>
      <c r="T97" s="20"/>
    </row>
    <row r="98" spans="1:20" x14ac:dyDescent="0.25">
      <c r="A98">
        <f t="shared" si="49"/>
        <v>49</v>
      </c>
      <c r="B98" s="20">
        <f t="shared" si="39"/>
        <v>490000</v>
      </c>
      <c r="C98" s="20">
        <f t="shared" si="40"/>
        <v>2880</v>
      </c>
      <c r="D98" s="20">
        <f t="shared" si="41"/>
        <v>70560</v>
      </c>
      <c r="E98" s="20">
        <f t="shared" si="42"/>
        <v>560560</v>
      </c>
      <c r="I98" s="20"/>
      <c r="Q98" s="20"/>
      <c r="R98" s="20"/>
      <c r="S98" s="20"/>
      <c r="T98" s="20"/>
    </row>
    <row r="99" spans="1:20" x14ac:dyDescent="0.25">
      <c r="A99">
        <f t="shared" si="49"/>
        <v>50</v>
      </c>
      <c r="B99" s="20">
        <f t="shared" si="39"/>
        <v>500000</v>
      </c>
      <c r="C99" s="20">
        <f t="shared" si="40"/>
        <v>2940</v>
      </c>
      <c r="D99" s="20">
        <f t="shared" si="41"/>
        <v>73500</v>
      </c>
      <c r="E99" s="20">
        <f t="shared" si="42"/>
        <v>573500</v>
      </c>
      <c r="I99" s="20"/>
      <c r="Q99" s="20"/>
      <c r="R99" s="20"/>
      <c r="S99" s="20"/>
      <c r="T99" s="20"/>
    </row>
    <row r="100" spans="1:20" x14ac:dyDescent="0.25">
      <c r="A100">
        <f t="shared" si="49"/>
        <v>51</v>
      </c>
      <c r="B100" s="20">
        <f t="shared" si="39"/>
        <v>510000</v>
      </c>
      <c r="C100" s="20">
        <f t="shared" si="40"/>
        <v>3000</v>
      </c>
      <c r="D100" s="20">
        <f t="shared" si="41"/>
        <v>76500</v>
      </c>
      <c r="E100" s="20">
        <f t="shared" si="42"/>
        <v>586500</v>
      </c>
      <c r="I100" s="20"/>
      <c r="Q100" s="20"/>
      <c r="R100" s="20"/>
      <c r="S100" s="20"/>
      <c r="T100" s="20"/>
    </row>
    <row r="101" spans="1:20" x14ac:dyDescent="0.25">
      <c r="A101">
        <f t="shared" si="49"/>
        <v>52</v>
      </c>
      <c r="B101" s="20">
        <f t="shared" si="39"/>
        <v>520000</v>
      </c>
      <c r="C101" s="20">
        <f t="shared" si="40"/>
        <v>3060</v>
      </c>
      <c r="D101" s="20">
        <f t="shared" si="41"/>
        <v>79560</v>
      </c>
      <c r="E101" s="20">
        <f t="shared" si="42"/>
        <v>599560</v>
      </c>
      <c r="I101" s="20"/>
      <c r="Q101" s="20"/>
      <c r="R101" s="20"/>
      <c r="S101" s="20"/>
      <c r="T101" s="20"/>
    </row>
    <row r="102" spans="1:20" x14ac:dyDescent="0.25">
      <c r="A102">
        <f t="shared" si="49"/>
        <v>53</v>
      </c>
      <c r="B102" s="20">
        <f t="shared" si="39"/>
        <v>530000</v>
      </c>
      <c r="C102" s="20">
        <f t="shared" si="40"/>
        <v>3120</v>
      </c>
      <c r="D102" s="20">
        <f t="shared" si="41"/>
        <v>82680</v>
      </c>
      <c r="E102" s="20">
        <f t="shared" si="42"/>
        <v>612680</v>
      </c>
      <c r="I102" s="20"/>
      <c r="Q102" s="20"/>
      <c r="R102" s="20"/>
      <c r="S102" s="20"/>
      <c r="T102" s="20"/>
    </row>
    <row r="103" spans="1:20" x14ac:dyDescent="0.25">
      <c r="A103">
        <f t="shared" si="49"/>
        <v>54</v>
      </c>
      <c r="B103" s="20">
        <f t="shared" si="39"/>
        <v>540000</v>
      </c>
      <c r="C103" s="20">
        <f t="shared" si="40"/>
        <v>3180</v>
      </c>
      <c r="D103" s="20">
        <f t="shared" si="41"/>
        <v>85860</v>
      </c>
      <c r="E103" s="20">
        <f t="shared" si="42"/>
        <v>625860</v>
      </c>
      <c r="I103" s="20"/>
      <c r="Q103" s="20"/>
      <c r="R103" s="20"/>
      <c r="S103" s="20"/>
      <c r="T103" s="20"/>
    </row>
    <row r="104" spans="1:20" x14ac:dyDescent="0.25">
      <c r="A104">
        <f t="shared" si="49"/>
        <v>55</v>
      </c>
      <c r="B104" s="20">
        <f t="shared" si="39"/>
        <v>550000</v>
      </c>
      <c r="C104" s="20">
        <f t="shared" si="40"/>
        <v>3240</v>
      </c>
      <c r="D104" s="20">
        <f t="shared" si="41"/>
        <v>89100</v>
      </c>
      <c r="E104" s="20">
        <f t="shared" si="42"/>
        <v>639100</v>
      </c>
      <c r="I104" s="20"/>
      <c r="Q104" s="20"/>
      <c r="R104" s="20"/>
      <c r="S104" s="20"/>
      <c r="T104" s="20"/>
    </row>
    <row r="105" spans="1:20" x14ac:dyDescent="0.25">
      <c r="A105">
        <f t="shared" si="49"/>
        <v>56</v>
      </c>
      <c r="B105" s="20">
        <f t="shared" si="39"/>
        <v>560000</v>
      </c>
      <c r="C105" s="20">
        <f t="shared" si="40"/>
        <v>3300</v>
      </c>
      <c r="D105" s="20">
        <f t="shared" si="41"/>
        <v>92400</v>
      </c>
      <c r="E105" s="20">
        <f t="shared" si="42"/>
        <v>652400</v>
      </c>
      <c r="I105" s="20"/>
      <c r="Q105" s="20"/>
      <c r="R105" s="20"/>
      <c r="S105" s="20"/>
      <c r="T105" s="20"/>
    </row>
    <row r="106" spans="1:20" x14ac:dyDescent="0.25">
      <c r="A106">
        <f t="shared" si="49"/>
        <v>57</v>
      </c>
      <c r="B106" s="20">
        <f t="shared" si="39"/>
        <v>570000</v>
      </c>
      <c r="C106" s="20">
        <f t="shared" si="40"/>
        <v>3360</v>
      </c>
      <c r="D106" s="20">
        <f t="shared" si="41"/>
        <v>95760</v>
      </c>
      <c r="E106" s="20">
        <f t="shared" si="42"/>
        <v>665760</v>
      </c>
      <c r="I106" s="20"/>
      <c r="Q106" s="20"/>
      <c r="R106" s="20"/>
      <c r="S106" s="20"/>
      <c r="T106" s="20"/>
    </row>
    <row r="107" spans="1:20" x14ac:dyDescent="0.25">
      <c r="A107">
        <f t="shared" si="49"/>
        <v>58</v>
      </c>
      <c r="B107" s="20">
        <f t="shared" si="39"/>
        <v>580000</v>
      </c>
      <c r="C107" s="20">
        <f t="shared" si="40"/>
        <v>3420</v>
      </c>
      <c r="D107" s="20">
        <f t="shared" si="41"/>
        <v>99180</v>
      </c>
      <c r="E107" s="20">
        <f t="shared" si="42"/>
        <v>679180</v>
      </c>
      <c r="I107" s="20"/>
      <c r="Q107" s="20"/>
      <c r="R107" s="20"/>
      <c r="S107" s="20"/>
      <c r="T107" s="20"/>
    </row>
    <row r="108" spans="1:20" x14ac:dyDescent="0.25">
      <c r="A108">
        <f t="shared" si="49"/>
        <v>59</v>
      </c>
      <c r="B108" s="20">
        <f t="shared" si="39"/>
        <v>590000</v>
      </c>
      <c r="C108" s="20">
        <f t="shared" si="40"/>
        <v>3480</v>
      </c>
      <c r="D108" s="20">
        <f t="shared" si="41"/>
        <v>102660</v>
      </c>
      <c r="E108" s="20">
        <f t="shared" si="42"/>
        <v>692660</v>
      </c>
      <c r="I108" s="20"/>
      <c r="Q108" s="20"/>
      <c r="R108" s="20"/>
      <c r="S108" s="20"/>
      <c r="T108" s="20"/>
    </row>
    <row r="109" spans="1:20" x14ac:dyDescent="0.25">
      <c r="A109">
        <f t="shared" si="49"/>
        <v>60</v>
      </c>
      <c r="B109" s="20">
        <f t="shared" si="39"/>
        <v>600000</v>
      </c>
      <c r="C109" s="20">
        <f t="shared" si="40"/>
        <v>3540</v>
      </c>
      <c r="D109" s="20">
        <f t="shared" si="41"/>
        <v>106200</v>
      </c>
      <c r="E109" s="20">
        <f t="shared" si="42"/>
        <v>706200</v>
      </c>
      <c r="G109" t="s">
        <v>210</v>
      </c>
      <c r="I109" s="20"/>
      <c r="L109" s="12"/>
      <c r="Q109" s="20"/>
      <c r="R109" s="20"/>
      <c r="S109" s="20"/>
      <c r="T109" s="20"/>
    </row>
    <row r="110" spans="1:20" x14ac:dyDescent="0.25">
      <c r="A110">
        <f t="shared" ref="A110:A142" si="50">A109+1</f>
        <v>61</v>
      </c>
      <c r="B110" s="20">
        <f t="shared" si="39"/>
        <v>610000</v>
      </c>
      <c r="C110" s="20">
        <f t="shared" si="40"/>
        <v>3600</v>
      </c>
      <c r="D110" s="20">
        <f t="shared" si="41"/>
        <v>109800</v>
      </c>
      <c r="E110" s="20">
        <f t="shared" si="42"/>
        <v>719800</v>
      </c>
      <c r="I110" s="20"/>
      <c r="Q110" s="20"/>
      <c r="R110" s="20"/>
      <c r="S110" s="20"/>
      <c r="T110" s="20"/>
    </row>
    <row r="111" spans="1:20" x14ac:dyDescent="0.25">
      <c r="A111">
        <f t="shared" si="50"/>
        <v>62</v>
      </c>
      <c r="B111" s="20">
        <f t="shared" si="39"/>
        <v>620000</v>
      </c>
      <c r="C111" s="20">
        <f t="shared" si="40"/>
        <v>3660</v>
      </c>
      <c r="D111" s="20">
        <f t="shared" si="41"/>
        <v>113460</v>
      </c>
      <c r="E111" s="20">
        <f t="shared" si="42"/>
        <v>733460</v>
      </c>
      <c r="I111" s="20"/>
      <c r="Q111" s="20"/>
      <c r="R111" s="20"/>
      <c r="S111" s="20"/>
      <c r="T111" s="20"/>
    </row>
    <row r="112" spans="1:20" x14ac:dyDescent="0.25">
      <c r="A112">
        <f t="shared" si="50"/>
        <v>63</v>
      </c>
      <c r="B112" s="20">
        <f t="shared" si="39"/>
        <v>630000</v>
      </c>
      <c r="C112" s="20">
        <f t="shared" si="40"/>
        <v>3720</v>
      </c>
      <c r="D112" s="20">
        <f t="shared" si="41"/>
        <v>117180</v>
      </c>
      <c r="E112" s="20">
        <f t="shared" si="42"/>
        <v>747180</v>
      </c>
      <c r="I112" s="20"/>
      <c r="Q112" s="20"/>
      <c r="R112" s="20"/>
      <c r="S112" s="20"/>
      <c r="T112" s="20"/>
    </row>
    <row r="113" spans="1:20" x14ac:dyDescent="0.25">
      <c r="A113">
        <f t="shared" si="50"/>
        <v>64</v>
      </c>
      <c r="B113" s="20">
        <f t="shared" si="39"/>
        <v>640000</v>
      </c>
      <c r="C113" s="20">
        <f t="shared" si="40"/>
        <v>3780</v>
      </c>
      <c r="D113" s="20">
        <f t="shared" si="41"/>
        <v>120960</v>
      </c>
      <c r="E113" s="20">
        <f t="shared" si="42"/>
        <v>760960</v>
      </c>
      <c r="I113" s="20"/>
      <c r="Q113" s="20"/>
      <c r="R113" s="20"/>
      <c r="S113" s="20"/>
      <c r="T113" s="20"/>
    </row>
    <row r="114" spans="1:20" x14ac:dyDescent="0.25">
      <c r="A114">
        <f t="shared" si="50"/>
        <v>65</v>
      </c>
      <c r="B114" s="20">
        <f t="shared" si="39"/>
        <v>650000</v>
      </c>
      <c r="C114" s="20">
        <f t="shared" si="40"/>
        <v>3840</v>
      </c>
      <c r="D114" s="20">
        <f t="shared" si="41"/>
        <v>124800</v>
      </c>
      <c r="E114" s="20">
        <f t="shared" si="42"/>
        <v>774800</v>
      </c>
      <c r="I114" s="20"/>
      <c r="Q114" s="20"/>
      <c r="R114" s="20"/>
      <c r="S114" s="20"/>
      <c r="T114" s="20"/>
    </row>
    <row r="115" spans="1:20" x14ac:dyDescent="0.25">
      <c r="A115">
        <f t="shared" si="50"/>
        <v>66</v>
      </c>
      <c r="B115" s="20">
        <f t="shared" si="39"/>
        <v>660000</v>
      </c>
      <c r="C115" s="20">
        <f t="shared" si="40"/>
        <v>3900</v>
      </c>
      <c r="D115" s="20">
        <f t="shared" si="41"/>
        <v>128700</v>
      </c>
      <c r="E115" s="20">
        <f t="shared" si="42"/>
        <v>788700</v>
      </c>
      <c r="I115" s="20"/>
      <c r="Q115" s="20"/>
      <c r="R115" s="20"/>
      <c r="S115" s="20"/>
      <c r="T115" s="20"/>
    </row>
    <row r="116" spans="1:20" x14ac:dyDescent="0.25">
      <c r="A116">
        <f t="shared" si="50"/>
        <v>67</v>
      </c>
      <c r="B116" s="20">
        <f t="shared" si="39"/>
        <v>670000</v>
      </c>
      <c r="C116" s="20">
        <f t="shared" si="40"/>
        <v>3960</v>
      </c>
      <c r="D116" s="20">
        <f t="shared" si="41"/>
        <v>132660</v>
      </c>
      <c r="E116" s="20">
        <f t="shared" si="42"/>
        <v>802660</v>
      </c>
      <c r="I116" s="20"/>
      <c r="Q116" s="20"/>
      <c r="R116" s="20"/>
      <c r="S116" s="20"/>
      <c r="T116" s="20"/>
    </row>
    <row r="117" spans="1:20" x14ac:dyDescent="0.25">
      <c r="A117">
        <f t="shared" si="50"/>
        <v>68</v>
      </c>
      <c r="B117" s="20">
        <f t="shared" ref="B117:B169" si="51">$B$47+B116</f>
        <v>680000</v>
      </c>
      <c r="C117" s="20">
        <f t="shared" ref="C117:C180" si="52">B116*$E$47</f>
        <v>4020</v>
      </c>
      <c r="D117" s="20">
        <f t="shared" ref="D117:D169" si="53">D116+C117</f>
        <v>136680</v>
      </c>
      <c r="E117" s="20">
        <f t="shared" ref="E117:E169" si="54">B117+D117</f>
        <v>816680</v>
      </c>
      <c r="I117" s="20"/>
      <c r="Q117" s="20"/>
      <c r="R117" s="20"/>
      <c r="S117" s="20"/>
      <c r="T117" s="20"/>
    </row>
    <row r="118" spans="1:20" x14ac:dyDescent="0.25">
      <c r="A118">
        <f t="shared" si="50"/>
        <v>69</v>
      </c>
      <c r="B118" s="20">
        <f t="shared" si="51"/>
        <v>690000</v>
      </c>
      <c r="C118" s="20">
        <f t="shared" si="52"/>
        <v>4080</v>
      </c>
      <c r="D118" s="20">
        <f t="shared" si="53"/>
        <v>140760</v>
      </c>
      <c r="E118" s="20">
        <f t="shared" si="54"/>
        <v>830760</v>
      </c>
      <c r="I118" s="20"/>
      <c r="Q118" s="20"/>
      <c r="R118" s="20"/>
      <c r="S118" s="20"/>
      <c r="T118" s="20"/>
    </row>
    <row r="119" spans="1:20" x14ac:dyDescent="0.25">
      <c r="A119">
        <f t="shared" si="50"/>
        <v>70</v>
      </c>
      <c r="B119" s="20">
        <f t="shared" si="51"/>
        <v>700000</v>
      </c>
      <c r="C119" s="20">
        <f t="shared" si="52"/>
        <v>4140</v>
      </c>
      <c r="D119" s="20">
        <f t="shared" si="53"/>
        <v>144900</v>
      </c>
      <c r="E119" s="20">
        <f t="shared" si="54"/>
        <v>844900</v>
      </c>
      <c r="I119" s="20"/>
      <c r="Q119" s="20"/>
      <c r="R119" s="20"/>
      <c r="S119" s="20"/>
      <c r="T119" s="20"/>
    </row>
    <row r="120" spans="1:20" x14ac:dyDescent="0.25">
      <c r="A120">
        <f t="shared" si="50"/>
        <v>71</v>
      </c>
      <c r="B120" s="20">
        <f t="shared" si="51"/>
        <v>710000</v>
      </c>
      <c r="C120" s="20">
        <f t="shared" si="52"/>
        <v>4200</v>
      </c>
      <c r="D120" s="20">
        <f t="shared" si="53"/>
        <v>149100</v>
      </c>
      <c r="E120" s="20">
        <f t="shared" si="54"/>
        <v>859100</v>
      </c>
      <c r="I120" s="20"/>
      <c r="Q120" s="20"/>
      <c r="R120" s="20"/>
      <c r="S120" s="20"/>
      <c r="T120" s="20"/>
    </row>
    <row r="121" spans="1:20" x14ac:dyDescent="0.25">
      <c r="A121">
        <f t="shared" si="50"/>
        <v>72</v>
      </c>
      <c r="B121" s="20">
        <f t="shared" si="51"/>
        <v>720000</v>
      </c>
      <c r="C121" s="20">
        <f t="shared" si="52"/>
        <v>4260</v>
      </c>
      <c r="D121" s="20">
        <f t="shared" si="53"/>
        <v>153360</v>
      </c>
      <c r="E121" s="20">
        <f t="shared" si="54"/>
        <v>873360</v>
      </c>
      <c r="G121" t="s">
        <v>211</v>
      </c>
      <c r="I121" s="20"/>
      <c r="L121" s="12"/>
      <c r="Q121" s="20"/>
      <c r="R121" s="20"/>
      <c r="S121" s="20"/>
      <c r="T121" s="20"/>
    </row>
    <row r="122" spans="1:20" x14ac:dyDescent="0.25">
      <c r="A122">
        <f t="shared" si="50"/>
        <v>73</v>
      </c>
      <c r="B122" s="20">
        <f t="shared" si="51"/>
        <v>730000</v>
      </c>
      <c r="C122" s="20">
        <f t="shared" si="52"/>
        <v>4320</v>
      </c>
      <c r="D122" s="20">
        <f t="shared" si="53"/>
        <v>157680</v>
      </c>
      <c r="E122" s="20">
        <f t="shared" si="54"/>
        <v>887680</v>
      </c>
      <c r="I122" s="20"/>
      <c r="Q122" s="20"/>
      <c r="R122" s="20"/>
      <c r="S122" s="20"/>
      <c r="T122" s="20"/>
    </row>
    <row r="123" spans="1:20" x14ac:dyDescent="0.25">
      <c r="A123">
        <f t="shared" si="50"/>
        <v>74</v>
      </c>
      <c r="B123" s="20">
        <f t="shared" si="51"/>
        <v>740000</v>
      </c>
      <c r="C123" s="20">
        <f t="shared" si="52"/>
        <v>4380</v>
      </c>
      <c r="D123" s="20">
        <f t="shared" si="53"/>
        <v>162060</v>
      </c>
      <c r="E123" s="20">
        <f t="shared" si="54"/>
        <v>902060</v>
      </c>
      <c r="I123" s="20"/>
      <c r="Q123" s="20"/>
      <c r="R123" s="20"/>
      <c r="S123" s="20"/>
      <c r="T123" s="20"/>
    </row>
    <row r="124" spans="1:20" x14ac:dyDescent="0.25">
      <c r="A124">
        <f t="shared" si="50"/>
        <v>75</v>
      </c>
      <c r="B124" s="20">
        <f t="shared" si="51"/>
        <v>750000</v>
      </c>
      <c r="C124" s="20">
        <f t="shared" si="52"/>
        <v>4440</v>
      </c>
      <c r="D124" s="20">
        <f t="shared" si="53"/>
        <v>166500</v>
      </c>
      <c r="E124" s="20">
        <f t="shared" si="54"/>
        <v>916500</v>
      </c>
      <c r="I124" s="20"/>
      <c r="Q124" s="20"/>
      <c r="R124" s="20"/>
      <c r="S124" s="20"/>
      <c r="T124" s="20"/>
    </row>
    <row r="125" spans="1:20" x14ac:dyDescent="0.25">
      <c r="A125">
        <f t="shared" si="50"/>
        <v>76</v>
      </c>
      <c r="B125" s="20">
        <f t="shared" si="51"/>
        <v>760000</v>
      </c>
      <c r="C125" s="20">
        <f t="shared" si="52"/>
        <v>4500</v>
      </c>
      <c r="D125" s="20">
        <f t="shared" si="53"/>
        <v>171000</v>
      </c>
      <c r="E125" s="20">
        <f t="shared" si="54"/>
        <v>931000</v>
      </c>
      <c r="I125" s="20"/>
      <c r="Q125" s="20"/>
      <c r="R125" s="20"/>
      <c r="S125" s="20"/>
      <c r="T125" s="20"/>
    </row>
    <row r="126" spans="1:20" x14ac:dyDescent="0.25">
      <c r="A126">
        <f t="shared" si="50"/>
        <v>77</v>
      </c>
      <c r="B126" s="20">
        <f t="shared" si="51"/>
        <v>770000</v>
      </c>
      <c r="C126" s="20">
        <f t="shared" si="52"/>
        <v>4560</v>
      </c>
      <c r="D126" s="20">
        <f t="shared" si="53"/>
        <v>175560</v>
      </c>
      <c r="E126" s="20">
        <f t="shared" si="54"/>
        <v>945560</v>
      </c>
      <c r="I126" s="20"/>
      <c r="Q126" s="20"/>
      <c r="R126" s="20"/>
      <c r="S126" s="20"/>
      <c r="T126" s="20"/>
    </row>
    <row r="127" spans="1:20" x14ac:dyDescent="0.25">
      <c r="A127">
        <f t="shared" si="50"/>
        <v>78</v>
      </c>
      <c r="B127" s="20">
        <f t="shared" si="51"/>
        <v>780000</v>
      </c>
      <c r="C127" s="20">
        <f t="shared" si="52"/>
        <v>4620</v>
      </c>
      <c r="D127" s="20">
        <f t="shared" si="53"/>
        <v>180180</v>
      </c>
      <c r="E127" s="20">
        <f t="shared" si="54"/>
        <v>960180</v>
      </c>
      <c r="I127" s="20"/>
      <c r="Q127" s="20"/>
      <c r="R127" s="20"/>
      <c r="S127" s="20"/>
      <c r="T127" s="20"/>
    </row>
    <row r="128" spans="1:20" x14ac:dyDescent="0.25">
      <c r="A128">
        <f t="shared" si="50"/>
        <v>79</v>
      </c>
      <c r="B128" s="20">
        <f t="shared" si="51"/>
        <v>790000</v>
      </c>
      <c r="C128" s="20">
        <f t="shared" si="52"/>
        <v>4680</v>
      </c>
      <c r="D128" s="20">
        <f t="shared" si="53"/>
        <v>184860</v>
      </c>
      <c r="E128" s="20">
        <f t="shared" si="54"/>
        <v>974860</v>
      </c>
      <c r="I128" s="20"/>
      <c r="Q128" s="20"/>
      <c r="R128" s="20"/>
      <c r="S128" s="20"/>
      <c r="T128" s="20"/>
    </row>
    <row r="129" spans="1:20" x14ac:dyDescent="0.25">
      <c r="A129">
        <f t="shared" si="50"/>
        <v>80</v>
      </c>
      <c r="B129" s="20">
        <f t="shared" si="51"/>
        <v>800000</v>
      </c>
      <c r="C129" s="20">
        <f t="shared" si="52"/>
        <v>4740</v>
      </c>
      <c r="D129" s="20">
        <f t="shared" si="53"/>
        <v>189600</v>
      </c>
      <c r="E129" s="20">
        <f t="shared" si="54"/>
        <v>989600</v>
      </c>
      <c r="I129" s="20"/>
      <c r="Q129" s="20"/>
      <c r="R129" s="20"/>
      <c r="S129" s="20"/>
      <c r="T129" s="20"/>
    </row>
    <row r="130" spans="1:20" x14ac:dyDescent="0.25">
      <c r="A130">
        <f t="shared" si="50"/>
        <v>81</v>
      </c>
      <c r="B130" s="20">
        <f t="shared" si="51"/>
        <v>810000</v>
      </c>
      <c r="C130" s="20">
        <f t="shared" si="52"/>
        <v>4800</v>
      </c>
      <c r="D130" s="20">
        <f t="shared" si="53"/>
        <v>194400</v>
      </c>
      <c r="E130" s="20">
        <f t="shared" si="54"/>
        <v>1004400</v>
      </c>
      <c r="I130" s="20"/>
      <c r="Q130" s="20"/>
      <c r="R130" s="20"/>
      <c r="S130" s="20"/>
      <c r="T130" s="20"/>
    </row>
    <row r="131" spans="1:20" x14ac:dyDescent="0.25">
      <c r="A131">
        <f t="shared" si="50"/>
        <v>82</v>
      </c>
      <c r="B131" s="20">
        <f t="shared" si="51"/>
        <v>820000</v>
      </c>
      <c r="C131" s="20">
        <f t="shared" si="52"/>
        <v>4860</v>
      </c>
      <c r="D131" s="20">
        <f t="shared" si="53"/>
        <v>199260</v>
      </c>
      <c r="E131" s="20">
        <f t="shared" si="54"/>
        <v>1019260</v>
      </c>
      <c r="I131" s="20"/>
      <c r="Q131" s="20"/>
      <c r="R131" s="20"/>
      <c r="S131" s="20"/>
      <c r="T131" s="20"/>
    </row>
    <row r="132" spans="1:20" x14ac:dyDescent="0.25">
      <c r="A132">
        <f t="shared" si="50"/>
        <v>83</v>
      </c>
      <c r="B132" s="20">
        <f t="shared" si="51"/>
        <v>830000</v>
      </c>
      <c r="C132" s="20">
        <f t="shared" si="52"/>
        <v>4920</v>
      </c>
      <c r="D132" s="20">
        <f t="shared" si="53"/>
        <v>204180</v>
      </c>
      <c r="E132" s="20">
        <f t="shared" si="54"/>
        <v>1034180</v>
      </c>
      <c r="I132" s="20"/>
      <c r="Q132" s="20"/>
      <c r="R132" s="20"/>
      <c r="S132" s="20"/>
      <c r="T132" s="20"/>
    </row>
    <row r="133" spans="1:20" x14ac:dyDescent="0.25">
      <c r="A133">
        <f t="shared" si="50"/>
        <v>84</v>
      </c>
      <c r="B133" s="20">
        <f t="shared" si="51"/>
        <v>840000</v>
      </c>
      <c r="C133" s="20">
        <f t="shared" si="52"/>
        <v>4980</v>
      </c>
      <c r="D133" s="20">
        <f t="shared" si="53"/>
        <v>209160</v>
      </c>
      <c r="E133" s="20">
        <f t="shared" si="54"/>
        <v>1049160</v>
      </c>
      <c r="G133" t="s">
        <v>212</v>
      </c>
      <c r="I133" s="20"/>
      <c r="L133" s="12"/>
      <c r="Q133" s="20"/>
      <c r="R133" s="20"/>
      <c r="S133" s="20"/>
      <c r="T133" s="20"/>
    </row>
    <row r="134" spans="1:20" x14ac:dyDescent="0.25">
      <c r="A134">
        <f t="shared" si="50"/>
        <v>85</v>
      </c>
      <c r="B134" s="20">
        <f t="shared" si="51"/>
        <v>850000</v>
      </c>
      <c r="C134" s="20">
        <f t="shared" si="52"/>
        <v>5040</v>
      </c>
      <c r="D134" s="20">
        <f t="shared" si="53"/>
        <v>214200</v>
      </c>
      <c r="E134" s="20">
        <f t="shared" si="54"/>
        <v>1064200</v>
      </c>
      <c r="I134" s="20"/>
      <c r="Q134" s="20"/>
      <c r="R134" s="20"/>
      <c r="S134" s="20"/>
      <c r="T134" s="20"/>
    </row>
    <row r="135" spans="1:20" x14ac:dyDescent="0.25">
      <c r="A135">
        <f t="shared" si="50"/>
        <v>86</v>
      </c>
      <c r="B135" s="20">
        <f t="shared" si="51"/>
        <v>860000</v>
      </c>
      <c r="C135" s="20">
        <f t="shared" si="52"/>
        <v>5100</v>
      </c>
      <c r="D135" s="20">
        <f t="shared" si="53"/>
        <v>219300</v>
      </c>
      <c r="E135" s="20">
        <f t="shared" si="54"/>
        <v>1079300</v>
      </c>
      <c r="I135" s="20"/>
      <c r="Q135" s="20"/>
      <c r="R135" s="20"/>
      <c r="S135" s="20"/>
      <c r="T135" s="20"/>
    </row>
    <row r="136" spans="1:20" x14ac:dyDescent="0.25">
      <c r="A136">
        <f t="shared" si="50"/>
        <v>87</v>
      </c>
      <c r="B136" s="20">
        <f t="shared" si="51"/>
        <v>870000</v>
      </c>
      <c r="C136" s="20">
        <f t="shared" si="52"/>
        <v>5160</v>
      </c>
      <c r="D136" s="20">
        <f t="shared" si="53"/>
        <v>224460</v>
      </c>
      <c r="E136" s="20">
        <f t="shared" si="54"/>
        <v>1094460</v>
      </c>
      <c r="I136" s="20"/>
      <c r="Q136" s="20"/>
      <c r="R136" s="20"/>
      <c r="S136" s="20"/>
      <c r="T136" s="20"/>
    </row>
    <row r="137" spans="1:20" x14ac:dyDescent="0.25">
      <c r="A137">
        <f t="shared" si="50"/>
        <v>88</v>
      </c>
      <c r="B137" s="20">
        <f t="shared" si="51"/>
        <v>880000</v>
      </c>
      <c r="C137" s="20">
        <f t="shared" si="52"/>
        <v>5220</v>
      </c>
      <c r="D137" s="20">
        <f t="shared" si="53"/>
        <v>229680</v>
      </c>
      <c r="E137" s="20">
        <f t="shared" si="54"/>
        <v>1109680</v>
      </c>
      <c r="I137" s="20"/>
      <c r="Q137" s="20"/>
      <c r="R137" s="20"/>
      <c r="S137" s="20"/>
      <c r="T137" s="20"/>
    </row>
    <row r="138" spans="1:20" x14ac:dyDescent="0.25">
      <c r="A138">
        <f t="shared" si="50"/>
        <v>89</v>
      </c>
      <c r="B138" s="20">
        <f t="shared" si="51"/>
        <v>890000</v>
      </c>
      <c r="C138" s="20">
        <f t="shared" si="52"/>
        <v>5280</v>
      </c>
      <c r="D138" s="20">
        <f t="shared" si="53"/>
        <v>234960</v>
      </c>
      <c r="E138" s="20">
        <f t="shared" si="54"/>
        <v>1124960</v>
      </c>
      <c r="I138" s="20"/>
      <c r="Q138" s="20"/>
      <c r="R138" s="20"/>
      <c r="S138" s="20"/>
      <c r="T138" s="20"/>
    </row>
    <row r="139" spans="1:20" x14ac:dyDescent="0.25">
      <c r="A139">
        <f t="shared" si="50"/>
        <v>90</v>
      </c>
      <c r="B139" s="20">
        <f t="shared" si="51"/>
        <v>900000</v>
      </c>
      <c r="C139" s="20">
        <f t="shared" si="52"/>
        <v>5340</v>
      </c>
      <c r="D139" s="20">
        <f t="shared" si="53"/>
        <v>240300</v>
      </c>
      <c r="E139" s="20">
        <f t="shared" si="54"/>
        <v>1140300</v>
      </c>
      <c r="I139" s="20"/>
      <c r="Q139" s="20"/>
      <c r="R139" s="20"/>
      <c r="S139" s="20"/>
      <c r="T139" s="20"/>
    </row>
    <row r="140" spans="1:20" x14ac:dyDescent="0.25">
      <c r="A140">
        <f t="shared" si="50"/>
        <v>91</v>
      </c>
      <c r="B140" s="20">
        <f t="shared" si="51"/>
        <v>910000</v>
      </c>
      <c r="C140" s="20">
        <f t="shared" si="52"/>
        <v>5400</v>
      </c>
      <c r="D140" s="20">
        <f t="shared" si="53"/>
        <v>245700</v>
      </c>
      <c r="E140" s="20">
        <f t="shared" si="54"/>
        <v>1155700</v>
      </c>
      <c r="I140" s="20"/>
      <c r="Q140" s="20"/>
      <c r="R140" s="20"/>
      <c r="S140" s="20"/>
      <c r="T140" s="20"/>
    </row>
    <row r="141" spans="1:20" x14ac:dyDescent="0.25">
      <c r="A141">
        <f t="shared" si="50"/>
        <v>92</v>
      </c>
      <c r="B141" s="20">
        <f t="shared" si="51"/>
        <v>920000</v>
      </c>
      <c r="C141" s="20">
        <f t="shared" si="52"/>
        <v>5460</v>
      </c>
      <c r="D141" s="20">
        <f t="shared" si="53"/>
        <v>251160</v>
      </c>
      <c r="E141" s="20">
        <f t="shared" si="54"/>
        <v>1171160</v>
      </c>
      <c r="I141" s="20"/>
      <c r="Q141" s="20"/>
      <c r="R141" s="20"/>
      <c r="S141" s="20"/>
      <c r="T141" s="20"/>
    </row>
    <row r="142" spans="1:20" x14ac:dyDescent="0.25">
      <c r="A142">
        <f t="shared" si="50"/>
        <v>93</v>
      </c>
      <c r="B142" s="20">
        <f t="shared" si="51"/>
        <v>930000</v>
      </c>
      <c r="C142" s="20">
        <f t="shared" si="52"/>
        <v>5520</v>
      </c>
      <c r="D142" s="20">
        <f t="shared" si="53"/>
        <v>256680</v>
      </c>
      <c r="E142" s="20">
        <f t="shared" si="54"/>
        <v>1186680</v>
      </c>
      <c r="I142" s="20"/>
      <c r="Q142" s="20"/>
      <c r="R142" s="20"/>
      <c r="S142" s="20"/>
      <c r="T142" s="20"/>
    </row>
    <row r="143" spans="1:20" x14ac:dyDescent="0.25">
      <c r="A143">
        <f t="shared" ref="A143:A159" si="55">A142+1</f>
        <v>94</v>
      </c>
      <c r="B143" s="20">
        <f t="shared" si="51"/>
        <v>940000</v>
      </c>
      <c r="C143" s="20">
        <f t="shared" si="52"/>
        <v>5580</v>
      </c>
      <c r="D143" s="20">
        <f t="shared" si="53"/>
        <v>262260</v>
      </c>
      <c r="E143" s="20">
        <f t="shared" si="54"/>
        <v>1202260</v>
      </c>
      <c r="I143" s="20"/>
      <c r="Q143" s="20"/>
      <c r="R143" s="20"/>
      <c r="S143" s="20"/>
      <c r="T143" s="20"/>
    </row>
    <row r="144" spans="1:20" x14ac:dyDescent="0.25">
      <c r="A144">
        <f t="shared" si="55"/>
        <v>95</v>
      </c>
      <c r="B144" s="20">
        <f t="shared" si="51"/>
        <v>950000</v>
      </c>
      <c r="C144" s="20">
        <f t="shared" si="52"/>
        <v>5640</v>
      </c>
      <c r="D144" s="20">
        <f t="shared" si="53"/>
        <v>267900</v>
      </c>
      <c r="E144" s="20">
        <f t="shared" si="54"/>
        <v>1217900</v>
      </c>
      <c r="I144" s="20"/>
      <c r="Q144" s="20"/>
      <c r="R144" s="20"/>
      <c r="S144" s="20"/>
      <c r="T144" s="20"/>
    </row>
    <row r="145" spans="1:20" x14ac:dyDescent="0.25">
      <c r="A145">
        <f t="shared" si="55"/>
        <v>96</v>
      </c>
      <c r="B145" s="20">
        <f t="shared" si="51"/>
        <v>960000</v>
      </c>
      <c r="C145" s="20">
        <f t="shared" si="52"/>
        <v>5700</v>
      </c>
      <c r="D145" s="20">
        <f t="shared" si="53"/>
        <v>273600</v>
      </c>
      <c r="E145" s="20">
        <f t="shared" si="54"/>
        <v>1233600</v>
      </c>
      <c r="G145" t="s">
        <v>213</v>
      </c>
      <c r="I145" s="20"/>
      <c r="L145" s="12"/>
      <c r="Q145" s="20"/>
      <c r="R145" s="20"/>
      <c r="S145" s="20"/>
      <c r="T145" s="20"/>
    </row>
    <row r="146" spans="1:20" x14ac:dyDescent="0.25">
      <c r="A146">
        <f t="shared" si="55"/>
        <v>97</v>
      </c>
      <c r="B146" s="20">
        <f t="shared" si="51"/>
        <v>970000</v>
      </c>
      <c r="C146" s="20">
        <f t="shared" si="52"/>
        <v>5760</v>
      </c>
      <c r="D146" s="20">
        <f t="shared" si="53"/>
        <v>279360</v>
      </c>
      <c r="E146" s="20">
        <f t="shared" si="54"/>
        <v>1249360</v>
      </c>
      <c r="I146" s="20"/>
      <c r="Q146" s="20"/>
      <c r="R146" s="20"/>
      <c r="S146" s="20"/>
      <c r="T146" s="20"/>
    </row>
    <row r="147" spans="1:20" x14ac:dyDescent="0.25">
      <c r="A147">
        <f t="shared" si="55"/>
        <v>98</v>
      </c>
      <c r="B147" s="20">
        <f t="shared" si="51"/>
        <v>980000</v>
      </c>
      <c r="C147" s="20">
        <f t="shared" si="52"/>
        <v>5820</v>
      </c>
      <c r="D147" s="20">
        <f t="shared" si="53"/>
        <v>285180</v>
      </c>
      <c r="E147" s="20">
        <f t="shared" si="54"/>
        <v>1265180</v>
      </c>
      <c r="I147" s="20"/>
      <c r="Q147" s="20"/>
      <c r="R147" s="20"/>
      <c r="S147" s="20"/>
      <c r="T147" s="20"/>
    </row>
    <row r="148" spans="1:20" x14ac:dyDescent="0.25">
      <c r="A148">
        <f t="shared" si="55"/>
        <v>99</v>
      </c>
      <c r="B148" s="20">
        <f t="shared" si="51"/>
        <v>990000</v>
      </c>
      <c r="C148" s="20">
        <f t="shared" si="52"/>
        <v>5880</v>
      </c>
      <c r="D148" s="20">
        <f t="shared" si="53"/>
        <v>291060</v>
      </c>
      <c r="E148" s="20">
        <f t="shared" si="54"/>
        <v>1281060</v>
      </c>
      <c r="I148" s="20"/>
      <c r="Q148" s="20"/>
      <c r="R148" s="20"/>
      <c r="S148" s="20"/>
      <c r="T148" s="20"/>
    </row>
    <row r="149" spans="1:20" x14ac:dyDescent="0.25">
      <c r="A149">
        <f t="shared" si="55"/>
        <v>100</v>
      </c>
      <c r="B149" s="20">
        <f t="shared" si="51"/>
        <v>1000000</v>
      </c>
      <c r="C149" s="20">
        <f t="shared" si="52"/>
        <v>5940</v>
      </c>
      <c r="D149" s="20">
        <f t="shared" si="53"/>
        <v>297000</v>
      </c>
      <c r="E149" s="20">
        <f t="shared" si="54"/>
        <v>1297000</v>
      </c>
      <c r="I149" s="20"/>
      <c r="Q149" s="20"/>
      <c r="R149" s="20"/>
      <c r="S149" s="20"/>
      <c r="T149" s="20"/>
    </row>
    <row r="150" spans="1:20" x14ac:dyDescent="0.25">
      <c r="A150">
        <f t="shared" si="55"/>
        <v>101</v>
      </c>
      <c r="B150" s="20">
        <f t="shared" si="51"/>
        <v>1010000</v>
      </c>
      <c r="C150" s="20">
        <f t="shared" si="52"/>
        <v>6000</v>
      </c>
      <c r="D150" s="20">
        <f t="shared" si="53"/>
        <v>303000</v>
      </c>
      <c r="E150" s="20">
        <f t="shared" si="54"/>
        <v>1313000</v>
      </c>
      <c r="I150" s="20"/>
      <c r="Q150" s="20"/>
      <c r="R150" s="20"/>
      <c r="S150" s="20"/>
      <c r="T150" s="20"/>
    </row>
    <row r="151" spans="1:20" x14ac:dyDescent="0.25">
      <c r="A151">
        <f t="shared" si="55"/>
        <v>102</v>
      </c>
      <c r="B151" s="20">
        <f t="shared" si="51"/>
        <v>1020000</v>
      </c>
      <c r="C151" s="20">
        <f t="shared" si="52"/>
        <v>6060</v>
      </c>
      <c r="D151" s="20">
        <f t="shared" si="53"/>
        <v>309060</v>
      </c>
      <c r="E151" s="20">
        <f t="shared" si="54"/>
        <v>1329060</v>
      </c>
      <c r="I151" s="20"/>
      <c r="Q151" s="20"/>
      <c r="R151" s="20"/>
      <c r="S151" s="20"/>
      <c r="T151" s="20"/>
    </row>
    <row r="152" spans="1:20" x14ac:dyDescent="0.25">
      <c r="A152">
        <f t="shared" si="55"/>
        <v>103</v>
      </c>
      <c r="B152" s="20">
        <f t="shared" si="51"/>
        <v>1030000</v>
      </c>
      <c r="C152" s="20">
        <f t="shared" si="52"/>
        <v>6120</v>
      </c>
      <c r="D152" s="20">
        <f t="shared" si="53"/>
        <v>315180</v>
      </c>
      <c r="E152" s="20">
        <f t="shared" si="54"/>
        <v>1345180</v>
      </c>
      <c r="I152" s="20"/>
      <c r="Q152" s="20"/>
      <c r="R152" s="20"/>
      <c r="S152" s="20"/>
      <c r="T152" s="20"/>
    </row>
    <row r="153" spans="1:20" x14ac:dyDescent="0.25">
      <c r="A153">
        <f t="shared" si="55"/>
        <v>104</v>
      </c>
      <c r="B153" s="20">
        <f t="shared" si="51"/>
        <v>1040000</v>
      </c>
      <c r="C153" s="20">
        <f t="shared" si="52"/>
        <v>6180</v>
      </c>
      <c r="D153" s="20">
        <f t="shared" si="53"/>
        <v>321360</v>
      </c>
      <c r="E153" s="20">
        <f t="shared" si="54"/>
        <v>1361360</v>
      </c>
      <c r="I153" s="20"/>
      <c r="Q153" s="20"/>
      <c r="R153" s="20"/>
      <c r="S153" s="20"/>
      <c r="T153" s="20"/>
    </row>
    <row r="154" spans="1:20" x14ac:dyDescent="0.25">
      <c r="A154">
        <f t="shared" si="55"/>
        <v>105</v>
      </c>
      <c r="B154" s="20">
        <f t="shared" si="51"/>
        <v>1050000</v>
      </c>
      <c r="C154" s="20">
        <f t="shared" si="52"/>
        <v>6240</v>
      </c>
      <c r="D154" s="20">
        <f t="shared" si="53"/>
        <v>327600</v>
      </c>
      <c r="E154" s="20">
        <f t="shared" si="54"/>
        <v>1377600</v>
      </c>
      <c r="I154" s="20"/>
      <c r="Q154" s="20"/>
      <c r="R154" s="20"/>
      <c r="S154" s="20"/>
      <c r="T154" s="20"/>
    </row>
    <row r="155" spans="1:20" x14ac:dyDescent="0.25">
      <c r="A155">
        <f t="shared" si="55"/>
        <v>106</v>
      </c>
      <c r="B155" s="20">
        <f t="shared" si="51"/>
        <v>1060000</v>
      </c>
      <c r="C155" s="20">
        <f t="shared" si="52"/>
        <v>6300</v>
      </c>
      <c r="D155" s="20">
        <f t="shared" si="53"/>
        <v>333900</v>
      </c>
      <c r="E155" s="20">
        <f t="shared" si="54"/>
        <v>1393900</v>
      </c>
      <c r="I155" s="20"/>
      <c r="Q155" s="20"/>
      <c r="R155" s="20"/>
      <c r="S155" s="20"/>
      <c r="T155" s="20"/>
    </row>
    <row r="156" spans="1:20" x14ac:dyDescent="0.25">
      <c r="A156">
        <f t="shared" si="55"/>
        <v>107</v>
      </c>
      <c r="B156" s="20">
        <f t="shared" si="51"/>
        <v>1070000</v>
      </c>
      <c r="C156" s="20">
        <f t="shared" si="52"/>
        <v>6360</v>
      </c>
      <c r="D156" s="20">
        <f t="shared" si="53"/>
        <v>340260</v>
      </c>
      <c r="E156" s="20">
        <f t="shared" si="54"/>
        <v>1410260</v>
      </c>
      <c r="I156" s="20"/>
      <c r="Q156" s="20"/>
      <c r="R156" s="20"/>
      <c r="S156" s="20"/>
      <c r="T156" s="20"/>
    </row>
    <row r="157" spans="1:20" x14ac:dyDescent="0.25">
      <c r="A157">
        <f t="shared" si="55"/>
        <v>108</v>
      </c>
      <c r="B157" s="20">
        <f t="shared" si="51"/>
        <v>1080000</v>
      </c>
      <c r="C157" s="20">
        <f t="shared" si="52"/>
        <v>6420</v>
      </c>
      <c r="D157" s="20">
        <f t="shared" si="53"/>
        <v>346680</v>
      </c>
      <c r="E157" s="20">
        <f t="shared" si="54"/>
        <v>1426680</v>
      </c>
      <c r="G157" t="s">
        <v>214</v>
      </c>
      <c r="I157" s="20"/>
      <c r="L157" s="12"/>
      <c r="Q157" s="20"/>
      <c r="R157" s="20"/>
      <c r="S157" s="20"/>
      <c r="T157" s="20"/>
    </row>
    <row r="158" spans="1:20" x14ac:dyDescent="0.25">
      <c r="A158">
        <f t="shared" si="55"/>
        <v>109</v>
      </c>
      <c r="B158" s="20">
        <f t="shared" si="51"/>
        <v>1090000</v>
      </c>
      <c r="C158" s="20">
        <f t="shared" si="52"/>
        <v>6480</v>
      </c>
      <c r="D158" s="20">
        <f t="shared" si="53"/>
        <v>353160</v>
      </c>
      <c r="E158" s="20">
        <f t="shared" si="54"/>
        <v>1443160</v>
      </c>
      <c r="I158" s="20"/>
      <c r="Q158" s="20"/>
      <c r="R158" s="20"/>
      <c r="S158" s="20"/>
      <c r="T158" s="20"/>
    </row>
    <row r="159" spans="1:20" x14ac:dyDescent="0.25">
      <c r="A159">
        <f t="shared" si="55"/>
        <v>110</v>
      </c>
      <c r="B159" s="20">
        <f t="shared" si="51"/>
        <v>1100000</v>
      </c>
      <c r="C159" s="20">
        <f t="shared" si="52"/>
        <v>6540</v>
      </c>
      <c r="D159" s="20">
        <f t="shared" si="53"/>
        <v>359700</v>
      </c>
      <c r="E159" s="20">
        <f t="shared" si="54"/>
        <v>1459700</v>
      </c>
      <c r="I159" s="20"/>
      <c r="Q159" s="20"/>
      <c r="R159" s="20"/>
      <c r="S159" s="20"/>
      <c r="T159" s="20"/>
    </row>
    <row r="160" spans="1:20" x14ac:dyDescent="0.25">
      <c r="A160">
        <f t="shared" ref="A160:A223" si="56">A159+1</f>
        <v>111</v>
      </c>
      <c r="B160" s="20">
        <f t="shared" si="51"/>
        <v>1110000</v>
      </c>
      <c r="C160" s="20">
        <f t="shared" si="52"/>
        <v>6600</v>
      </c>
      <c r="D160" s="20">
        <f t="shared" si="53"/>
        <v>366300</v>
      </c>
      <c r="E160" s="20">
        <f t="shared" si="54"/>
        <v>1476300</v>
      </c>
      <c r="I160" s="20"/>
      <c r="Q160" s="20"/>
      <c r="R160" s="20"/>
      <c r="S160" s="20"/>
      <c r="T160" s="20"/>
    </row>
    <row r="161" spans="1:20" x14ac:dyDescent="0.25">
      <c r="A161">
        <f t="shared" si="56"/>
        <v>112</v>
      </c>
      <c r="B161" s="20">
        <f t="shared" si="51"/>
        <v>1120000</v>
      </c>
      <c r="C161" s="20">
        <f t="shared" si="52"/>
        <v>6660</v>
      </c>
      <c r="D161" s="20">
        <f t="shared" si="53"/>
        <v>372960</v>
      </c>
      <c r="E161" s="20">
        <f t="shared" si="54"/>
        <v>1492960</v>
      </c>
      <c r="I161" s="20"/>
      <c r="Q161" s="20"/>
      <c r="R161" s="20"/>
      <c r="S161" s="20"/>
      <c r="T161" s="20"/>
    </row>
    <row r="162" spans="1:20" x14ac:dyDescent="0.25">
      <c r="A162">
        <f t="shared" si="56"/>
        <v>113</v>
      </c>
      <c r="B162" s="20">
        <f t="shared" si="51"/>
        <v>1130000</v>
      </c>
      <c r="C162" s="20">
        <f t="shared" si="52"/>
        <v>6720</v>
      </c>
      <c r="D162" s="20">
        <f t="shared" si="53"/>
        <v>379680</v>
      </c>
      <c r="E162" s="20">
        <f t="shared" si="54"/>
        <v>1509680</v>
      </c>
      <c r="I162" s="20"/>
      <c r="Q162" s="20"/>
      <c r="R162" s="20"/>
      <c r="S162" s="20"/>
      <c r="T162" s="20"/>
    </row>
    <row r="163" spans="1:20" x14ac:dyDescent="0.25">
      <c r="A163">
        <f t="shared" si="56"/>
        <v>114</v>
      </c>
      <c r="B163" s="20">
        <f t="shared" si="51"/>
        <v>1140000</v>
      </c>
      <c r="C163" s="20">
        <f t="shared" si="52"/>
        <v>6780</v>
      </c>
      <c r="D163" s="20">
        <f t="shared" si="53"/>
        <v>386460</v>
      </c>
      <c r="E163" s="20">
        <f t="shared" si="54"/>
        <v>1526460</v>
      </c>
      <c r="I163" s="20"/>
      <c r="Q163" s="20"/>
      <c r="R163" s="20"/>
      <c r="S163" s="20"/>
      <c r="T163" s="20"/>
    </row>
    <row r="164" spans="1:20" x14ac:dyDescent="0.25">
      <c r="A164">
        <f t="shared" si="56"/>
        <v>115</v>
      </c>
      <c r="B164" s="20">
        <f t="shared" si="51"/>
        <v>1150000</v>
      </c>
      <c r="C164" s="20">
        <f t="shared" si="52"/>
        <v>6840</v>
      </c>
      <c r="D164" s="20">
        <f t="shared" si="53"/>
        <v>393300</v>
      </c>
      <c r="E164" s="20">
        <f t="shared" si="54"/>
        <v>1543300</v>
      </c>
      <c r="I164" s="20"/>
      <c r="Q164" s="20"/>
      <c r="R164" s="20"/>
      <c r="S164" s="20"/>
      <c r="T164" s="20"/>
    </row>
    <row r="165" spans="1:20" x14ac:dyDescent="0.25">
      <c r="A165">
        <f t="shared" si="56"/>
        <v>116</v>
      </c>
      <c r="B165" s="20">
        <f t="shared" si="51"/>
        <v>1160000</v>
      </c>
      <c r="C165" s="20">
        <f t="shared" si="52"/>
        <v>6900</v>
      </c>
      <c r="D165" s="20">
        <f t="shared" si="53"/>
        <v>400200</v>
      </c>
      <c r="E165" s="20">
        <f t="shared" si="54"/>
        <v>1560200</v>
      </c>
      <c r="I165" s="20"/>
      <c r="Q165" s="20"/>
      <c r="R165" s="20"/>
      <c r="S165" s="20"/>
      <c r="T165" s="20"/>
    </row>
    <row r="166" spans="1:20" x14ac:dyDescent="0.25">
      <c r="A166">
        <f t="shared" si="56"/>
        <v>117</v>
      </c>
      <c r="B166" s="20">
        <f t="shared" si="51"/>
        <v>1170000</v>
      </c>
      <c r="C166" s="20">
        <f t="shared" si="52"/>
        <v>6960</v>
      </c>
      <c r="D166" s="20">
        <f t="shared" si="53"/>
        <v>407160</v>
      </c>
      <c r="E166" s="20">
        <f t="shared" si="54"/>
        <v>1577160</v>
      </c>
      <c r="I166" s="20"/>
      <c r="Q166" s="20"/>
      <c r="R166" s="20"/>
      <c r="S166" s="20"/>
      <c r="T166" s="20"/>
    </row>
    <row r="167" spans="1:20" x14ac:dyDescent="0.25">
      <c r="A167">
        <f t="shared" si="56"/>
        <v>118</v>
      </c>
      <c r="B167" s="20">
        <f t="shared" si="51"/>
        <v>1180000</v>
      </c>
      <c r="C167" s="20">
        <f t="shared" si="52"/>
        <v>7020</v>
      </c>
      <c r="D167" s="20">
        <f t="shared" si="53"/>
        <v>414180</v>
      </c>
      <c r="E167" s="20">
        <f t="shared" si="54"/>
        <v>1594180</v>
      </c>
      <c r="I167" s="20"/>
      <c r="Q167" s="20"/>
      <c r="R167" s="20"/>
      <c r="S167" s="20"/>
      <c r="T167" s="20"/>
    </row>
    <row r="168" spans="1:20" x14ac:dyDescent="0.25">
      <c r="A168">
        <f t="shared" si="56"/>
        <v>119</v>
      </c>
      <c r="B168" s="20">
        <f t="shared" si="51"/>
        <v>1190000</v>
      </c>
      <c r="C168" s="20">
        <f t="shared" si="52"/>
        <v>7080</v>
      </c>
      <c r="D168" s="20">
        <f t="shared" si="53"/>
        <v>421260</v>
      </c>
      <c r="E168" s="20">
        <f t="shared" si="54"/>
        <v>1611260</v>
      </c>
      <c r="I168" s="20"/>
      <c r="Q168" s="20"/>
      <c r="R168" s="20"/>
      <c r="S168" s="20"/>
      <c r="T168" s="20"/>
    </row>
    <row r="169" spans="1:20" x14ac:dyDescent="0.25">
      <c r="A169">
        <f t="shared" si="56"/>
        <v>120</v>
      </c>
      <c r="B169" s="20">
        <f t="shared" si="51"/>
        <v>1200000</v>
      </c>
      <c r="C169" s="20">
        <f t="shared" si="52"/>
        <v>7140</v>
      </c>
      <c r="D169" s="20">
        <f t="shared" si="53"/>
        <v>428400</v>
      </c>
      <c r="E169" s="20">
        <f t="shared" si="54"/>
        <v>1628400</v>
      </c>
      <c r="G169" t="s">
        <v>215</v>
      </c>
      <c r="I169" s="20"/>
      <c r="L169" s="12"/>
      <c r="Q169" s="20"/>
      <c r="R169" s="20"/>
      <c r="S169" s="20"/>
      <c r="T169" s="20"/>
    </row>
    <row r="170" spans="1:20" x14ac:dyDescent="0.25">
      <c r="A170">
        <f t="shared" si="56"/>
        <v>121</v>
      </c>
      <c r="B170" s="20">
        <f t="shared" ref="B170:B214" si="57">$B$47+B169</f>
        <v>1210000</v>
      </c>
      <c r="C170" s="20">
        <f t="shared" si="52"/>
        <v>7200</v>
      </c>
      <c r="D170" s="20">
        <f t="shared" ref="D170:D214" si="58">D169+C170</f>
        <v>435600</v>
      </c>
      <c r="E170" s="20">
        <f t="shared" ref="E170:E214" si="59">B170+D170</f>
        <v>1645600</v>
      </c>
    </row>
    <row r="171" spans="1:20" x14ac:dyDescent="0.25">
      <c r="A171">
        <f t="shared" si="56"/>
        <v>122</v>
      </c>
      <c r="B171" s="20">
        <f t="shared" si="57"/>
        <v>1220000</v>
      </c>
      <c r="C171" s="20">
        <f t="shared" si="52"/>
        <v>7260</v>
      </c>
      <c r="D171" s="20">
        <f t="shared" si="58"/>
        <v>442860</v>
      </c>
      <c r="E171" s="20">
        <f t="shared" si="59"/>
        <v>1662860</v>
      </c>
    </row>
    <row r="172" spans="1:20" x14ac:dyDescent="0.25">
      <c r="A172">
        <f t="shared" si="56"/>
        <v>123</v>
      </c>
      <c r="B172" s="20">
        <f t="shared" si="57"/>
        <v>1230000</v>
      </c>
      <c r="C172" s="20">
        <f t="shared" si="52"/>
        <v>7320</v>
      </c>
      <c r="D172" s="20">
        <f t="shared" si="58"/>
        <v>450180</v>
      </c>
      <c r="E172" s="20">
        <f t="shared" si="59"/>
        <v>1680180</v>
      </c>
    </row>
    <row r="173" spans="1:20" x14ac:dyDescent="0.25">
      <c r="A173">
        <f t="shared" si="56"/>
        <v>124</v>
      </c>
      <c r="B173" s="20">
        <f t="shared" si="57"/>
        <v>1240000</v>
      </c>
      <c r="C173" s="20">
        <f t="shared" si="52"/>
        <v>7380</v>
      </c>
      <c r="D173" s="20">
        <f t="shared" si="58"/>
        <v>457560</v>
      </c>
      <c r="E173" s="20">
        <f t="shared" si="59"/>
        <v>1697560</v>
      </c>
    </row>
    <row r="174" spans="1:20" x14ac:dyDescent="0.25">
      <c r="A174">
        <f t="shared" si="56"/>
        <v>125</v>
      </c>
      <c r="B174" s="20">
        <f t="shared" si="57"/>
        <v>1250000</v>
      </c>
      <c r="C174" s="20">
        <f t="shared" si="52"/>
        <v>7440</v>
      </c>
      <c r="D174" s="20">
        <f t="shared" si="58"/>
        <v>465000</v>
      </c>
      <c r="E174" s="20">
        <f t="shared" si="59"/>
        <v>1715000</v>
      </c>
    </row>
    <row r="175" spans="1:20" x14ac:dyDescent="0.25">
      <c r="A175">
        <f t="shared" si="56"/>
        <v>126</v>
      </c>
      <c r="B175" s="20">
        <f t="shared" si="57"/>
        <v>1260000</v>
      </c>
      <c r="C175" s="20">
        <f t="shared" si="52"/>
        <v>7500</v>
      </c>
      <c r="D175" s="20">
        <f t="shared" si="58"/>
        <v>472500</v>
      </c>
      <c r="E175" s="20">
        <f t="shared" si="59"/>
        <v>1732500</v>
      </c>
    </row>
    <row r="176" spans="1:20" x14ac:dyDescent="0.25">
      <c r="A176">
        <f t="shared" si="56"/>
        <v>127</v>
      </c>
      <c r="B176" s="20">
        <f t="shared" si="57"/>
        <v>1270000</v>
      </c>
      <c r="C176" s="20">
        <f t="shared" si="52"/>
        <v>7560</v>
      </c>
      <c r="D176" s="20">
        <f t="shared" si="58"/>
        <v>480060</v>
      </c>
      <c r="E176" s="20">
        <f t="shared" si="59"/>
        <v>1750060</v>
      </c>
    </row>
    <row r="177" spans="1:5" x14ac:dyDescent="0.25">
      <c r="A177">
        <f t="shared" si="56"/>
        <v>128</v>
      </c>
      <c r="B177" s="20">
        <f t="shared" si="57"/>
        <v>1280000</v>
      </c>
      <c r="C177" s="20">
        <f t="shared" si="52"/>
        <v>7620</v>
      </c>
      <c r="D177" s="20">
        <f t="shared" si="58"/>
        <v>487680</v>
      </c>
      <c r="E177" s="20">
        <f t="shared" si="59"/>
        <v>1767680</v>
      </c>
    </row>
    <row r="178" spans="1:5" x14ac:dyDescent="0.25">
      <c r="A178">
        <f t="shared" si="56"/>
        <v>129</v>
      </c>
      <c r="B178" s="20">
        <f t="shared" si="57"/>
        <v>1290000</v>
      </c>
      <c r="C178" s="20">
        <f t="shared" si="52"/>
        <v>7680</v>
      </c>
      <c r="D178" s="20">
        <f t="shared" si="58"/>
        <v>495360</v>
      </c>
      <c r="E178" s="20">
        <f t="shared" si="59"/>
        <v>1785360</v>
      </c>
    </row>
    <row r="179" spans="1:5" x14ac:dyDescent="0.25">
      <c r="A179">
        <f t="shared" si="56"/>
        <v>130</v>
      </c>
      <c r="B179" s="20">
        <f t="shared" si="57"/>
        <v>1300000</v>
      </c>
      <c r="C179" s="20">
        <f t="shared" si="52"/>
        <v>7740</v>
      </c>
      <c r="D179" s="20">
        <f t="shared" si="58"/>
        <v>503100</v>
      </c>
      <c r="E179" s="20">
        <f t="shared" si="59"/>
        <v>1803100</v>
      </c>
    </row>
    <row r="180" spans="1:5" x14ac:dyDescent="0.25">
      <c r="A180">
        <f t="shared" si="56"/>
        <v>131</v>
      </c>
      <c r="B180" s="20">
        <f t="shared" si="57"/>
        <v>1310000</v>
      </c>
      <c r="C180" s="20">
        <f t="shared" si="52"/>
        <v>7800</v>
      </c>
      <c r="D180" s="20">
        <f t="shared" si="58"/>
        <v>510900</v>
      </c>
      <c r="E180" s="20">
        <f t="shared" si="59"/>
        <v>1820900</v>
      </c>
    </row>
    <row r="181" spans="1:5" x14ac:dyDescent="0.25">
      <c r="A181">
        <f t="shared" si="56"/>
        <v>132</v>
      </c>
      <c r="B181" s="20">
        <f t="shared" si="57"/>
        <v>1320000</v>
      </c>
      <c r="C181" s="20">
        <f t="shared" ref="C181:C244" si="60">B180*$E$47</f>
        <v>7860</v>
      </c>
      <c r="D181" s="20">
        <f t="shared" si="58"/>
        <v>518760</v>
      </c>
      <c r="E181" s="20">
        <f t="shared" si="59"/>
        <v>1838760</v>
      </c>
    </row>
    <row r="182" spans="1:5" x14ac:dyDescent="0.25">
      <c r="A182">
        <f t="shared" si="56"/>
        <v>133</v>
      </c>
      <c r="B182" s="20">
        <f t="shared" si="57"/>
        <v>1330000</v>
      </c>
      <c r="C182" s="20">
        <f t="shared" si="60"/>
        <v>7920</v>
      </c>
      <c r="D182" s="20">
        <f t="shared" si="58"/>
        <v>526680</v>
      </c>
      <c r="E182" s="20">
        <f t="shared" si="59"/>
        <v>1856680</v>
      </c>
    </row>
    <row r="183" spans="1:5" x14ac:dyDescent="0.25">
      <c r="A183">
        <f t="shared" si="56"/>
        <v>134</v>
      </c>
      <c r="B183" s="20">
        <f t="shared" si="57"/>
        <v>1340000</v>
      </c>
      <c r="C183" s="20">
        <f t="shared" si="60"/>
        <v>7980</v>
      </c>
      <c r="D183" s="20">
        <f t="shared" si="58"/>
        <v>534660</v>
      </c>
      <c r="E183" s="20">
        <f t="shared" si="59"/>
        <v>1874660</v>
      </c>
    </row>
    <row r="184" spans="1:5" x14ac:dyDescent="0.25">
      <c r="A184">
        <f t="shared" si="56"/>
        <v>135</v>
      </c>
      <c r="B184" s="20">
        <f t="shared" si="57"/>
        <v>1350000</v>
      </c>
      <c r="C184" s="20">
        <f t="shared" si="60"/>
        <v>8040</v>
      </c>
      <c r="D184" s="20">
        <f t="shared" si="58"/>
        <v>542700</v>
      </c>
      <c r="E184" s="20">
        <f t="shared" si="59"/>
        <v>1892700</v>
      </c>
    </row>
    <row r="185" spans="1:5" x14ac:dyDescent="0.25">
      <c r="A185">
        <f t="shared" si="56"/>
        <v>136</v>
      </c>
      <c r="B185" s="20">
        <f t="shared" si="57"/>
        <v>1360000</v>
      </c>
      <c r="C185" s="20">
        <f t="shared" si="60"/>
        <v>8100</v>
      </c>
      <c r="D185" s="20">
        <f t="shared" si="58"/>
        <v>550800</v>
      </c>
      <c r="E185" s="20">
        <f t="shared" si="59"/>
        <v>1910800</v>
      </c>
    </row>
    <row r="186" spans="1:5" x14ac:dyDescent="0.25">
      <c r="A186">
        <f t="shared" si="56"/>
        <v>137</v>
      </c>
      <c r="B186" s="20">
        <f t="shared" si="57"/>
        <v>1370000</v>
      </c>
      <c r="C186" s="20">
        <f t="shared" si="60"/>
        <v>8160</v>
      </c>
      <c r="D186" s="20">
        <f t="shared" si="58"/>
        <v>558960</v>
      </c>
      <c r="E186" s="20">
        <f t="shared" si="59"/>
        <v>1928960</v>
      </c>
    </row>
    <row r="187" spans="1:5" x14ac:dyDescent="0.25">
      <c r="A187">
        <f t="shared" si="56"/>
        <v>138</v>
      </c>
      <c r="B187" s="20">
        <f t="shared" si="57"/>
        <v>1380000</v>
      </c>
      <c r="C187" s="20">
        <f t="shared" si="60"/>
        <v>8220</v>
      </c>
      <c r="D187" s="20">
        <f t="shared" si="58"/>
        <v>567180</v>
      </c>
      <c r="E187" s="20">
        <f t="shared" si="59"/>
        <v>1947180</v>
      </c>
    </row>
    <row r="188" spans="1:5" x14ac:dyDescent="0.25">
      <c r="A188">
        <f t="shared" si="56"/>
        <v>139</v>
      </c>
      <c r="B188" s="20">
        <f t="shared" si="57"/>
        <v>1390000</v>
      </c>
      <c r="C188" s="20">
        <f t="shared" si="60"/>
        <v>8280</v>
      </c>
      <c r="D188" s="20">
        <f t="shared" si="58"/>
        <v>575460</v>
      </c>
      <c r="E188" s="20">
        <f t="shared" si="59"/>
        <v>1965460</v>
      </c>
    </row>
    <row r="189" spans="1:5" x14ac:dyDescent="0.25">
      <c r="A189">
        <f t="shared" si="56"/>
        <v>140</v>
      </c>
      <c r="B189" s="20">
        <f t="shared" si="57"/>
        <v>1400000</v>
      </c>
      <c r="C189" s="20">
        <f t="shared" si="60"/>
        <v>8340</v>
      </c>
      <c r="D189" s="20">
        <f t="shared" si="58"/>
        <v>583800</v>
      </c>
      <c r="E189" s="20">
        <f t="shared" si="59"/>
        <v>1983800</v>
      </c>
    </row>
    <row r="190" spans="1:5" x14ac:dyDescent="0.25">
      <c r="A190">
        <f t="shared" si="56"/>
        <v>141</v>
      </c>
      <c r="B190" s="20">
        <f t="shared" si="57"/>
        <v>1410000</v>
      </c>
      <c r="C190" s="20">
        <f t="shared" si="60"/>
        <v>8400</v>
      </c>
      <c r="D190" s="20">
        <f t="shared" si="58"/>
        <v>592200</v>
      </c>
      <c r="E190" s="20">
        <f t="shared" si="59"/>
        <v>2002200</v>
      </c>
    </row>
    <row r="191" spans="1:5" x14ac:dyDescent="0.25">
      <c r="A191">
        <f t="shared" si="56"/>
        <v>142</v>
      </c>
      <c r="B191" s="20">
        <f t="shared" si="57"/>
        <v>1420000</v>
      </c>
      <c r="C191" s="20">
        <f t="shared" si="60"/>
        <v>8460</v>
      </c>
      <c r="D191" s="20">
        <f t="shared" si="58"/>
        <v>600660</v>
      </c>
      <c r="E191" s="20">
        <f t="shared" si="59"/>
        <v>2020660</v>
      </c>
    </row>
    <row r="192" spans="1:5" x14ac:dyDescent="0.25">
      <c r="A192">
        <f t="shared" si="56"/>
        <v>143</v>
      </c>
      <c r="B192" s="20">
        <f t="shared" si="57"/>
        <v>1430000</v>
      </c>
      <c r="C192" s="20">
        <f t="shared" si="60"/>
        <v>8520</v>
      </c>
      <c r="D192" s="20">
        <f t="shared" si="58"/>
        <v>609180</v>
      </c>
      <c r="E192" s="20">
        <f t="shared" si="59"/>
        <v>2039180</v>
      </c>
    </row>
    <row r="193" spans="1:5" x14ac:dyDescent="0.25">
      <c r="A193">
        <f t="shared" si="56"/>
        <v>144</v>
      </c>
      <c r="B193" s="20">
        <f t="shared" si="57"/>
        <v>1440000</v>
      </c>
      <c r="C193" s="20">
        <f t="shared" si="60"/>
        <v>8580</v>
      </c>
      <c r="D193" s="20">
        <f t="shared" si="58"/>
        <v>617760</v>
      </c>
      <c r="E193" s="20">
        <f t="shared" si="59"/>
        <v>2057760</v>
      </c>
    </row>
    <row r="194" spans="1:5" x14ac:dyDescent="0.25">
      <c r="A194">
        <f t="shared" si="56"/>
        <v>145</v>
      </c>
      <c r="B194" s="20">
        <f t="shared" si="57"/>
        <v>1450000</v>
      </c>
      <c r="C194" s="20">
        <f t="shared" si="60"/>
        <v>8640</v>
      </c>
      <c r="D194" s="20">
        <f t="shared" si="58"/>
        <v>626400</v>
      </c>
      <c r="E194" s="20">
        <f t="shared" si="59"/>
        <v>2076400</v>
      </c>
    </row>
    <row r="195" spans="1:5" x14ac:dyDescent="0.25">
      <c r="A195">
        <f t="shared" si="56"/>
        <v>146</v>
      </c>
      <c r="B195" s="20">
        <f t="shared" si="57"/>
        <v>1460000</v>
      </c>
      <c r="C195" s="20">
        <f t="shared" si="60"/>
        <v>8700</v>
      </c>
      <c r="D195" s="20">
        <f t="shared" si="58"/>
        <v>635100</v>
      </c>
      <c r="E195" s="20">
        <f t="shared" si="59"/>
        <v>2095100</v>
      </c>
    </row>
    <row r="196" spans="1:5" x14ac:dyDescent="0.25">
      <c r="A196">
        <f t="shared" si="56"/>
        <v>147</v>
      </c>
      <c r="B196" s="20">
        <f t="shared" si="57"/>
        <v>1470000</v>
      </c>
      <c r="C196" s="20">
        <f t="shared" si="60"/>
        <v>8760</v>
      </c>
      <c r="D196" s="20">
        <f t="shared" si="58"/>
        <v>643860</v>
      </c>
      <c r="E196" s="20">
        <f t="shared" si="59"/>
        <v>2113860</v>
      </c>
    </row>
    <row r="197" spans="1:5" x14ac:dyDescent="0.25">
      <c r="A197">
        <f t="shared" si="56"/>
        <v>148</v>
      </c>
      <c r="B197" s="20">
        <f t="shared" si="57"/>
        <v>1480000</v>
      </c>
      <c r="C197" s="20">
        <f t="shared" si="60"/>
        <v>8820</v>
      </c>
      <c r="D197" s="20">
        <f t="shared" si="58"/>
        <v>652680</v>
      </c>
      <c r="E197" s="20">
        <f t="shared" si="59"/>
        <v>2132680</v>
      </c>
    </row>
    <row r="198" spans="1:5" x14ac:dyDescent="0.25">
      <c r="A198">
        <f t="shared" si="56"/>
        <v>149</v>
      </c>
      <c r="B198" s="20">
        <f t="shared" si="57"/>
        <v>1490000</v>
      </c>
      <c r="C198" s="20">
        <f t="shared" si="60"/>
        <v>8880</v>
      </c>
      <c r="D198" s="20">
        <f t="shared" si="58"/>
        <v>661560</v>
      </c>
      <c r="E198" s="20">
        <f t="shared" si="59"/>
        <v>2151560</v>
      </c>
    </row>
    <row r="199" spans="1:5" x14ac:dyDescent="0.25">
      <c r="A199">
        <f t="shared" si="56"/>
        <v>150</v>
      </c>
      <c r="B199" s="20">
        <f t="shared" si="57"/>
        <v>1500000</v>
      </c>
      <c r="C199" s="20">
        <f t="shared" si="60"/>
        <v>8940</v>
      </c>
      <c r="D199" s="20">
        <f t="shared" si="58"/>
        <v>670500</v>
      </c>
      <c r="E199" s="20">
        <f t="shared" si="59"/>
        <v>2170500</v>
      </c>
    </row>
    <row r="200" spans="1:5" x14ac:dyDescent="0.25">
      <c r="A200">
        <f t="shared" si="56"/>
        <v>151</v>
      </c>
      <c r="B200" s="20">
        <f t="shared" si="57"/>
        <v>1510000</v>
      </c>
      <c r="C200" s="20">
        <f t="shared" si="60"/>
        <v>9000</v>
      </c>
      <c r="D200" s="20">
        <f t="shared" si="58"/>
        <v>679500</v>
      </c>
      <c r="E200" s="20">
        <f t="shared" si="59"/>
        <v>2189500</v>
      </c>
    </row>
    <row r="201" spans="1:5" x14ac:dyDescent="0.25">
      <c r="A201">
        <f t="shared" si="56"/>
        <v>152</v>
      </c>
      <c r="B201" s="20">
        <f t="shared" si="57"/>
        <v>1520000</v>
      </c>
      <c r="C201" s="20">
        <f t="shared" si="60"/>
        <v>9060</v>
      </c>
      <c r="D201" s="20">
        <f t="shared" si="58"/>
        <v>688560</v>
      </c>
      <c r="E201" s="20">
        <f t="shared" si="59"/>
        <v>2208560</v>
      </c>
    </row>
    <row r="202" spans="1:5" x14ac:dyDescent="0.25">
      <c r="A202">
        <f t="shared" si="56"/>
        <v>153</v>
      </c>
      <c r="B202" s="20">
        <f t="shared" si="57"/>
        <v>1530000</v>
      </c>
      <c r="C202" s="20">
        <f t="shared" si="60"/>
        <v>9120</v>
      </c>
      <c r="D202" s="20">
        <f t="shared" si="58"/>
        <v>697680</v>
      </c>
      <c r="E202" s="20">
        <f t="shared" si="59"/>
        <v>2227680</v>
      </c>
    </row>
    <row r="203" spans="1:5" x14ac:dyDescent="0.25">
      <c r="A203">
        <f t="shared" si="56"/>
        <v>154</v>
      </c>
      <c r="B203" s="20">
        <f t="shared" si="57"/>
        <v>1540000</v>
      </c>
      <c r="C203" s="20">
        <f t="shared" si="60"/>
        <v>9180</v>
      </c>
      <c r="D203" s="20">
        <f t="shared" si="58"/>
        <v>706860</v>
      </c>
      <c r="E203" s="20">
        <f t="shared" si="59"/>
        <v>2246860</v>
      </c>
    </row>
    <row r="204" spans="1:5" x14ac:dyDescent="0.25">
      <c r="A204">
        <f t="shared" si="56"/>
        <v>155</v>
      </c>
      <c r="B204" s="20">
        <f t="shared" si="57"/>
        <v>1550000</v>
      </c>
      <c r="C204" s="20">
        <f t="shared" si="60"/>
        <v>9240</v>
      </c>
      <c r="D204" s="20">
        <f t="shared" si="58"/>
        <v>716100</v>
      </c>
      <c r="E204" s="20">
        <f t="shared" si="59"/>
        <v>2266100</v>
      </c>
    </row>
    <row r="205" spans="1:5" x14ac:dyDescent="0.25">
      <c r="A205">
        <f t="shared" si="56"/>
        <v>156</v>
      </c>
      <c r="B205" s="20">
        <f t="shared" si="57"/>
        <v>1560000</v>
      </c>
      <c r="C205" s="20">
        <f t="shared" si="60"/>
        <v>9300</v>
      </c>
      <c r="D205" s="20">
        <f t="shared" si="58"/>
        <v>725400</v>
      </c>
      <c r="E205" s="20">
        <f t="shared" si="59"/>
        <v>2285400</v>
      </c>
    </row>
    <row r="206" spans="1:5" x14ac:dyDescent="0.25">
      <c r="A206">
        <f t="shared" si="56"/>
        <v>157</v>
      </c>
      <c r="B206" s="20">
        <f t="shared" si="57"/>
        <v>1570000</v>
      </c>
      <c r="C206" s="20">
        <f t="shared" si="60"/>
        <v>9360</v>
      </c>
      <c r="D206" s="20">
        <f t="shared" si="58"/>
        <v>734760</v>
      </c>
      <c r="E206" s="20">
        <f t="shared" si="59"/>
        <v>2304760</v>
      </c>
    </row>
    <row r="207" spans="1:5" x14ac:dyDescent="0.25">
      <c r="A207">
        <f t="shared" si="56"/>
        <v>158</v>
      </c>
      <c r="B207" s="20">
        <f t="shared" si="57"/>
        <v>1580000</v>
      </c>
      <c r="C207" s="20">
        <f t="shared" si="60"/>
        <v>9420</v>
      </c>
      <c r="D207" s="20">
        <f t="shared" si="58"/>
        <v>744180</v>
      </c>
      <c r="E207" s="20">
        <f t="shared" si="59"/>
        <v>2324180</v>
      </c>
    </row>
    <row r="208" spans="1:5" x14ac:dyDescent="0.25">
      <c r="A208">
        <f t="shared" si="56"/>
        <v>159</v>
      </c>
      <c r="B208" s="20">
        <f t="shared" si="57"/>
        <v>1590000</v>
      </c>
      <c r="C208" s="20">
        <f t="shared" si="60"/>
        <v>9480</v>
      </c>
      <c r="D208" s="20">
        <f t="shared" si="58"/>
        <v>753660</v>
      </c>
      <c r="E208" s="20">
        <f t="shared" si="59"/>
        <v>2343660</v>
      </c>
    </row>
    <row r="209" spans="1:5" x14ac:dyDescent="0.25">
      <c r="A209">
        <f t="shared" si="56"/>
        <v>160</v>
      </c>
      <c r="B209" s="20">
        <f t="shared" si="57"/>
        <v>1600000</v>
      </c>
      <c r="C209" s="20">
        <f t="shared" si="60"/>
        <v>9540</v>
      </c>
      <c r="D209" s="20">
        <f t="shared" si="58"/>
        <v>763200</v>
      </c>
      <c r="E209" s="20">
        <f t="shared" si="59"/>
        <v>2363200</v>
      </c>
    </row>
    <row r="210" spans="1:5" x14ac:dyDescent="0.25">
      <c r="A210">
        <f t="shared" si="56"/>
        <v>161</v>
      </c>
      <c r="B210" s="20">
        <f t="shared" si="57"/>
        <v>1610000</v>
      </c>
      <c r="C210" s="20">
        <f t="shared" si="60"/>
        <v>9600</v>
      </c>
      <c r="D210" s="20">
        <f t="shared" si="58"/>
        <v>772800</v>
      </c>
      <c r="E210" s="20">
        <f t="shared" si="59"/>
        <v>2382800</v>
      </c>
    </row>
    <row r="211" spans="1:5" x14ac:dyDescent="0.25">
      <c r="A211">
        <f t="shared" si="56"/>
        <v>162</v>
      </c>
      <c r="B211" s="20">
        <f t="shared" si="57"/>
        <v>1620000</v>
      </c>
      <c r="C211" s="20">
        <f t="shared" si="60"/>
        <v>9660</v>
      </c>
      <c r="D211" s="20">
        <f t="shared" si="58"/>
        <v>782460</v>
      </c>
      <c r="E211" s="20">
        <f t="shared" si="59"/>
        <v>2402460</v>
      </c>
    </row>
    <row r="212" spans="1:5" x14ac:dyDescent="0.25">
      <c r="A212">
        <f t="shared" si="56"/>
        <v>163</v>
      </c>
      <c r="B212" s="20">
        <f t="shared" si="57"/>
        <v>1630000</v>
      </c>
      <c r="C212" s="20">
        <f t="shared" si="60"/>
        <v>9720</v>
      </c>
      <c r="D212" s="20">
        <f t="shared" si="58"/>
        <v>792180</v>
      </c>
      <c r="E212" s="20">
        <f t="shared" si="59"/>
        <v>2422180</v>
      </c>
    </row>
    <row r="213" spans="1:5" x14ac:dyDescent="0.25">
      <c r="A213">
        <f t="shared" si="56"/>
        <v>164</v>
      </c>
      <c r="B213" s="20">
        <f t="shared" si="57"/>
        <v>1640000</v>
      </c>
      <c r="C213" s="20">
        <f t="shared" si="60"/>
        <v>9780</v>
      </c>
      <c r="D213" s="20">
        <f t="shared" si="58"/>
        <v>801960</v>
      </c>
      <c r="E213" s="20">
        <f t="shared" si="59"/>
        <v>2441960</v>
      </c>
    </row>
    <row r="214" spans="1:5" x14ac:dyDescent="0.25">
      <c r="A214">
        <f t="shared" si="56"/>
        <v>165</v>
      </c>
      <c r="B214" s="20">
        <f t="shared" si="57"/>
        <v>1650000</v>
      </c>
      <c r="C214" s="20">
        <f t="shared" si="60"/>
        <v>9840</v>
      </c>
      <c r="D214" s="20">
        <f t="shared" si="58"/>
        <v>811800</v>
      </c>
      <c r="E214" s="20">
        <f t="shared" si="59"/>
        <v>2461800</v>
      </c>
    </row>
    <row r="215" spans="1:5" x14ac:dyDescent="0.25">
      <c r="A215">
        <f t="shared" si="56"/>
        <v>166</v>
      </c>
      <c r="B215" s="20">
        <f t="shared" ref="B215:B278" si="61">$B$47+B214</f>
        <v>1660000</v>
      </c>
      <c r="C215" s="20">
        <f t="shared" si="60"/>
        <v>9900</v>
      </c>
      <c r="D215" s="20">
        <f t="shared" ref="D215:D278" si="62">D214+C215</f>
        <v>821700</v>
      </c>
      <c r="E215" s="20">
        <f t="shared" ref="E215:E278" si="63">B215+D215</f>
        <v>2481700</v>
      </c>
    </row>
    <row r="216" spans="1:5" x14ac:dyDescent="0.25">
      <c r="A216">
        <f t="shared" si="56"/>
        <v>167</v>
      </c>
      <c r="B216" s="20">
        <f t="shared" si="61"/>
        <v>1670000</v>
      </c>
      <c r="C216" s="20">
        <f t="shared" si="60"/>
        <v>9960</v>
      </c>
      <c r="D216" s="20">
        <f t="shared" si="62"/>
        <v>831660</v>
      </c>
      <c r="E216" s="20">
        <f t="shared" si="63"/>
        <v>2501660</v>
      </c>
    </row>
    <row r="217" spans="1:5" x14ac:dyDescent="0.25">
      <c r="A217">
        <f t="shared" si="56"/>
        <v>168</v>
      </c>
      <c r="B217" s="20">
        <f t="shared" si="61"/>
        <v>1680000</v>
      </c>
      <c r="C217" s="20">
        <f t="shared" si="60"/>
        <v>10020</v>
      </c>
      <c r="D217" s="20">
        <f t="shared" si="62"/>
        <v>841680</v>
      </c>
      <c r="E217" s="20">
        <f t="shared" si="63"/>
        <v>2521680</v>
      </c>
    </row>
    <row r="218" spans="1:5" x14ac:dyDescent="0.25">
      <c r="A218">
        <f t="shared" si="56"/>
        <v>169</v>
      </c>
      <c r="B218" s="20">
        <f t="shared" si="61"/>
        <v>1690000</v>
      </c>
      <c r="C218" s="20">
        <f t="shared" si="60"/>
        <v>10080</v>
      </c>
      <c r="D218" s="20">
        <f t="shared" si="62"/>
        <v>851760</v>
      </c>
      <c r="E218" s="20">
        <f t="shared" si="63"/>
        <v>2541760</v>
      </c>
    </row>
    <row r="219" spans="1:5" x14ac:dyDescent="0.25">
      <c r="A219">
        <f t="shared" si="56"/>
        <v>170</v>
      </c>
      <c r="B219" s="20">
        <f t="shared" si="61"/>
        <v>1700000</v>
      </c>
      <c r="C219" s="20">
        <f t="shared" si="60"/>
        <v>10140</v>
      </c>
      <c r="D219" s="20">
        <f t="shared" si="62"/>
        <v>861900</v>
      </c>
      <c r="E219" s="20">
        <f t="shared" si="63"/>
        <v>2561900</v>
      </c>
    </row>
    <row r="220" spans="1:5" x14ac:dyDescent="0.25">
      <c r="A220">
        <f t="shared" si="56"/>
        <v>171</v>
      </c>
      <c r="B220" s="20">
        <f t="shared" si="61"/>
        <v>1710000</v>
      </c>
      <c r="C220" s="20">
        <f t="shared" si="60"/>
        <v>10200</v>
      </c>
      <c r="D220" s="20">
        <f t="shared" si="62"/>
        <v>872100</v>
      </c>
      <c r="E220" s="20">
        <f t="shared" si="63"/>
        <v>2582100</v>
      </c>
    </row>
    <row r="221" spans="1:5" x14ac:dyDescent="0.25">
      <c r="A221">
        <f t="shared" si="56"/>
        <v>172</v>
      </c>
      <c r="B221" s="20">
        <f t="shared" si="61"/>
        <v>1720000</v>
      </c>
      <c r="C221" s="20">
        <f t="shared" si="60"/>
        <v>10260</v>
      </c>
      <c r="D221" s="20">
        <f t="shared" si="62"/>
        <v>882360</v>
      </c>
      <c r="E221" s="20">
        <f t="shared" si="63"/>
        <v>2602360</v>
      </c>
    </row>
    <row r="222" spans="1:5" x14ac:dyDescent="0.25">
      <c r="A222">
        <f t="shared" si="56"/>
        <v>173</v>
      </c>
      <c r="B222" s="20">
        <f t="shared" si="61"/>
        <v>1730000</v>
      </c>
      <c r="C222" s="20">
        <f t="shared" si="60"/>
        <v>10320</v>
      </c>
      <c r="D222" s="20">
        <f t="shared" si="62"/>
        <v>892680</v>
      </c>
      <c r="E222" s="20">
        <f t="shared" si="63"/>
        <v>2622680</v>
      </c>
    </row>
    <row r="223" spans="1:5" x14ac:dyDescent="0.25">
      <c r="A223">
        <f t="shared" si="56"/>
        <v>174</v>
      </c>
      <c r="B223" s="20">
        <f t="shared" si="61"/>
        <v>1740000</v>
      </c>
      <c r="C223" s="20">
        <f t="shared" si="60"/>
        <v>10380</v>
      </c>
      <c r="D223" s="20">
        <f t="shared" si="62"/>
        <v>903060</v>
      </c>
      <c r="E223" s="20">
        <f t="shared" si="63"/>
        <v>2643060</v>
      </c>
    </row>
    <row r="224" spans="1:5" x14ac:dyDescent="0.25">
      <c r="A224">
        <f t="shared" ref="A224:A287" si="64">A223+1</f>
        <v>175</v>
      </c>
      <c r="B224" s="20">
        <f t="shared" si="61"/>
        <v>1750000</v>
      </c>
      <c r="C224" s="20">
        <f t="shared" si="60"/>
        <v>10440</v>
      </c>
      <c r="D224" s="20">
        <f t="shared" si="62"/>
        <v>913500</v>
      </c>
      <c r="E224" s="20">
        <f t="shared" si="63"/>
        <v>2663500</v>
      </c>
    </row>
    <row r="225" spans="1:5" x14ac:dyDescent="0.25">
      <c r="A225">
        <f t="shared" si="64"/>
        <v>176</v>
      </c>
      <c r="B225" s="20">
        <f t="shared" si="61"/>
        <v>1760000</v>
      </c>
      <c r="C225" s="20">
        <f t="shared" si="60"/>
        <v>10500</v>
      </c>
      <c r="D225" s="20">
        <f t="shared" si="62"/>
        <v>924000</v>
      </c>
      <c r="E225" s="20">
        <f t="shared" si="63"/>
        <v>2684000</v>
      </c>
    </row>
    <row r="226" spans="1:5" x14ac:dyDescent="0.25">
      <c r="A226">
        <f t="shared" si="64"/>
        <v>177</v>
      </c>
      <c r="B226" s="20">
        <f t="shared" si="61"/>
        <v>1770000</v>
      </c>
      <c r="C226" s="20">
        <f t="shared" si="60"/>
        <v>10560</v>
      </c>
      <c r="D226" s="20">
        <f t="shared" si="62"/>
        <v>934560</v>
      </c>
      <c r="E226" s="20">
        <f t="shared" si="63"/>
        <v>2704560</v>
      </c>
    </row>
    <row r="227" spans="1:5" x14ac:dyDescent="0.25">
      <c r="A227">
        <f t="shared" si="64"/>
        <v>178</v>
      </c>
      <c r="B227" s="20">
        <f t="shared" si="61"/>
        <v>1780000</v>
      </c>
      <c r="C227" s="20">
        <f t="shared" si="60"/>
        <v>10620</v>
      </c>
      <c r="D227" s="20">
        <f t="shared" si="62"/>
        <v>945180</v>
      </c>
      <c r="E227" s="20">
        <f t="shared" si="63"/>
        <v>2725180</v>
      </c>
    </row>
    <row r="228" spans="1:5" x14ac:dyDescent="0.25">
      <c r="A228">
        <f t="shared" si="64"/>
        <v>179</v>
      </c>
      <c r="B228" s="20">
        <f t="shared" si="61"/>
        <v>1790000</v>
      </c>
      <c r="C228" s="20">
        <f t="shared" si="60"/>
        <v>10680</v>
      </c>
      <c r="D228" s="20">
        <f t="shared" si="62"/>
        <v>955860</v>
      </c>
      <c r="E228" s="20">
        <f t="shared" si="63"/>
        <v>2745860</v>
      </c>
    </row>
    <row r="229" spans="1:5" x14ac:dyDescent="0.25">
      <c r="A229">
        <f t="shared" si="64"/>
        <v>180</v>
      </c>
      <c r="B229" s="20">
        <f t="shared" si="61"/>
        <v>1800000</v>
      </c>
      <c r="C229" s="20">
        <f t="shared" si="60"/>
        <v>10740</v>
      </c>
      <c r="D229" s="20">
        <f t="shared" si="62"/>
        <v>966600</v>
      </c>
      <c r="E229" s="20">
        <f t="shared" si="63"/>
        <v>2766600</v>
      </c>
    </row>
    <row r="230" spans="1:5" x14ac:dyDescent="0.25">
      <c r="A230">
        <f t="shared" si="64"/>
        <v>181</v>
      </c>
      <c r="B230" s="20">
        <f t="shared" si="61"/>
        <v>1810000</v>
      </c>
      <c r="C230" s="20">
        <f t="shared" si="60"/>
        <v>10800</v>
      </c>
      <c r="D230" s="20">
        <f t="shared" si="62"/>
        <v>977400</v>
      </c>
      <c r="E230" s="20">
        <f t="shared" si="63"/>
        <v>2787400</v>
      </c>
    </row>
    <row r="231" spans="1:5" x14ac:dyDescent="0.25">
      <c r="A231">
        <f t="shared" si="64"/>
        <v>182</v>
      </c>
      <c r="B231" s="20">
        <f t="shared" si="61"/>
        <v>1820000</v>
      </c>
      <c r="C231" s="20">
        <f t="shared" si="60"/>
        <v>10860</v>
      </c>
      <c r="D231" s="20">
        <f t="shared" si="62"/>
        <v>988260</v>
      </c>
      <c r="E231" s="20">
        <f t="shared" si="63"/>
        <v>2808260</v>
      </c>
    </row>
    <row r="232" spans="1:5" x14ac:dyDescent="0.25">
      <c r="A232">
        <f t="shared" si="64"/>
        <v>183</v>
      </c>
      <c r="B232" s="20">
        <f t="shared" si="61"/>
        <v>1830000</v>
      </c>
      <c r="C232" s="20">
        <f t="shared" si="60"/>
        <v>10920</v>
      </c>
      <c r="D232" s="20">
        <f t="shared" si="62"/>
        <v>999180</v>
      </c>
      <c r="E232" s="20">
        <f t="shared" si="63"/>
        <v>2829180</v>
      </c>
    </row>
    <row r="233" spans="1:5" x14ac:dyDescent="0.25">
      <c r="A233">
        <f t="shared" si="64"/>
        <v>184</v>
      </c>
      <c r="B233" s="20">
        <f t="shared" si="61"/>
        <v>1840000</v>
      </c>
      <c r="C233" s="20">
        <f t="shared" si="60"/>
        <v>10980</v>
      </c>
      <c r="D233" s="20">
        <f t="shared" si="62"/>
        <v>1010160</v>
      </c>
      <c r="E233" s="20">
        <f t="shared" si="63"/>
        <v>2850160</v>
      </c>
    </row>
    <row r="234" spans="1:5" x14ac:dyDescent="0.25">
      <c r="A234">
        <f t="shared" si="64"/>
        <v>185</v>
      </c>
      <c r="B234" s="20">
        <f t="shared" si="61"/>
        <v>1850000</v>
      </c>
      <c r="C234" s="20">
        <f t="shared" si="60"/>
        <v>11040</v>
      </c>
      <c r="D234" s="20">
        <f t="shared" si="62"/>
        <v>1021200</v>
      </c>
      <c r="E234" s="20">
        <f t="shared" si="63"/>
        <v>2871200</v>
      </c>
    </row>
    <row r="235" spans="1:5" x14ac:dyDescent="0.25">
      <c r="A235">
        <f t="shared" si="64"/>
        <v>186</v>
      </c>
      <c r="B235" s="20">
        <f t="shared" si="61"/>
        <v>1860000</v>
      </c>
      <c r="C235" s="20">
        <f t="shared" si="60"/>
        <v>11100</v>
      </c>
      <c r="D235" s="20">
        <f t="shared" si="62"/>
        <v>1032300</v>
      </c>
      <c r="E235" s="20">
        <f t="shared" si="63"/>
        <v>2892300</v>
      </c>
    </row>
    <row r="236" spans="1:5" x14ac:dyDescent="0.25">
      <c r="A236">
        <f t="shared" si="64"/>
        <v>187</v>
      </c>
      <c r="B236" s="20">
        <f t="shared" si="61"/>
        <v>1870000</v>
      </c>
      <c r="C236" s="20">
        <f t="shared" si="60"/>
        <v>11160</v>
      </c>
      <c r="D236" s="20">
        <f t="shared" si="62"/>
        <v>1043460</v>
      </c>
      <c r="E236" s="20">
        <f t="shared" si="63"/>
        <v>2913460</v>
      </c>
    </row>
    <row r="237" spans="1:5" x14ac:dyDescent="0.25">
      <c r="A237">
        <f t="shared" si="64"/>
        <v>188</v>
      </c>
      <c r="B237" s="20">
        <f t="shared" si="61"/>
        <v>1880000</v>
      </c>
      <c r="C237" s="20">
        <f t="shared" si="60"/>
        <v>11220</v>
      </c>
      <c r="D237" s="20">
        <f t="shared" si="62"/>
        <v>1054680</v>
      </c>
      <c r="E237" s="20">
        <f t="shared" si="63"/>
        <v>2934680</v>
      </c>
    </row>
    <row r="238" spans="1:5" x14ac:dyDescent="0.25">
      <c r="A238">
        <f t="shared" si="64"/>
        <v>189</v>
      </c>
      <c r="B238" s="20">
        <f t="shared" si="61"/>
        <v>1890000</v>
      </c>
      <c r="C238" s="20">
        <f t="shared" si="60"/>
        <v>11280</v>
      </c>
      <c r="D238" s="20">
        <f t="shared" si="62"/>
        <v>1065960</v>
      </c>
      <c r="E238" s="20">
        <f t="shared" si="63"/>
        <v>2955960</v>
      </c>
    </row>
    <row r="239" spans="1:5" x14ac:dyDescent="0.25">
      <c r="A239">
        <f t="shared" si="64"/>
        <v>190</v>
      </c>
      <c r="B239" s="20">
        <f t="shared" si="61"/>
        <v>1900000</v>
      </c>
      <c r="C239" s="20">
        <f t="shared" si="60"/>
        <v>11340</v>
      </c>
      <c r="D239" s="20">
        <f t="shared" si="62"/>
        <v>1077300</v>
      </c>
      <c r="E239" s="20">
        <f t="shared" si="63"/>
        <v>2977300</v>
      </c>
    </row>
    <row r="240" spans="1:5" x14ac:dyDescent="0.25">
      <c r="A240">
        <f t="shared" si="64"/>
        <v>191</v>
      </c>
      <c r="B240" s="20">
        <f t="shared" si="61"/>
        <v>1910000</v>
      </c>
      <c r="C240" s="20">
        <f t="shared" si="60"/>
        <v>11400</v>
      </c>
      <c r="D240" s="20">
        <f t="shared" si="62"/>
        <v>1088700</v>
      </c>
      <c r="E240" s="20">
        <f t="shared" si="63"/>
        <v>2998700</v>
      </c>
    </row>
    <row r="241" spans="1:5" x14ac:dyDescent="0.25">
      <c r="A241">
        <f t="shared" si="64"/>
        <v>192</v>
      </c>
      <c r="B241" s="20">
        <f t="shared" si="61"/>
        <v>1920000</v>
      </c>
      <c r="C241" s="20">
        <f t="shared" si="60"/>
        <v>11460</v>
      </c>
      <c r="D241" s="20">
        <f t="shared" si="62"/>
        <v>1100160</v>
      </c>
      <c r="E241" s="20">
        <f t="shared" si="63"/>
        <v>3020160</v>
      </c>
    </row>
    <row r="242" spans="1:5" x14ac:dyDescent="0.25">
      <c r="A242">
        <f t="shared" si="64"/>
        <v>193</v>
      </c>
      <c r="B242" s="20">
        <f t="shared" si="61"/>
        <v>1930000</v>
      </c>
      <c r="C242" s="20">
        <f t="shared" si="60"/>
        <v>11520</v>
      </c>
      <c r="D242" s="20">
        <f t="shared" si="62"/>
        <v>1111680</v>
      </c>
      <c r="E242" s="20">
        <f t="shared" si="63"/>
        <v>3041680</v>
      </c>
    </row>
    <row r="243" spans="1:5" x14ac:dyDescent="0.25">
      <c r="A243">
        <f t="shared" si="64"/>
        <v>194</v>
      </c>
      <c r="B243" s="20">
        <f t="shared" si="61"/>
        <v>1940000</v>
      </c>
      <c r="C243" s="20">
        <f t="shared" si="60"/>
        <v>11580</v>
      </c>
      <c r="D243" s="20">
        <f t="shared" si="62"/>
        <v>1123260</v>
      </c>
      <c r="E243" s="20">
        <f t="shared" si="63"/>
        <v>3063260</v>
      </c>
    </row>
    <row r="244" spans="1:5" x14ac:dyDescent="0.25">
      <c r="A244">
        <f t="shared" si="64"/>
        <v>195</v>
      </c>
      <c r="B244" s="20">
        <f t="shared" si="61"/>
        <v>1950000</v>
      </c>
      <c r="C244" s="20">
        <f t="shared" si="60"/>
        <v>11640</v>
      </c>
      <c r="D244" s="20">
        <f t="shared" si="62"/>
        <v>1134900</v>
      </c>
      <c r="E244" s="20">
        <f t="shared" si="63"/>
        <v>3084900</v>
      </c>
    </row>
    <row r="245" spans="1:5" x14ac:dyDescent="0.25">
      <c r="A245">
        <f t="shared" si="64"/>
        <v>196</v>
      </c>
      <c r="B245" s="20">
        <f t="shared" si="61"/>
        <v>1960000</v>
      </c>
      <c r="C245" s="20">
        <f t="shared" ref="C245:C308" si="65">B244*$E$47</f>
        <v>11700</v>
      </c>
      <c r="D245" s="20">
        <f t="shared" si="62"/>
        <v>1146600</v>
      </c>
      <c r="E245" s="20">
        <f t="shared" si="63"/>
        <v>3106600</v>
      </c>
    </row>
    <row r="246" spans="1:5" x14ac:dyDescent="0.25">
      <c r="A246">
        <f t="shared" si="64"/>
        <v>197</v>
      </c>
      <c r="B246" s="20">
        <f t="shared" si="61"/>
        <v>1970000</v>
      </c>
      <c r="C246" s="20">
        <f t="shared" si="65"/>
        <v>11760</v>
      </c>
      <c r="D246" s="20">
        <f t="shared" si="62"/>
        <v>1158360</v>
      </c>
      <c r="E246" s="20">
        <f t="shared" si="63"/>
        <v>3128360</v>
      </c>
    </row>
    <row r="247" spans="1:5" x14ac:dyDescent="0.25">
      <c r="A247">
        <f t="shared" si="64"/>
        <v>198</v>
      </c>
      <c r="B247" s="20">
        <f t="shared" si="61"/>
        <v>1980000</v>
      </c>
      <c r="C247" s="20">
        <f t="shared" si="65"/>
        <v>11820</v>
      </c>
      <c r="D247" s="20">
        <f t="shared" si="62"/>
        <v>1170180</v>
      </c>
      <c r="E247" s="20">
        <f t="shared" si="63"/>
        <v>3150180</v>
      </c>
    </row>
    <row r="248" spans="1:5" x14ac:dyDescent="0.25">
      <c r="A248">
        <f t="shared" si="64"/>
        <v>199</v>
      </c>
      <c r="B248" s="20">
        <f t="shared" si="61"/>
        <v>1990000</v>
      </c>
      <c r="C248" s="20">
        <f t="shared" si="65"/>
        <v>11880</v>
      </c>
      <c r="D248" s="20">
        <f t="shared" si="62"/>
        <v>1182060</v>
      </c>
      <c r="E248" s="20">
        <f t="shared" si="63"/>
        <v>3172060</v>
      </c>
    </row>
    <row r="249" spans="1:5" x14ac:dyDescent="0.25">
      <c r="A249">
        <f t="shared" si="64"/>
        <v>200</v>
      </c>
      <c r="B249" s="20">
        <f t="shared" si="61"/>
        <v>2000000</v>
      </c>
      <c r="C249" s="20">
        <f t="shared" si="65"/>
        <v>11940</v>
      </c>
      <c r="D249" s="20">
        <f t="shared" si="62"/>
        <v>1194000</v>
      </c>
      <c r="E249" s="20">
        <f t="shared" si="63"/>
        <v>3194000</v>
      </c>
    </row>
    <row r="250" spans="1:5" x14ac:dyDescent="0.25">
      <c r="A250">
        <f t="shared" si="64"/>
        <v>201</v>
      </c>
      <c r="B250" s="20">
        <f t="shared" si="61"/>
        <v>2010000</v>
      </c>
      <c r="C250" s="20">
        <f t="shared" si="65"/>
        <v>12000</v>
      </c>
      <c r="D250" s="20">
        <f t="shared" si="62"/>
        <v>1206000</v>
      </c>
      <c r="E250" s="20">
        <f t="shared" si="63"/>
        <v>3216000</v>
      </c>
    </row>
    <row r="251" spans="1:5" x14ac:dyDescent="0.25">
      <c r="A251">
        <f t="shared" si="64"/>
        <v>202</v>
      </c>
      <c r="B251" s="20">
        <f t="shared" si="61"/>
        <v>2020000</v>
      </c>
      <c r="C251" s="20">
        <f t="shared" si="65"/>
        <v>12060</v>
      </c>
      <c r="D251" s="20">
        <f t="shared" si="62"/>
        <v>1218060</v>
      </c>
      <c r="E251" s="20">
        <f t="shared" si="63"/>
        <v>3238060</v>
      </c>
    </row>
    <row r="252" spans="1:5" x14ac:dyDescent="0.25">
      <c r="A252">
        <f t="shared" si="64"/>
        <v>203</v>
      </c>
      <c r="B252" s="20">
        <f t="shared" si="61"/>
        <v>2030000</v>
      </c>
      <c r="C252" s="20">
        <f t="shared" si="65"/>
        <v>12120</v>
      </c>
      <c r="D252" s="20">
        <f t="shared" si="62"/>
        <v>1230180</v>
      </c>
      <c r="E252" s="20">
        <f t="shared" si="63"/>
        <v>3260180</v>
      </c>
    </row>
    <row r="253" spans="1:5" x14ac:dyDescent="0.25">
      <c r="A253">
        <f t="shared" si="64"/>
        <v>204</v>
      </c>
      <c r="B253" s="20">
        <f t="shared" si="61"/>
        <v>2040000</v>
      </c>
      <c r="C253" s="20">
        <f t="shared" si="65"/>
        <v>12180</v>
      </c>
      <c r="D253" s="20">
        <f t="shared" si="62"/>
        <v>1242360</v>
      </c>
      <c r="E253" s="20">
        <f t="shared" si="63"/>
        <v>3282360</v>
      </c>
    </row>
    <row r="254" spans="1:5" x14ac:dyDescent="0.25">
      <c r="A254">
        <f t="shared" si="64"/>
        <v>205</v>
      </c>
      <c r="B254" s="20">
        <f t="shared" si="61"/>
        <v>2050000</v>
      </c>
      <c r="C254" s="20">
        <f t="shared" si="65"/>
        <v>12240</v>
      </c>
      <c r="D254" s="20">
        <f t="shared" si="62"/>
        <v>1254600</v>
      </c>
      <c r="E254" s="20">
        <f t="shared" si="63"/>
        <v>3304600</v>
      </c>
    </row>
    <row r="255" spans="1:5" x14ac:dyDescent="0.25">
      <c r="A255">
        <f t="shared" si="64"/>
        <v>206</v>
      </c>
      <c r="B255" s="20">
        <f t="shared" si="61"/>
        <v>2060000</v>
      </c>
      <c r="C255" s="20">
        <f t="shared" si="65"/>
        <v>12300</v>
      </c>
      <c r="D255" s="20">
        <f t="shared" si="62"/>
        <v>1266900</v>
      </c>
      <c r="E255" s="20">
        <f t="shared" si="63"/>
        <v>3326900</v>
      </c>
    </row>
    <row r="256" spans="1:5" x14ac:dyDescent="0.25">
      <c r="A256">
        <f t="shared" si="64"/>
        <v>207</v>
      </c>
      <c r="B256" s="20">
        <f t="shared" si="61"/>
        <v>2070000</v>
      </c>
      <c r="C256" s="20">
        <f t="shared" si="65"/>
        <v>12360</v>
      </c>
      <c r="D256" s="20">
        <f t="shared" si="62"/>
        <v>1279260</v>
      </c>
      <c r="E256" s="20">
        <f t="shared" si="63"/>
        <v>3349260</v>
      </c>
    </row>
    <row r="257" spans="1:5" x14ac:dyDescent="0.25">
      <c r="A257">
        <f t="shared" si="64"/>
        <v>208</v>
      </c>
      <c r="B257" s="20">
        <f t="shared" si="61"/>
        <v>2080000</v>
      </c>
      <c r="C257" s="20">
        <f t="shared" si="65"/>
        <v>12420</v>
      </c>
      <c r="D257" s="20">
        <f t="shared" si="62"/>
        <v>1291680</v>
      </c>
      <c r="E257" s="20">
        <f t="shared" si="63"/>
        <v>3371680</v>
      </c>
    </row>
    <row r="258" spans="1:5" x14ac:dyDescent="0.25">
      <c r="A258">
        <f t="shared" si="64"/>
        <v>209</v>
      </c>
      <c r="B258" s="20">
        <f t="shared" si="61"/>
        <v>2090000</v>
      </c>
      <c r="C258" s="20">
        <f t="shared" si="65"/>
        <v>12480</v>
      </c>
      <c r="D258" s="20">
        <f t="shared" si="62"/>
        <v>1304160</v>
      </c>
      <c r="E258" s="20">
        <f t="shared" si="63"/>
        <v>3394160</v>
      </c>
    </row>
    <row r="259" spans="1:5" x14ac:dyDescent="0.25">
      <c r="A259">
        <f t="shared" si="64"/>
        <v>210</v>
      </c>
      <c r="B259" s="20">
        <f t="shared" si="61"/>
        <v>2100000</v>
      </c>
      <c r="C259" s="20">
        <f t="shared" si="65"/>
        <v>12540</v>
      </c>
      <c r="D259" s="20">
        <f t="shared" si="62"/>
        <v>1316700</v>
      </c>
      <c r="E259" s="20">
        <f t="shared" si="63"/>
        <v>3416700</v>
      </c>
    </row>
    <row r="260" spans="1:5" x14ac:dyDescent="0.25">
      <c r="A260">
        <f t="shared" si="64"/>
        <v>211</v>
      </c>
      <c r="B260" s="20">
        <f t="shared" si="61"/>
        <v>2110000</v>
      </c>
      <c r="C260" s="20">
        <f t="shared" si="65"/>
        <v>12600</v>
      </c>
      <c r="D260" s="20">
        <f t="shared" si="62"/>
        <v>1329300</v>
      </c>
      <c r="E260" s="20">
        <f t="shared" si="63"/>
        <v>3439300</v>
      </c>
    </row>
    <row r="261" spans="1:5" x14ac:dyDescent="0.25">
      <c r="A261">
        <f t="shared" si="64"/>
        <v>212</v>
      </c>
      <c r="B261" s="20">
        <f t="shared" si="61"/>
        <v>2120000</v>
      </c>
      <c r="C261" s="20">
        <f t="shared" si="65"/>
        <v>12660</v>
      </c>
      <c r="D261" s="20">
        <f t="shared" si="62"/>
        <v>1341960</v>
      </c>
      <c r="E261" s="20">
        <f t="shared" si="63"/>
        <v>3461960</v>
      </c>
    </row>
    <row r="262" spans="1:5" x14ac:dyDescent="0.25">
      <c r="A262">
        <f t="shared" si="64"/>
        <v>213</v>
      </c>
      <c r="B262" s="20">
        <f t="shared" si="61"/>
        <v>2130000</v>
      </c>
      <c r="C262" s="20">
        <f t="shared" si="65"/>
        <v>12720</v>
      </c>
      <c r="D262" s="20">
        <f t="shared" si="62"/>
        <v>1354680</v>
      </c>
      <c r="E262" s="20">
        <f t="shared" si="63"/>
        <v>3484680</v>
      </c>
    </row>
    <row r="263" spans="1:5" x14ac:dyDescent="0.25">
      <c r="A263">
        <f t="shared" si="64"/>
        <v>214</v>
      </c>
      <c r="B263" s="20">
        <f t="shared" si="61"/>
        <v>2140000</v>
      </c>
      <c r="C263" s="20">
        <f t="shared" si="65"/>
        <v>12780</v>
      </c>
      <c r="D263" s="20">
        <f t="shared" si="62"/>
        <v>1367460</v>
      </c>
      <c r="E263" s="20">
        <f t="shared" si="63"/>
        <v>3507460</v>
      </c>
    </row>
    <row r="264" spans="1:5" x14ac:dyDescent="0.25">
      <c r="A264">
        <f t="shared" si="64"/>
        <v>215</v>
      </c>
      <c r="B264" s="20">
        <f t="shared" si="61"/>
        <v>2150000</v>
      </c>
      <c r="C264" s="20">
        <f t="shared" si="65"/>
        <v>12840</v>
      </c>
      <c r="D264" s="20">
        <f t="shared" si="62"/>
        <v>1380300</v>
      </c>
      <c r="E264" s="20">
        <f t="shared" si="63"/>
        <v>3530300</v>
      </c>
    </row>
    <row r="265" spans="1:5" x14ac:dyDescent="0.25">
      <c r="A265">
        <f t="shared" si="64"/>
        <v>216</v>
      </c>
      <c r="B265" s="20">
        <f t="shared" si="61"/>
        <v>2160000</v>
      </c>
      <c r="C265" s="20">
        <f t="shared" si="65"/>
        <v>12900</v>
      </c>
      <c r="D265" s="20">
        <f t="shared" si="62"/>
        <v>1393200</v>
      </c>
      <c r="E265" s="20">
        <f t="shared" si="63"/>
        <v>3553200</v>
      </c>
    </row>
    <row r="266" spans="1:5" x14ac:dyDescent="0.25">
      <c r="A266">
        <f t="shared" si="64"/>
        <v>217</v>
      </c>
      <c r="B266" s="20">
        <f t="shared" si="61"/>
        <v>2170000</v>
      </c>
      <c r="C266" s="20">
        <f t="shared" si="65"/>
        <v>12960</v>
      </c>
      <c r="D266" s="20">
        <f t="shared" si="62"/>
        <v>1406160</v>
      </c>
      <c r="E266" s="20">
        <f t="shared" si="63"/>
        <v>3576160</v>
      </c>
    </row>
    <row r="267" spans="1:5" x14ac:dyDescent="0.25">
      <c r="A267">
        <f t="shared" si="64"/>
        <v>218</v>
      </c>
      <c r="B267" s="20">
        <f t="shared" si="61"/>
        <v>2180000</v>
      </c>
      <c r="C267" s="20">
        <f t="shared" si="65"/>
        <v>13020</v>
      </c>
      <c r="D267" s="20">
        <f t="shared" si="62"/>
        <v>1419180</v>
      </c>
      <c r="E267" s="20">
        <f t="shared" si="63"/>
        <v>3599180</v>
      </c>
    </row>
    <row r="268" spans="1:5" x14ac:dyDescent="0.25">
      <c r="A268">
        <f t="shared" si="64"/>
        <v>219</v>
      </c>
      <c r="B268" s="20">
        <f t="shared" si="61"/>
        <v>2190000</v>
      </c>
      <c r="C268" s="20">
        <f t="shared" si="65"/>
        <v>13080</v>
      </c>
      <c r="D268" s="20">
        <f t="shared" si="62"/>
        <v>1432260</v>
      </c>
      <c r="E268" s="20">
        <f t="shared" si="63"/>
        <v>3622260</v>
      </c>
    </row>
    <row r="269" spans="1:5" x14ac:dyDescent="0.25">
      <c r="A269">
        <f t="shared" si="64"/>
        <v>220</v>
      </c>
      <c r="B269" s="20">
        <f t="shared" si="61"/>
        <v>2200000</v>
      </c>
      <c r="C269" s="20">
        <f t="shared" si="65"/>
        <v>13140</v>
      </c>
      <c r="D269" s="20">
        <f t="shared" si="62"/>
        <v>1445400</v>
      </c>
      <c r="E269" s="20">
        <f t="shared" si="63"/>
        <v>3645400</v>
      </c>
    </row>
    <row r="270" spans="1:5" x14ac:dyDescent="0.25">
      <c r="A270">
        <f t="shared" si="64"/>
        <v>221</v>
      </c>
      <c r="B270" s="20">
        <f t="shared" si="61"/>
        <v>2210000</v>
      </c>
      <c r="C270" s="20">
        <f t="shared" si="65"/>
        <v>13200</v>
      </c>
      <c r="D270" s="20">
        <f t="shared" si="62"/>
        <v>1458600</v>
      </c>
      <c r="E270" s="20">
        <f t="shared" si="63"/>
        <v>3668600</v>
      </c>
    </row>
    <row r="271" spans="1:5" x14ac:dyDescent="0.25">
      <c r="A271">
        <f t="shared" si="64"/>
        <v>222</v>
      </c>
      <c r="B271" s="20">
        <f t="shared" si="61"/>
        <v>2220000</v>
      </c>
      <c r="C271" s="20">
        <f t="shared" si="65"/>
        <v>13260</v>
      </c>
      <c r="D271" s="20">
        <f t="shared" si="62"/>
        <v>1471860</v>
      </c>
      <c r="E271" s="20">
        <f t="shared" si="63"/>
        <v>3691860</v>
      </c>
    </row>
    <row r="272" spans="1:5" x14ac:dyDescent="0.25">
      <c r="A272">
        <f t="shared" si="64"/>
        <v>223</v>
      </c>
      <c r="B272" s="20">
        <f t="shared" si="61"/>
        <v>2230000</v>
      </c>
      <c r="C272" s="20">
        <f t="shared" si="65"/>
        <v>13320</v>
      </c>
      <c r="D272" s="20">
        <f t="shared" si="62"/>
        <v>1485180</v>
      </c>
      <c r="E272" s="20">
        <f t="shared" si="63"/>
        <v>3715180</v>
      </c>
    </row>
    <row r="273" spans="1:5" x14ac:dyDescent="0.25">
      <c r="A273">
        <f t="shared" si="64"/>
        <v>224</v>
      </c>
      <c r="B273" s="20">
        <f t="shared" si="61"/>
        <v>2240000</v>
      </c>
      <c r="C273" s="20">
        <f t="shared" si="65"/>
        <v>13380</v>
      </c>
      <c r="D273" s="20">
        <f t="shared" si="62"/>
        <v>1498560</v>
      </c>
      <c r="E273" s="20">
        <f t="shared" si="63"/>
        <v>3738560</v>
      </c>
    </row>
    <row r="274" spans="1:5" x14ac:dyDescent="0.25">
      <c r="A274">
        <f t="shared" si="64"/>
        <v>225</v>
      </c>
      <c r="B274" s="20">
        <f t="shared" si="61"/>
        <v>2250000</v>
      </c>
      <c r="C274" s="20">
        <f t="shared" si="65"/>
        <v>13440</v>
      </c>
      <c r="D274" s="20">
        <f t="shared" si="62"/>
        <v>1512000</v>
      </c>
      <c r="E274" s="20">
        <f t="shared" si="63"/>
        <v>3762000</v>
      </c>
    </row>
    <row r="275" spans="1:5" x14ac:dyDescent="0.25">
      <c r="A275">
        <f t="shared" si="64"/>
        <v>226</v>
      </c>
      <c r="B275" s="20">
        <f t="shared" si="61"/>
        <v>2260000</v>
      </c>
      <c r="C275" s="20">
        <f t="shared" si="65"/>
        <v>13500</v>
      </c>
      <c r="D275" s="20">
        <f t="shared" si="62"/>
        <v>1525500</v>
      </c>
      <c r="E275" s="20">
        <f t="shared" si="63"/>
        <v>3785500</v>
      </c>
    </row>
    <row r="276" spans="1:5" x14ac:dyDescent="0.25">
      <c r="A276">
        <f t="shared" si="64"/>
        <v>227</v>
      </c>
      <c r="B276" s="20">
        <f t="shared" si="61"/>
        <v>2270000</v>
      </c>
      <c r="C276" s="20">
        <f t="shared" si="65"/>
        <v>13560</v>
      </c>
      <c r="D276" s="20">
        <f t="shared" si="62"/>
        <v>1539060</v>
      </c>
      <c r="E276" s="20">
        <f t="shared" si="63"/>
        <v>3809060</v>
      </c>
    </row>
    <row r="277" spans="1:5" x14ac:dyDescent="0.25">
      <c r="A277">
        <f t="shared" si="64"/>
        <v>228</v>
      </c>
      <c r="B277" s="20">
        <f t="shared" si="61"/>
        <v>2280000</v>
      </c>
      <c r="C277" s="20">
        <f t="shared" si="65"/>
        <v>13620</v>
      </c>
      <c r="D277" s="20">
        <f t="shared" si="62"/>
        <v>1552680</v>
      </c>
      <c r="E277" s="20">
        <f t="shared" si="63"/>
        <v>3832680</v>
      </c>
    </row>
    <row r="278" spans="1:5" x14ac:dyDescent="0.25">
      <c r="A278">
        <f t="shared" si="64"/>
        <v>229</v>
      </c>
      <c r="B278" s="20">
        <f t="shared" si="61"/>
        <v>2290000</v>
      </c>
      <c r="C278" s="20">
        <f t="shared" si="65"/>
        <v>13680</v>
      </c>
      <c r="D278" s="20">
        <f t="shared" si="62"/>
        <v>1566360</v>
      </c>
      <c r="E278" s="20">
        <f t="shared" si="63"/>
        <v>3856360</v>
      </c>
    </row>
    <row r="279" spans="1:5" x14ac:dyDescent="0.25">
      <c r="A279">
        <f t="shared" si="64"/>
        <v>230</v>
      </c>
      <c r="B279" s="20">
        <f t="shared" ref="B279:B300" si="66">$B$47+B278</f>
        <v>2300000</v>
      </c>
      <c r="C279" s="20">
        <f t="shared" si="65"/>
        <v>13740</v>
      </c>
      <c r="D279" s="20">
        <f t="shared" ref="D279:D300" si="67">D278+C279</f>
        <v>1580100</v>
      </c>
      <c r="E279" s="20">
        <f t="shared" ref="E279:E300" si="68">B279+D279</f>
        <v>3880100</v>
      </c>
    </row>
    <row r="280" spans="1:5" x14ac:dyDescent="0.25">
      <c r="A280">
        <f t="shared" si="64"/>
        <v>231</v>
      </c>
      <c r="B280" s="20">
        <f t="shared" si="66"/>
        <v>2310000</v>
      </c>
      <c r="C280" s="20">
        <f t="shared" si="65"/>
        <v>13800</v>
      </c>
      <c r="D280" s="20">
        <f t="shared" si="67"/>
        <v>1593900</v>
      </c>
      <c r="E280" s="20">
        <f t="shared" si="68"/>
        <v>3903900</v>
      </c>
    </row>
    <row r="281" spans="1:5" x14ac:dyDescent="0.25">
      <c r="A281">
        <f t="shared" si="64"/>
        <v>232</v>
      </c>
      <c r="B281" s="20">
        <f t="shared" si="66"/>
        <v>2320000</v>
      </c>
      <c r="C281" s="20">
        <f t="shared" si="65"/>
        <v>13860</v>
      </c>
      <c r="D281" s="20">
        <f t="shared" si="67"/>
        <v>1607760</v>
      </c>
      <c r="E281" s="20">
        <f t="shared" si="68"/>
        <v>3927760</v>
      </c>
    </row>
    <row r="282" spans="1:5" x14ac:dyDescent="0.25">
      <c r="A282">
        <f t="shared" si="64"/>
        <v>233</v>
      </c>
      <c r="B282" s="20">
        <f t="shared" si="66"/>
        <v>2330000</v>
      </c>
      <c r="C282" s="20">
        <f t="shared" si="65"/>
        <v>13920</v>
      </c>
      <c r="D282" s="20">
        <f t="shared" si="67"/>
        <v>1621680</v>
      </c>
      <c r="E282" s="20">
        <f t="shared" si="68"/>
        <v>3951680</v>
      </c>
    </row>
    <row r="283" spans="1:5" x14ac:dyDescent="0.25">
      <c r="A283">
        <f t="shared" si="64"/>
        <v>234</v>
      </c>
      <c r="B283" s="20">
        <f t="shared" si="66"/>
        <v>2340000</v>
      </c>
      <c r="C283" s="20">
        <f t="shared" si="65"/>
        <v>13980</v>
      </c>
      <c r="D283" s="20">
        <f t="shared" si="67"/>
        <v>1635660</v>
      </c>
      <c r="E283" s="20">
        <f t="shared" si="68"/>
        <v>3975660</v>
      </c>
    </row>
    <row r="284" spans="1:5" x14ac:dyDescent="0.25">
      <c r="A284">
        <f t="shared" si="64"/>
        <v>235</v>
      </c>
      <c r="B284" s="20">
        <f t="shared" si="66"/>
        <v>2350000</v>
      </c>
      <c r="C284" s="20">
        <f t="shared" si="65"/>
        <v>14040</v>
      </c>
      <c r="D284" s="20">
        <f t="shared" si="67"/>
        <v>1649700</v>
      </c>
      <c r="E284" s="20">
        <f t="shared" si="68"/>
        <v>3999700</v>
      </c>
    </row>
    <row r="285" spans="1:5" x14ac:dyDescent="0.25">
      <c r="A285">
        <f t="shared" si="64"/>
        <v>236</v>
      </c>
      <c r="B285" s="20">
        <f t="shared" si="66"/>
        <v>2360000</v>
      </c>
      <c r="C285" s="20">
        <f t="shared" si="65"/>
        <v>14100</v>
      </c>
      <c r="D285" s="20">
        <f t="shared" si="67"/>
        <v>1663800</v>
      </c>
      <c r="E285" s="20">
        <f t="shared" si="68"/>
        <v>4023800</v>
      </c>
    </row>
    <row r="286" spans="1:5" x14ac:dyDescent="0.25">
      <c r="A286">
        <f t="shared" si="64"/>
        <v>237</v>
      </c>
      <c r="B286" s="20">
        <f t="shared" si="66"/>
        <v>2370000</v>
      </c>
      <c r="C286" s="20">
        <f t="shared" si="65"/>
        <v>14160</v>
      </c>
      <c r="D286" s="20">
        <f t="shared" si="67"/>
        <v>1677960</v>
      </c>
      <c r="E286" s="20">
        <f t="shared" si="68"/>
        <v>4047960</v>
      </c>
    </row>
    <row r="287" spans="1:5" x14ac:dyDescent="0.25">
      <c r="A287">
        <f t="shared" si="64"/>
        <v>238</v>
      </c>
      <c r="B287" s="20">
        <f t="shared" si="66"/>
        <v>2380000</v>
      </c>
      <c r="C287" s="20">
        <f t="shared" si="65"/>
        <v>14220</v>
      </c>
      <c r="D287" s="20">
        <f t="shared" si="67"/>
        <v>1692180</v>
      </c>
      <c r="E287" s="20">
        <f t="shared" si="68"/>
        <v>4072180</v>
      </c>
    </row>
    <row r="288" spans="1:5" x14ac:dyDescent="0.25">
      <c r="A288">
        <f t="shared" ref="A288:A351" si="69">A287+1</f>
        <v>239</v>
      </c>
      <c r="B288" s="20">
        <f t="shared" si="66"/>
        <v>2390000</v>
      </c>
      <c r="C288" s="20">
        <f t="shared" si="65"/>
        <v>14280</v>
      </c>
      <c r="D288" s="20">
        <f t="shared" si="67"/>
        <v>1706460</v>
      </c>
      <c r="E288" s="20">
        <f t="shared" si="68"/>
        <v>4096460</v>
      </c>
    </row>
    <row r="289" spans="1:5" x14ac:dyDescent="0.25">
      <c r="A289">
        <f t="shared" si="69"/>
        <v>240</v>
      </c>
      <c r="B289" s="20">
        <f t="shared" si="66"/>
        <v>2400000</v>
      </c>
      <c r="C289" s="20">
        <f t="shared" si="65"/>
        <v>14340</v>
      </c>
      <c r="D289" s="20">
        <f t="shared" si="67"/>
        <v>1720800</v>
      </c>
      <c r="E289" s="20">
        <f t="shared" si="68"/>
        <v>4120800</v>
      </c>
    </row>
    <row r="290" spans="1:5" x14ac:dyDescent="0.25">
      <c r="A290">
        <f t="shared" si="69"/>
        <v>241</v>
      </c>
      <c r="B290" s="20">
        <f t="shared" si="66"/>
        <v>2410000</v>
      </c>
      <c r="C290" s="20">
        <f t="shared" si="65"/>
        <v>14400</v>
      </c>
      <c r="D290" s="20">
        <f t="shared" si="67"/>
        <v>1735200</v>
      </c>
      <c r="E290" s="20">
        <f t="shared" si="68"/>
        <v>4145200</v>
      </c>
    </row>
    <row r="291" spans="1:5" x14ac:dyDescent="0.25">
      <c r="A291">
        <f t="shared" si="69"/>
        <v>242</v>
      </c>
      <c r="B291" s="20">
        <f t="shared" si="66"/>
        <v>2420000</v>
      </c>
      <c r="C291" s="20">
        <f t="shared" si="65"/>
        <v>14460</v>
      </c>
      <c r="D291" s="20">
        <f t="shared" si="67"/>
        <v>1749660</v>
      </c>
      <c r="E291" s="20">
        <f t="shared" si="68"/>
        <v>4169660</v>
      </c>
    </row>
    <row r="292" spans="1:5" x14ac:dyDescent="0.25">
      <c r="A292">
        <f t="shared" si="69"/>
        <v>243</v>
      </c>
      <c r="B292" s="20">
        <f t="shared" si="66"/>
        <v>2430000</v>
      </c>
      <c r="C292" s="20">
        <f t="shared" si="65"/>
        <v>14520</v>
      </c>
      <c r="D292" s="20">
        <f t="shared" si="67"/>
        <v>1764180</v>
      </c>
      <c r="E292" s="20">
        <f t="shared" si="68"/>
        <v>4194180</v>
      </c>
    </row>
    <row r="293" spans="1:5" x14ac:dyDescent="0.25">
      <c r="A293">
        <f t="shared" si="69"/>
        <v>244</v>
      </c>
      <c r="B293" s="20">
        <f t="shared" si="66"/>
        <v>2440000</v>
      </c>
      <c r="C293" s="20">
        <f t="shared" si="65"/>
        <v>14580</v>
      </c>
      <c r="D293" s="20">
        <f t="shared" si="67"/>
        <v>1778760</v>
      </c>
      <c r="E293" s="20">
        <f t="shared" si="68"/>
        <v>4218760</v>
      </c>
    </row>
    <row r="294" spans="1:5" x14ac:dyDescent="0.25">
      <c r="A294">
        <f t="shared" si="69"/>
        <v>245</v>
      </c>
      <c r="B294" s="20">
        <f t="shared" si="66"/>
        <v>2450000</v>
      </c>
      <c r="C294" s="20">
        <f t="shared" si="65"/>
        <v>14640</v>
      </c>
      <c r="D294" s="20">
        <f t="shared" si="67"/>
        <v>1793400</v>
      </c>
      <c r="E294" s="20">
        <f t="shared" si="68"/>
        <v>4243400</v>
      </c>
    </row>
    <row r="295" spans="1:5" x14ac:dyDescent="0.25">
      <c r="A295">
        <f t="shared" si="69"/>
        <v>246</v>
      </c>
      <c r="B295" s="20">
        <f t="shared" si="66"/>
        <v>2460000</v>
      </c>
      <c r="C295" s="20">
        <f t="shared" si="65"/>
        <v>14700</v>
      </c>
      <c r="D295" s="20">
        <f t="shared" si="67"/>
        <v>1808100</v>
      </c>
      <c r="E295" s="20">
        <f t="shared" si="68"/>
        <v>4268100</v>
      </c>
    </row>
    <row r="296" spans="1:5" x14ac:dyDescent="0.25">
      <c r="A296">
        <f t="shared" si="69"/>
        <v>247</v>
      </c>
      <c r="B296" s="20">
        <f t="shared" si="66"/>
        <v>2470000</v>
      </c>
      <c r="C296" s="20">
        <f t="shared" si="65"/>
        <v>14760</v>
      </c>
      <c r="D296" s="20">
        <f t="shared" si="67"/>
        <v>1822860</v>
      </c>
      <c r="E296" s="20">
        <f t="shared" si="68"/>
        <v>4292860</v>
      </c>
    </row>
    <row r="297" spans="1:5" x14ac:dyDescent="0.25">
      <c r="A297">
        <f t="shared" si="69"/>
        <v>248</v>
      </c>
      <c r="B297" s="20">
        <f t="shared" si="66"/>
        <v>2480000</v>
      </c>
      <c r="C297" s="20">
        <f t="shared" si="65"/>
        <v>14820</v>
      </c>
      <c r="D297" s="20">
        <f t="shared" si="67"/>
        <v>1837680</v>
      </c>
      <c r="E297" s="20">
        <f t="shared" si="68"/>
        <v>4317680</v>
      </c>
    </row>
    <row r="298" spans="1:5" x14ac:dyDescent="0.25">
      <c r="A298">
        <f t="shared" si="69"/>
        <v>249</v>
      </c>
      <c r="B298" s="20">
        <f t="shared" si="66"/>
        <v>2490000</v>
      </c>
      <c r="C298" s="20">
        <f t="shared" si="65"/>
        <v>14880</v>
      </c>
      <c r="D298" s="20">
        <f t="shared" si="67"/>
        <v>1852560</v>
      </c>
      <c r="E298" s="20">
        <f t="shared" si="68"/>
        <v>4342560</v>
      </c>
    </row>
    <row r="299" spans="1:5" x14ac:dyDescent="0.25">
      <c r="A299">
        <f t="shared" si="69"/>
        <v>250</v>
      </c>
      <c r="B299" s="20">
        <f t="shared" si="66"/>
        <v>2500000</v>
      </c>
      <c r="C299" s="20">
        <f t="shared" si="65"/>
        <v>14940</v>
      </c>
      <c r="D299" s="20">
        <f t="shared" si="67"/>
        <v>1867500</v>
      </c>
      <c r="E299" s="20">
        <f t="shared" si="68"/>
        <v>4367500</v>
      </c>
    </row>
    <row r="300" spans="1:5" x14ac:dyDescent="0.25">
      <c r="A300">
        <f t="shared" si="69"/>
        <v>251</v>
      </c>
      <c r="B300" s="20">
        <f t="shared" si="66"/>
        <v>2510000</v>
      </c>
      <c r="C300" s="20">
        <f t="shared" si="65"/>
        <v>15000</v>
      </c>
      <c r="D300" s="20">
        <f t="shared" si="67"/>
        <v>1882500</v>
      </c>
      <c r="E300" s="20">
        <f t="shared" si="68"/>
        <v>4392500</v>
      </c>
    </row>
    <row r="301" spans="1:5" x14ac:dyDescent="0.25">
      <c r="A301">
        <f t="shared" si="69"/>
        <v>252</v>
      </c>
      <c r="B301" s="20">
        <f t="shared" ref="B301:B353" si="70">$B$47+B300</f>
        <v>2520000</v>
      </c>
      <c r="C301" s="20">
        <f t="shared" si="65"/>
        <v>15060</v>
      </c>
      <c r="D301" s="20">
        <f t="shared" ref="D301:D353" si="71">D300+C301</f>
        <v>1897560</v>
      </c>
      <c r="E301" s="20">
        <f t="shared" ref="E301:E353" si="72">B301+D301</f>
        <v>4417560</v>
      </c>
    </row>
    <row r="302" spans="1:5" x14ac:dyDescent="0.25">
      <c r="A302">
        <f t="shared" si="69"/>
        <v>253</v>
      </c>
      <c r="B302" s="20">
        <f t="shared" si="70"/>
        <v>2530000</v>
      </c>
      <c r="C302" s="20">
        <f t="shared" si="65"/>
        <v>15120</v>
      </c>
      <c r="D302" s="20">
        <f t="shared" si="71"/>
        <v>1912680</v>
      </c>
      <c r="E302" s="20">
        <f t="shared" si="72"/>
        <v>4442680</v>
      </c>
    </row>
    <row r="303" spans="1:5" x14ac:dyDescent="0.25">
      <c r="A303">
        <f t="shared" si="69"/>
        <v>254</v>
      </c>
      <c r="B303" s="20">
        <f t="shared" si="70"/>
        <v>2540000</v>
      </c>
      <c r="C303" s="20">
        <f t="shared" si="65"/>
        <v>15180</v>
      </c>
      <c r="D303" s="20">
        <f t="shared" si="71"/>
        <v>1927860</v>
      </c>
      <c r="E303" s="20">
        <f t="shared" si="72"/>
        <v>4467860</v>
      </c>
    </row>
    <row r="304" spans="1:5" x14ac:dyDescent="0.25">
      <c r="A304">
        <f t="shared" si="69"/>
        <v>255</v>
      </c>
      <c r="B304" s="20">
        <f t="shared" si="70"/>
        <v>2550000</v>
      </c>
      <c r="C304" s="20">
        <f t="shared" si="65"/>
        <v>15240</v>
      </c>
      <c r="D304" s="20">
        <f t="shared" si="71"/>
        <v>1943100</v>
      </c>
      <c r="E304" s="20">
        <f t="shared" si="72"/>
        <v>4493100</v>
      </c>
    </row>
    <row r="305" spans="1:5" x14ac:dyDescent="0.25">
      <c r="A305">
        <f t="shared" si="69"/>
        <v>256</v>
      </c>
      <c r="B305" s="20">
        <f t="shared" si="70"/>
        <v>2560000</v>
      </c>
      <c r="C305" s="20">
        <f t="shared" si="65"/>
        <v>15300</v>
      </c>
      <c r="D305" s="20">
        <f t="shared" si="71"/>
        <v>1958400</v>
      </c>
      <c r="E305" s="20">
        <f t="shared" si="72"/>
        <v>4518400</v>
      </c>
    </row>
    <row r="306" spans="1:5" x14ac:dyDescent="0.25">
      <c r="A306">
        <f t="shared" si="69"/>
        <v>257</v>
      </c>
      <c r="B306" s="20">
        <f t="shared" si="70"/>
        <v>2570000</v>
      </c>
      <c r="C306" s="20">
        <f t="shared" si="65"/>
        <v>15360</v>
      </c>
      <c r="D306" s="20">
        <f t="shared" si="71"/>
        <v>1973760</v>
      </c>
      <c r="E306" s="20">
        <f t="shared" si="72"/>
        <v>4543760</v>
      </c>
    </row>
    <row r="307" spans="1:5" x14ac:dyDescent="0.25">
      <c r="A307">
        <f t="shared" si="69"/>
        <v>258</v>
      </c>
      <c r="B307" s="20">
        <f t="shared" si="70"/>
        <v>2580000</v>
      </c>
      <c r="C307" s="20">
        <f t="shared" si="65"/>
        <v>15420</v>
      </c>
      <c r="D307" s="20">
        <f t="shared" si="71"/>
        <v>1989180</v>
      </c>
      <c r="E307" s="20">
        <f t="shared" si="72"/>
        <v>4569180</v>
      </c>
    </row>
    <row r="308" spans="1:5" x14ac:dyDescent="0.25">
      <c r="A308">
        <f t="shared" si="69"/>
        <v>259</v>
      </c>
      <c r="B308" s="20">
        <f t="shared" si="70"/>
        <v>2590000</v>
      </c>
      <c r="C308" s="20">
        <f t="shared" si="65"/>
        <v>15480</v>
      </c>
      <c r="D308" s="20">
        <f t="shared" si="71"/>
        <v>2004660</v>
      </c>
      <c r="E308" s="20">
        <f t="shared" si="72"/>
        <v>4594660</v>
      </c>
    </row>
    <row r="309" spans="1:5" x14ac:dyDescent="0.25">
      <c r="A309">
        <f t="shared" si="69"/>
        <v>260</v>
      </c>
      <c r="B309" s="20">
        <f t="shared" si="70"/>
        <v>2600000</v>
      </c>
      <c r="C309" s="20">
        <f t="shared" ref="C309:C353" si="73">B308*$E$47</f>
        <v>15540</v>
      </c>
      <c r="D309" s="20">
        <f t="shared" si="71"/>
        <v>2020200</v>
      </c>
      <c r="E309" s="20">
        <f t="shared" si="72"/>
        <v>4620200</v>
      </c>
    </row>
    <row r="310" spans="1:5" x14ac:dyDescent="0.25">
      <c r="A310">
        <f t="shared" si="69"/>
        <v>261</v>
      </c>
      <c r="B310" s="20">
        <f t="shared" si="70"/>
        <v>2610000</v>
      </c>
      <c r="C310" s="20">
        <f t="shared" si="73"/>
        <v>15600</v>
      </c>
      <c r="D310" s="20">
        <f t="shared" si="71"/>
        <v>2035800</v>
      </c>
      <c r="E310" s="20">
        <f t="shared" si="72"/>
        <v>4645800</v>
      </c>
    </row>
    <row r="311" spans="1:5" x14ac:dyDescent="0.25">
      <c r="A311">
        <f t="shared" si="69"/>
        <v>262</v>
      </c>
      <c r="B311" s="20">
        <f t="shared" si="70"/>
        <v>2620000</v>
      </c>
      <c r="C311" s="20">
        <f t="shared" si="73"/>
        <v>15660</v>
      </c>
      <c r="D311" s="20">
        <f t="shared" si="71"/>
        <v>2051460</v>
      </c>
      <c r="E311" s="20">
        <f t="shared" si="72"/>
        <v>4671460</v>
      </c>
    </row>
    <row r="312" spans="1:5" x14ac:dyDescent="0.25">
      <c r="A312">
        <f t="shared" si="69"/>
        <v>263</v>
      </c>
      <c r="B312" s="20">
        <f t="shared" si="70"/>
        <v>2630000</v>
      </c>
      <c r="C312" s="20">
        <f t="shared" si="73"/>
        <v>15720</v>
      </c>
      <c r="D312" s="20">
        <f t="shared" si="71"/>
        <v>2067180</v>
      </c>
      <c r="E312" s="20">
        <f t="shared" si="72"/>
        <v>4697180</v>
      </c>
    </row>
    <row r="313" spans="1:5" x14ac:dyDescent="0.25">
      <c r="A313">
        <f t="shared" si="69"/>
        <v>264</v>
      </c>
      <c r="B313" s="20">
        <f t="shared" si="70"/>
        <v>2640000</v>
      </c>
      <c r="C313" s="20">
        <f t="shared" si="73"/>
        <v>15780</v>
      </c>
      <c r="D313" s="20">
        <f t="shared" si="71"/>
        <v>2082960</v>
      </c>
      <c r="E313" s="20">
        <f t="shared" si="72"/>
        <v>4722960</v>
      </c>
    </row>
    <row r="314" spans="1:5" x14ac:dyDescent="0.25">
      <c r="A314">
        <f t="shared" si="69"/>
        <v>265</v>
      </c>
      <c r="B314" s="20">
        <f t="shared" si="70"/>
        <v>2650000</v>
      </c>
      <c r="C314" s="20">
        <f t="shared" si="73"/>
        <v>15840</v>
      </c>
      <c r="D314" s="20">
        <f t="shared" si="71"/>
        <v>2098800</v>
      </c>
      <c r="E314" s="20">
        <f t="shared" si="72"/>
        <v>4748800</v>
      </c>
    </row>
    <row r="315" spans="1:5" x14ac:dyDescent="0.25">
      <c r="A315">
        <f t="shared" si="69"/>
        <v>266</v>
      </c>
      <c r="B315" s="20">
        <f t="shared" si="70"/>
        <v>2660000</v>
      </c>
      <c r="C315" s="20">
        <f t="shared" si="73"/>
        <v>15900</v>
      </c>
      <c r="D315" s="20">
        <f t="shared" si="71"/>
        <v>2114700</v>
      </c>
      <c r="E315" s="20">
        <f t="shared" si="72"/>
        <v>4774700</v>
      </c>
    </row>
    <row r="316" spans="1:5" x14ac:dyDescent="0.25">
      <c r="A316">
        <f t="shared" si="69"/>
        <v>267</v>
      </c>
      <c r="B316" s="20">
        <f t="shared" si="70"/>
        <v>2670000</v>
      </c>
      <c r="C316" s="20">
        <f t="shared" si="73"/>
        <v>15960</v>
      </c>
      <c r="D316" s="20">
        <f t="shared" si="71"/>
        <v>2130660</v>
      </c>
      <c r="E316" s="20">
        <f t="shared" si="72"/>
        <v>4800660</v>
      </c>
    </row>
    <row r="317" spans="1:5" x14ac:dyDescent="0.25">
      <c r="A317">
        <f t="shared" si="69"/>
        <v>268</v>
      </c>
      <c r="B317" s="20">
        <f t="shared" si="70"/>
        <v>2680000</v>
      </c>
      <c r="C317" s="20">
        <f t="shared" si="73"/>
        <v>16020</v>
      </c>
      <c r="D317" s="20">
        <f t="shared" si="71"/>
        <v>2146680</v>
      </c>
      <c r="E317" s="20">
        <f t="shared" si="72"/>
        <v>4826680</v>
      </c>
    </row>
    <row r="318" spans="1:5" x14ac:dyDescent="0.25">
      <c r="A318">
        <f t="shared" si="69"/>
        <v>269</v>
      </c>
      <c r="B318" s="20">
        <f t="shared" si="70"/>
        <v>2690000</v>
      </c>
      <c r="C318" s="20">
        <f t="shared" si="73"/>
        <v>16080</v>
      </c>
      <c r="D318" s="20">
        <f t="shared" si="71"/>
        <v>2162760</v>
      </c>
      <c r="E318" s="20">
        <f t="shared" si="72"/>
        <v>4852760</v>
      </c>
    </row>
    <row r="319" spans="1:5" x14ac:dyDescent="0.25">
      <c r="A319">
        <f t="shared" si="69"/>
        <v>270</v>
      </c>
      <c r="B319" s="20">
        <f t="shared" si="70"/>
        <v>2700000</v>
      </c>
      <c r="C319" s="20">
        <f t="shared" si="73"/>
        <v>16140</v>
      </c>
      <c r="D319" s="20">
        <f t="shared" si="71"/>
        <v>2178900</v>
      </c>
      <c r="E319" s="20">
        <f t="shared" si="72"/>
        <v>4878900</v>
      </c>
    </row>
    <row r="320" spans="1:5" x14ac:dyDescent="0.25">
      <c r="A320">
        <f t="shared" si="69"/>
        <v>271</v>
      </c>
      <c r="B320" s="20">
        <f t="shared" si="70"/>
        <v>2710000</v>
      </c>
      <c r="C320" s="20">
        <f t="shared" si="73"/>
        <v>16200</v>
      </c>
      <c r="D320" s="20">
        <f t="shared" si="71"/>
        <v>2195100</v>
      </c>
      <c r="E320" s="20">
        <f t="shared" si="72"/>
        <v>4905100</v>
      </c>
    </row>
    <row r="321" spans="1:5" x14ac:dyDescent="0.25">
      <c r="A321">
        <f t="shared" si="69"/>
        <v>272</v>
      </c>
      <c r="B321" s="20">
        <f t="shared" si="70"/>
        <v>2720000</v>
      </c>
      <c r="C321" s="20">
        <f t="shared" si="73"/>
        <v>16260</v>
      </c>
      <c r="D321" s="20">
        <f t="shared" si="71"/>
        <v>2211360</v>
      </c>
      <c r="E321" s="20">
        <f t="shared" si="72"/>
        <v>4931360</v>
      </c>
    </row>
    <row r="322" spans="1:5" x14ac:dyDescent="0.25">
      <c r="A322">
        <f t="shared" si="69"/>
        <v>273</v>
      </c>
      <c r="B322" s="20">
        <f t="shared" si="70"/>
        <v>2730000</v>
      </c>
      <c r="C322" s="20">
        <f t="shared" si="73"/>
        <v>16320</v>
      </c>
      <c r="D322" s="20">
        <f t="shared" si="71"/>
        <v>2227680</v>
      </c>
      <c r="E322" s="20">
        <f t="shared" si="72"/>
        <v>4957680</v>
      </c>
    </row>
    <row r="323" spans="1:5" x14ac:dyDescent="0.25">
      <c r="A323">
        <f t="shared" si="69"/>
        <v>274</v>
      </c>
      <c r="B323" s="20">
        <f t="shared" si="70"/>
        <v>2740000</v>
      </c>
      <c r="C323" s="20">
        <f t="shared" si="73"/>
        <v>16380</v>
      </c>
      <c r="D323" s="20">
        <f t="shared" si="71"/>
        <v>2244060</v>
      </c>
      <c r="E323" s="20">
        <f t="shared" si="72"/>
        <v>4984060</v>
      </c>
    </row>
    <row r="324" spans="1:5" x14ac:dyDescent="0.25">
      <c r="A324">
        <f t="shared" si="69"/>
        <v>275</v>
      </c>
      <c r="B324" s="20">
        <f t="shared" si="70"/>
        <v>2750000</v>
      </c>
      <c r="C324" s="20">
        <f t="shared" si="73"/>
        <v>16440</v>
      </c>
      <c r="D324" s="20">
        <f t="shared" si="71"/>
        <v>2260500</v>
      </c>
      <c r="E324" s="20">
        <f t="shared" si="72"/>
        <v>5010500</v>
      </c>
    </row>
    <row r="325" spans="1:5" x14ac:dyDescent="0.25">
      <c r="A325">
        <f t="shared" si="69"/>
        <v>276</v>
      </c>
      <c r="B325" s="20">
        <f t="shared" si="70"/>
        <v>2760000</v>
      </c>
      <c r="C325" s="20">
        <f t="shared" si="73"/>
        <v>16500</v>
      </c>
      <c r="D325" s="20">
        <f t="shared" si="71"/>
        <v>2277000</v>
      </c>
      <c r="E325" s="20">
        <f t="shared" si="72"/>
        <v>5037000</v>
      </c>
    </row>
    <row r="326" spans="1:5" x14ac:dyDescent="0.25">
      <c r="A326">
        <f t="shared" si="69"/>
        <v>277</v>
      </c>
      <c r="B326" s="20">
        <f t="shared" si="70"/>
        <v>2770000</v>
      </c>
      <c r="C326" s="20">
        <f t="shared" si="73"/>
        <v>16560</v>
      </c>
      <c r="D326" s="20">
        <f t="shared" si="71"/>
        <v>2293560</v>
      </c>
      <c r="E326" s="20">
        <f t="shared" si="72"/>
        <v>5063560</v>
      </c>
    </row>
    <row r="327" spans="1:5" x14ac:dyDescent="0.25">
      <c r="A327">
        <f t="shared" si="69"/>
        <v>278</v>
      </c>
      <c r="B327" s="20">
        <f t="shared" si="70"/>
        <v>2780000</v>
      </c>
      <c r="C327" s="20">
        <f t="shared" si="73"/>
        <v>16620</v>
      </c>
      <c r="D327" s="20">
        <f t="shared" si="71"/>
        <v>2310180</v>
      </c>
      <c r="E327" s="20">
        <f t="shared" si="72"/>
        <v>5090180</v>
      </c>
    </row>
    <row r="328" spans="1:5" x14ac:dyDescent="0.25">
      <c r="A328">
        <f t="shared" si="69"/>
        <v>279</v>
      </c>
      <c r="B328" s="20">
        <f t="shared" si="70"/>
        <v>2790000</v>
      </c>
      <c r="C328" s="20">
        <f t="shared" si="73"/>
        <v>16680</v>
      </c>
      <c r="D328" s="20">
        <f t="shared" si="71"/>
        <v>2326860</v>
      </c>
      <c r="E328" s="20">
        <f t="shared" si="72"/>
        <v>5116860</v>
      </c>
    </row>
    <row r="329" spans="1:5" x14ac:dyDescent="0.25">
      <c r="A329">
        <f t="shared" si="69"/>
        <v>280</v>
      </c>
      <c r="B329" s="20">
        <f t="shared" si="70"/>
        <v>2800000</v>
      </c>
      <c r="C329" s="20">
        <f t="shared" si="73"/>
        <v>16740</v>
      </c>
      <c r="D329" s="20">
        <f t="shared" si="71"/>
        <v>2343600</v>
      </c>
      <c r="E329" s="20">
        <f t="shared" si="72"/>
        <v>5143600</v>
      </c>
    </row>
    <row r="330" spans="1:5" x14ac:dyDescent="0.25">
      <c r="A330">
        <f t="shared" si="69"/>
        <v>281</v>
      </c>
      <c r="B330" s="20">
        <f t="shared" si="70"/>
        <v>2810000</v>
      </c>
      <c r="C330" s="20">
        <f t="shared" si="73"/>
        <v>16800</v>
      </c>
      <c r="D330" s="20">
        <f t="shared" si="71"/>
        <v>2360400</v>
      </c>
      <c r="E330" s="20">
        <f t="shared" si="72"/>
        <v>5170400</v>
      </c>
    </row>
    <row r="331" spans="1:5" x14ac:dyDescent="0.25">
      <c r="A331">
        <f t="shared" si="69"/>
        <v>282</v>
      </c>
      <c r="B331" s="20">
        <f t="shared" si="70"/>
        <v>2820000</v>
      </c>
      <c r="C331" s="20">
        <f t="shared" si="73"/>
        <v>16860</v>
      </c>
      <c r="D331" s="20">
        <f t="shared" si="71"/>
        <v>2377260</v>
      </c>
      <c r="E331" s="20">
        <f t="shared" si="72"/>
        <v>5197260</v>
      </c>
    </row>
    <row r="332" spans="1:5" x14ac:dyDescent="0.25">
      <c r="A332">
        <f t="shared" si="69"/>
        <v>283</v>
      </c>
      <c r="B332" s="20">
        <f t="shared" si="70"/>
        <v>2830000</v>
      </c>
      <c r="C332" s="20">
        <f t="shared" si="73"/>
        <v>16920</v>
      </c>
      <c r="D332" s="20">
        <f t="shared" si="71"/>
        <v>2394180</v>
      </c>
      <c r="E332" s="20">
        <f t="shared" si="72"/>
        <v>5224180</v>
      </c>
    </row>
    <row r="333" spans="1:5" x14ac:dyDescent="0.25">
      <c r="A333">
        <f t="shared" si="69"/>
        <v>284</v>
      </c>
      <c r="B333" s="20">
        <f t="shared" si="70"/>
        <v>2840000</v>
      </c>
      <c r="C333" s="20">
        <f t="shared" si="73"/>
        <v>16980</v>
      </c>
      <c r="D333" s="20">
        <f t="shared" si="71"/>
        <v>2411160</v>
      </c>
      <c r="E333" s="20">
        <f t="shared" si="72"/>
        <v>5251160</v>
      </c>
    </row>
    <row r="334" spans="1:5" x14ac:dyDescent="0.25">
      <c r="A334">
        <f t="shared" si="69"/>
        <v>285</v>
      </c>
      <c r="B334" s="20">
        <f t="shared" si="70"/>
        <v>2850000</v>
      </c>
      <c r="C334" s="20">
        <f t="shared" si="73"/>
        <v>17040</v>
      </c>
      <c r="D334" s="20">
        <f t="shared" si="71"/>
        <v>2428200</v>
      </c>
      <c r="E334" s="20">
        <f t="shared" si="72"/>
        <v>5278200</v>
      </c>
    </row>
    <row r="335" spans="1:5" x14ac:dyDescent="0.25">
      <c r="A335">
        <f t="shared" si="69"/>
        <v>286</v>
      </c>
      <c r="B335" s="20">
        <f t="shared" si="70"/>
        <v>2860000</v>
      </c>
      <c r="C335" s="20">
        <f t="shared" si="73"/>
        <v>17100</v>
      </c>
      <c r="D335" s="20">
        <f t="shared" si="71"/>
        <v>2445300</v>
      </c>
      <c r="E335" s="20">
        <f t="shared" si="72"/>
        <v>5305300</v>
      </c>
    </row>
    <row r="336" spans="1:5" x14ac:dyDescent="0.25">
      <c r="A336">
        <f t="shared" si="69"/>
        <v>287</v>
      </c>
      <c r="B336" s="20">
        <f t="shared" si="70"/>
        <v>2870000</v>
      </c>
      <c r="C336" s="20">
        <f t="shared" si="73"/>
        <v>17160</v>
      </c>
      <c r="D336" s="20">
        <f t="shared" si="71"/>
        <v>2462460</v>
      </c>
      <c r="E336" s="20">
        <f t="shared" si="72"/>
        <v>5332460</v>
      </c>
    </row>
    <row r="337" spans="1:5" x14ac:dyDescent="0.25">
      <c r="A337">
        <f t="shared" si="69"/>
        <v>288</v>
      </c>
      <c r="B337" s="20">
        <f t="shared" si="70"/>
        <v>2880000</v>
      </c>
      <c r="C337" s="20">
        <f t="shared" si="73"/>
        <v>17220</v>
      </c>
      <c r="D337" s="20">
        <f t="shared" si="71"/>
        <v>2479680</v>
      </c>
      <c r="E337" s="20">
        <f t="shared" si="72"/>
        <v>5359680</v>
      </c>
    </row>
    <row r="338" spans="1:5" x14ac:dyDescent="0.25">
      <c r="A338">
        <f t="shared" si="69"/>
        <v>289</v>
      </c>
      <c r="B338" s="20">
        <f t="shared" si="70"/>
        <v>2890000</v>
      </c>
      <c r="C338" s="20">
        <f t="shared" si="73"/>
        <v>17280</v>
      </c>
      <c r="D338" s="20">
        <f t="shared" si="71"/>
        <v>2496960</v>
      </c>
      <c r="E338" s="20">
        <f t="shared" si="72"/>
        <v>5386960</v>
      </c>
    </row>
    <row r="339" spans="1:5" x14ac:dyDescent="0.25">
      <c r="A339">
        <f t="shared" si="69"/>
        <v>290</v>
      </c>
      <c r="B339" s="20">
        <f t="shared" si="70"/>
        <v>2900000</v>
      </c>
      <c r="C339" s="20">
        <f t="shared" si="73"/>
        <v>17340</v>
      </c>
      <c r="D339" s="20">
        <f t="shared" si="71"/>
        <v>2514300</v>
      </c>
      <c r="E339" s="20">
        <f t="shared" si="72"/>
        <v>5414300</v>
      </c>
    </row>
    <row r="340" spans="1:5" x14ac:dyDescent="0.25">
      <c r="A340">
        <f t="shared" si="69"/>
        <v>291</v>
      </c>
      <c r="B340" s="20">
        <f t="shared" si="70"/>
        <v>2910000</v>
      </c>
      <c r="C340" s="20">
        <f t="shared" si="73"/>
        <v>17400</v>
      </c>
      <c r="D340" s="20">
        <f t="shared" si="71"/>
        <v>2531700</v>
      </c>
      <c r="E340" s="20">
        <f t="shared" si="72"/>
        <v>5441700</v>
      </c>
    </row>
    <row r="341" spans="1:5" x14ac:dyDescent="0.25">
      <c r="A341">
        <f t="shared" si="69"/>
        <v>292</v>
      </c>
      <c r="B341" s="20">
        <f t="shared" si="70"/>
        <v>2920000</v>
      </c>
      <c r="C341" s="20">
        <f t="shared" si="73"/>
        <v>17460</v>
      </c>
      <c r="D341" s="20">
        <f t="shared" si="71"/>
        <v>2549160</v>
      </c>
      <c r="E341" s="20">
        <f t="shared" si="72"/>
        <v>5469160</v>
      </c>
    </row>
    <row r="342" spans="1:5" x14ac:dyDescent="0.25">
      <c r="A342">
        <f t="shared" si="69"/>
        <v>293</v>
      </c>
      <c r="B342" s="20">
        <f t="shared" si="70"/>
        <v>2930000</v>
      </c>
      <c r="C342" s="20">
        <f t="shared" si="73"/>
        <v>17520</v>
      </c>
      <c r="D342" s="20">
        <f t="shared" si="71"/>
        <v>2566680</v>
      </c>
      <c r="E342" s="20">
        <f t="shared" si="72"/>
        <v>5496680</v>
      </c>
    </row>
    <row r="343" spans="1:5" x14ac:dyDescent="0.25">
      <c r="A343">
        <f t="shared" si="69"/>
        <v>294</v>
      </c>
      <c r="B343" s="20">
        <f t="shared" si="70"/>
        <v>2940000</v>
      </c>
      <c r="C343" s="20">
        <f t="shared" si="73"/>
        <v>17580</v>
      </c>
      <c r="D343" s="20">
        <f t="shared" si="71"/>
        <v>2584260</v>
      </c>
      <c r="E343" s="20">
        <f t="shared" si="72"/>
        <v>5524260</v>
      </c>
    </row>
    <row r="344" spans="1:5" x14ac:dyDescent="0.25">
      <c r="A344">
        <f t="shared" si="69"/>
        <v>295</v>
      </c>
      <c r="B344" s="20">
        <f t="shared" si="70"/>
        <v>2950000</v>
      </c>
      <c r="C344" s="20">
        <f t="shared" si="73"/>
        <v>17640</v>
      </c>
      <c r="D344" s="20">
        <f t="shared" si="71"/>
        <v>2601900</v>
      </c>
      <c r="E344" s="20">
        <f t="shared" si="72"/>
        <v>5551900</v>
      </c>
    </row>
    <row r="345" spans="1:5" x14ac:dyDescent="0.25">
      <c r="A345">
        <f t="shared" si="69"/>
        <v>296</v>
      </c>
      <c r="B345" s="20">
        <f t="shared" si="70"/>
        <v>2960000</v>
      </c>
      <c r="C345" s="20">
        <f t="shared" si="73"/>
        <v>17700</v>
      </c>
      <c r="D345" s="20">
        <f t="shared" si="71"/>
        <v>2619600</v>
      </c>
      <c r="E345" s="20">
        <f t="shared" si="72"/>
        <v>5579600</v>
      </c>
    </row>
    <row r="346" spans="1:5" x14ac:dyDescent="0.25">
      <c r="A346">
        <f t="shared" si="69"/>
        <v>297</v>
      </c>
      <c r="B346" s="20">
        <f t="shared" si="70"/>
        <v>2970000</v>
      </c>
      <c r="C346" s="20">
        <f t="shared" si="73"/>
        <v>17760</v>
      </c>
      <c r="D346" s="20">
        <f t="shared" si="71"/>
        <v>2637360</v>
      </c>
      <c r="E346" s="20">
        <f t="shared" si="72"/>
        <v>5607360</v>
      </c>
    </row>
    <row r="347" spans="1:5" x14ac:dyDescent="0.25">
      <c r="A347">
        <f t="shared" si="69"/>
        <v>298</v>
      </c>
      <c r="B347" s="20">
        <f t="shared" si="70"/>
        <v>2980000</v>
      </c>
      <c r="C347" s="20">
        <f t="shared" si="73"/>
        <v>17820</v>
      </c>
      <c r="D347" s="20">
        <f t="shared" si="71"/>
        <v>2655180</v>
      </c>
      <c r="E347" s="20">
        <f t="shared" si="72"/>
        <v>5635180</v>
      </c>
    </row>
    <row r="348" spans="1:5" x14ac:dyDescent="0.25">
      <c r="A348">
        <f t="shared" si="69"/>
        <v>299</v>
      </c>
      <c r="B348" s="20">
        <f t="shared" si="70"/>
        <v>2990000</v>
      </c>
      <c r="C348" s="20">
        <f t="shared" si="73"/>
        <v>17880</v>
      </c>
      <c r="D348" s="20">
        <f t="shared" si="71"/>
        <v>2673060</v>
      </c>
      <c r="E348" s="20">
        <f t="shared" si="72"/>
        <v>5663060</v>
      </c>
    </row>
    <row r="349" spans="1:5" x14ac:dyDescent="0.25">
      <c r="A349">
        <f t="shared" si="69"/>
        <v>300</v>
      </c>
      <c r="B349" s="20">
        <f t="shared" si="70"/>
        <v>3000000</v>
      </c>
      <c r="C349" s="20">
        <f t="shared" si="73"/>
        <v>17940</v>
      </c>
      <c r="D349" s="20">
        <f t="shared" si="71"/>
        <v>2691000</v>
      </c>
      <c r="E349" s="20">
        <f t="shared" si="72"/>
        <v>5691000</v>
      </c>
    </row>
    <row r="350" spans="1:5" x14ac:dyDescent="0.25">
      <c r="A350">
        <f t="shared" si="69"/>
        <v>301</v>
      </c>
      <c r="B350" s="20">
        <f t="shared" si="70"/>
        <v>3010000</v>
      </c>
      <c r="C350" s="20">
        <f t="shared" si="73"/>
        <v>18000</v>
      </c>
      <c r="D350" s="20">
        <f t="shared" si="71"/>
        <v>2709000</v>
      </c>
      <c r="E350" s="20">
        <f t="shared" si="72"/>
        <v>5719000</v>
      </c>
    </row>
    <row r="351" spans="1:5" x14ac:dyDescent="0.25">
      <c r="A351">
        <f t="shared" si="69"/>
        <v>302</v>
      </c>
      <c r="B351" s="20">
        <f t="shared" si="70"/>
        <v>3020000</v>
      </c>
      <c r="C351" s="20">
        <f t="shared" si="73"/>
        <v>18060</v>
      </c>
      <c r="D351" s="20">
        <f t="shared" si="71"/>
        <v>2727060</v>
      </c>
      <c r="E351" s="20">
        <f t="shared" si="72"/>
        <v>5747060</v>
      </c>
    </row>
    <row r="352" spans="1:5" x14ac:dyDescent="0.25">
      <c r="A352">
        <f t="shared" ref="A352:A353" si="74">A351+1</f>
        <v>303</v>
      </c>
      <c r="B352" s="20">
        <f t="shared" si="70"/>
        <v>3030000</v>
      </c>
      <c r="C352" s="20">
        <f t="shared" si="73"/>
        <v>18120</v>
      </c>
      <c r="D352" s="20">
        <f t="shared" si="71"/>
        <v>2745180</v>
      </c>
      <c r="E352" s="20">
        <f t="shared" si="72"/>
        <v>5775180</v>
      </c>
    </row>
    <row r="353" spans="1:5" x14ac:dyDescent="0.25">
      <c r="A353">
        <f t="shared" si="74"/>
        <v>304</v>
      </c>
      <c r="B353" s="20">
        <f t="shared" si="70"/>
        <v>3040000</v>
      </c>
      <c r="C353" s="20">
        <f t="shared" si="73"/>
        <v>18180</v>
      </c>
      <c r="D353" s="20">
        <f t="shared" si="71"/>
        <v>2763360</v>
      </c>
      <c r="E353" s="20">
        <f t="shared" si="72"/>
        <v>5803360</v>
      </c>
    </row>
  </sheetData>
  <mergeCells count="3">
    <mergeCell ref="B2:N2"/>
    <mergeCell ref="P2:AC2"/>
    <mergeCell ref="AE2:AP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7"/>
  <sheetViews>
    <sheetView zoomScaleNormal="100" workbookViewId="0">
      <pane ySplit="2" topLeftCell="A3" activePane="bottomLeft" state="frozen"/>
      <selection pane="bottomLeft" activeCell="A4" sqref="A4"/>
    </sheetView>
  </sheetViews>
  <sheetFormatPr defaultRowHeight="15" x14ac:dyDescent="0.25"/>
  <cols>
    <col min="1" max="1" width="13.5703125" customWidth="1"/>
    <col min="2" max="5" width="12.7109375" customWidth="1"/>
    <col min="6" max="6" width="12" customWidth="1"/>
    <col min="7" max="7" width="16.42578125" bestFit="1" customWidth="1"/>
    <col min="8" max="10" width="12.7109375" customWidth="1"/>
    <col min="11" max="11" width="11.85546875" customWidth="1"/>
    <col min="12" max="12" width="13.140625" bestFit="1" customWidth="1"/>
    <col min="13" max="13" width="15" customWidth="1"/>
  </cols>
  <sheetData>
    <row r="1" spans="1:15" ht="21" x14ac:dyDescent="0.35">
      <c r="A1" s="30" t="s">
        <v>58</v>
      </c>
      <c r="B1" s="30"/>
      <c r="C1" s="30"/>
      <c r="D1" s="30"/>
      <c r="E1" s="29"/>
      <c r="F1" s="45"/>
      <c r="G1" s="45"/>
      <c r="H1" s="45"/>
      <c r="I1" s="45"/>
      <c r="J1" s="45"/>
      <c r="K1" s="45"/>
      <c r="L1" s="45"/>
      <c r="M1" s="45"/>
    </row>
    <row r="2" spans="1:15" s="60" customFormat="1" ht="33.75" customHeight="1" x14ac:dyDescent="0.25">
      <c r="A2" s="56" t="s">
        <v>61</v>
      </c>
      <c r="B2" s="56" t="s">
        <v>1</v>
      </c>
      <c r="C2" s="56" t="s">
        <v>55</v>
      </c>
      <c r="D2" s="56" t="s">
        <v>56</v>
      </c>
      <c r="E2" s="57" t="s">
        <v>3</v>
      </c>
      <c r="F2" s="58" t="s">
        <v>18</v>
      </c>
      <c r="G2" s="58" t="s">
        <v>57</v>
      </c>
      <c r="H2" s="59" t="s">
        <v>14</v>
      </c>
      <c r="I2" s="59" t="s">
        <v>34</v>
      </c>
      <c r="J2" s="59" t="s">
        <v>33</v>
      </c>
      <c r="K2" s="58" t="s">
        <v>168</v>
      </c>
      <c r="L2" s="58"/>
      <c r="M2" s="58" t="s">
        <v>64</v>
      </c>
    </row>
    <row r="3" spans="1:15" x14ac:dyDescent="0.25">
      <c r="A3" s="2" t="s">
        <v>63</v>
      </c>
      <c r="B3" s="54" t="s">
        <v>5</v>
      </c>
      <c r="C3">
        <f>SUMIFS(XP!$D$3:$D$307,XP!$C$3:$C$307,B3,XP!$D$3:$D$307,"&gt;0",XP!$E$3:$E$307,"&gt;0")</f>
        <v>649</v>
      </c>
      <c r="D3">
        <f>SUMIFS(XP!$D$3:$D$307,XP!$C$3:$C$307,B3,XP!$D$3:$D$307,"&lt;0",XP!$E$3:$E$307,"&gt;0")</f>
        <v>-249</v>
      </c>
      <c r="E3" s="19">
        <f>SUMIF(XP!$C$3:C$307,B3,XP!$D$3:D$307)</f>
        <v>0</v>
      </c>
      <c r="F3" s="55">
        <f>IF(C3&lt;&gt;0,(SUMIFS(XP!$F$3:$F$307,XP!$C$3:$C$307,$B3,XP!$F$3:$F$307,"&gt;0",XP!$F$3:$F$307,"&gt;0"))/$C3,0)</f>
        <v>21.53215716486903</v>
      </c>
      <c r="G3" s="55">
        <f>IF($C3&lt;&gt;0,(SUMIFS(XP!$J$3:$J$307,XP!$C$3:$C$307,$B3,XP!$J$3:$J$307,"&gt;0",XP!$J$3:$J$307,"&gt;0")+SUMIFS(MODAL!$K$2:$K$1644,MODAL!$C$2:$C$1644,$B3,MODAL!$K$2:$K$1644,"&gt;0",MODAL!$K$2:$K$1644,"&gt;0"))/$C3,0)</f>
        <v>36.368520801232677</v>
      </c>
      <c r="H3" s="17">
        <f>SUMIFS(XP!$N$3:$N$307,XP!$C$3:$C$307,$B3)+SUMIFS(MODAL!$O$2:$O$1644,MODAL!$C$2:$C$1644,$B3)</f>
        <v>526.97</v>
      </c>
      <c r="I3" s="17">
        <f>SUMIFS(XP!$O$3:$O$307,XP!$C$3:$C$307,$B3)+SUMIFS(MODAL!$P$2:$P$1636,MODAL!$C$2:$C$1636,$B3)</f>
        <v>955.24</v>
      </c>
      <c r="J3" s="17">
        <f>SUMIFS(XP!$M$3:$M$307,XP!$C$3:$C$307,$B3)+SUMIFS(MODAL!$N$2:$N$1644,MODAL!$C$2:$C$1644,$B3)</f>
        <v>0</v>
      </c>
      <c r="K3" s="87"/>
      <c r="L3" s="17"/>
      <c r="M3" s="17">
        <f t="shared" ref="M3:M22" si="0">(E3+K3)*L3</f>
        <v>0</v>
      </c>
    </row>
    <row r="4" spans="1:15" x14ac:dyDescent="0.25">
      <c r="A4" s="2" t="s">
        <v>63</v>
      </c>
      <c r="B4" s="14" t="s">
        <v>2</v>
      </c>
      <c r="C4">
        <f>SUMIFS(XP!$D$3:$D$307,XP!$C$3:$C$307,B4,XP!$D$3:$D$307,"&gt;0",XP!$E$3:$E$307,"&gt;0")</f>
        <v>22</v>
      </c>
      <c r="D4">
        <f>SUMIFS(XP!$D$3:$D$307,XP!$C$3:$C$307,B4,XP!$D$3:$D$307,"&lt;0",XP!$E$3:$E$307,"&gt;0")</f>
        <v>-22</v>
      </c>
      <c r="E4" s="19">
        <f>SUMIF(XP!$C$3:C$307,B4,XP!$D$3:D$307)</f>
        <v>0</v>
      </c>
      <c r="F4" s="55">
        <f>IF(C4&lt;&gt;0,(SUMIFS(XP!$F$3:$F$307,XP!$C$3:$C$307,$B4,XP!$F$3:$F$307,"&gt;0",XP!$F$3:$F$307,"&gt;0"))/$C4,0)</f>
        <v>129.85590909090908</v>
      </c>
      <c r="G4" s="55">
        <f>IF($C4&lt;&gt;0,(SUMIFS(XP!$J$3:$J$307,XP!$C$3:$C$307,$B4,XP!$J$3:$J$307,"&gt;0",XP!$J$3:$J$307,"&gt;0")+SUMIFS(MODAL!$K$2:$K$1644,MODAL!$C$2:$C$1644,$B4,MODAL!$K$2:$K$1644,"&gt;0",MODAL!$K$2:$K$1644,"&gt;0"))/$C4,0)</f>
        <v>132.15045454545455</v>
      </c>
      <c r="H4" s="17">
        <f>SUMIFS(XP!$N$3:$N$307,XP!$C$3:$C$307,$B4)+SUMIFS(MODAL!$O$2:$O$1644,MODAL!$C$2:$C$1644,$B4)</f>
        <v>0</v>
      </c>
      <c r="I4" s="17">
        <f>SUMIFS(XP!$O$3:$O$307,XP!$C$3:$C$307,$B4)+SUMIFS(MODAL!$P$2:$P$1636,MODAL!$C$2:$C$1636,$B4)</f>
        <v>0</v>
      </c>
      <c r="J4" s="17">
        <f>SUMIFS(XP!$M$3:$M$307,XP!$C$3:$C$307,$B4)+SUMIFS(MODAL!$N$2:$N$1644,MODAL!$C$2:$C$1644,$B4)</f>
        <v>83.309999999999988</v>
      </c>
      <c r="K4" s="87"/>
      <c r="L4" s="17">
        <v>69.8</v>
      </c>
      <c r="M4" s="17">
        <f t="shared" si="0"/>
        <v>0</v>
      </c>
    </row>
    <row r="5" spans="1:15" x14ac:dyDescent="0.25">
      <c r="A5" s="2"/>
      <c r="B5" s="14" t="s">
        <v>16</v>
      </c>
      <c r="C5">
        <f>SUMIFS(XP!$D$3:$D$307,XP!$C$3:$C$307,B5,XP!$D$3:$D$307,"&gt;0",XP!$E$3:$E$307,"&gt;0")</f>
        <v>100</v>
      </c>
      <c r="D5">
        <f>SUMIFS(XP!$D$3:$D$307,XP!$C$3:$C$307,B5,XP!$D$3:$D$307,"&lt;0",XP!$E$3:$E$307,"&gt;0")</f>
        <v>-100</v>
      </c>
      <c r="E5" s="19">
        <f>SUMIF(XP!$C$3:C$307,B5,XP!$D$3:D$307)</f>
        <v>0</v>
      </c>
      <c r="F5" s="55">
        <f>IF(C5&lt;&gt;0,(SUMIFS(XP!$F$3:$F$307,XP!$C$3:$C$307,$B5,XP!$F$3:$F$307,"&gt;0",XP!$F$3:$F$307,"&gt;0"))/$C5,0)</f>
        <v>11.54</v>
      </c>
      <c r="G5" s="55">
        <f>IF($C5&lt;&gt;0,(SUMIFS(XP!$J$3:$J$307,XP!$C$3:$C$307,$B5,XP!$J$3:$J$307,"&gt;0",XP!$J$3:$J$307,"&gt;0")+SUMIFS(MODAL!$K$2:$K$1644,MODAL!$C$2:$C$1644,$B5,MODAL!$K$2:$K$1644,"&gt;0",MODAL!$K$2:$K$1644,"&gt;0"))/$C5,0)</f>
        <v>12.4902</v>
      </c>
      <c r="H5" s="17">
        <f>SUMIFS(XP!$N$3:$N$307,XP!$C$3:$C$307,$B5)+SUMIFS(MODAL!$O$2:$O$1644,MODAL!$C$2:$C$1644,$B5)</f>
        <v>41.870000000000005</v>
      </c>
      <c r="I5" s="17">
        <f>SUMIFS(XP!$O$3:$O$307,XP!$C$3:$C$307,$B5)+SUMIFS(MODAL!$P$2:$P$1636,MODAL!$C$2:$C$1636,$B5)</f>
        <v>0</v>
      </c>
      <c r="J5" s="17">
        <f>SUMIFS(XP!$M$3:$M$307,XP!$C$3:$C$307,$B5)+SUMIFS(MODAL!$N$2:$N$1644,MODAL!$C$2:$C$1644,$B5)</f>
        <v>0</v>
      </c>
      <c r="K5" s="87"/>
      <c r="L5" s="17"/>
      <c r="M5" s="17">
        <f t="shared" si="0"/>
        <v>0</v>
      </c>
    </row>
    <row r="6" spans="1:15" x14ac:dyDescent="0.25">
      <c r="A6" s="2" t="s">
        <v>63</v>
      </c>
      <c r="B6" s="14" t="s">
        <v>17</v>
      </c>
      <c r="C6">
        <f>SUMIFS(XP!$D$3:$D$307,XP!$C$3:$C$307,B6,XP!$D$3:$D$307,"&gt;0",XP!$E$3:$E$307,"&gt;0")</f>
        <v>800</v>
      </c>
      <c r="D6">
        <f>SUMIFS(XP!$D$3:$D$307,XP!$C$3:$C$307,B6,XP!$D$3:$D$307,"&lt;0",XP!$E$3:$E$307,"&gt;0")</f>
        <v>-800</v>
      </c>
      <c r="E6" s="19">
        <f>SUMIF(XP!$C$3:C$307,B6,XP!$D$3:D$307)</f>
        <v>0</v>
      </c>
      <c r="F6" s="55">
        <f>IF(C6&lt;&gt;0,(SUMIFS(XP!$F$3:$F$399,XP!$C$3:$C$399,$B6,XP!$F$3:$F$399,"&gt;0",XP!$F$3:$F$399,"&gt;0"))/$C6,0)</f>
        <v>11.057499999999999</v>
      </c>
      <c r="G6" s="55">
        <f>IF($C6&lt;&gt;0,(SUMIFS(XP!$J$3:$J$399,XP!$C$3:$C$399,$B6,XP!$J$3:$J$399,"&gt;0",XP!$J$3:$J$399,"&gt;0"))/$C6,0)</f>
        <v>11.182162499999999</v>
      </c>
      <c r="H6" s="17">
        <f>SUMIFS(XP!$N$3:$N$307,XP!$C$3:$C$307,$B6)</f>
        <v>754.64</v>
      </c>
      <c r="I6" s="17">
        <f>SUMIFS(XP!$O$3:$O$307,XP!$C$3:$C$307,$B6)</f>
        <v>149.76</v>
      </c>
      <c r="J6" s="17">
        <f>SUMIFS(XP!$M$3:$M$307,XP!$C$3:$C$307,$B6)+SUMIFS(MODAL!$N$2:$N$1644,MODAL!$C$2:$C$1644,$B6)</f>
        <v>0</v>
      </c>
      <c r="K6" s="87"/>
      <c r="L6" s="17"/>
      <c r="M6" s="17">
        <f t="shared" si="0"/>
        <v>0</v>
      </c>
    </row>
    <row r="7" spans="1:15" x14ac:dyDescent="0.25">
      <c r="A7" s="2" t="s">
        <v>63</v>
      </c>
      <c r="B7" s="14" t="s">
        <v>30</v>
      </c>
      <c r="C7">
        <f>SUMIFS(XP!$D$3:$D$307,XP!$C$3:$C$307,B7,XP!$D$3:$D$307,"&gt;0",XP!$E$3:$E$307,"&gt;0")</f>
        <v>200</v>
      </c>
      <c r="D7">
        <f>SUMIFS(XP!$D$3:$D$307,XP!$C$3:$C$307,B7,XP!$D$3:$D$307,"&lt;0",XP!$E$3:$E$307,"&gt;0")</f>
        <v>-230</v>
      </c>
      <c r="E7" s="19">
        <f>SUMIF(XP!$C$3:C$307,B7,XP!$D$3:D$307)</f>
        <v>0</v>
      </c>
      <c r="F7" s="55">
        <f>IF(C7&lt;&gt;0,(SUMIFS(XP!$F$3:$F$307,XP!$C$3:$C$307,$B7,XP!$F$3:$F$307,"&gt;0",XP!$F$3:$F$307,"&gt;0"))/$C7,0)</f>
        <v>11.86</v>
      </c>
      <c r="G7" s="55">
        <f>IF($C7&lt;&gt;0,(SUMIFS(XP!$J$3:$J$307,XP!$C$3:$C$307,$B7,XP!$J$3:$J$307,"&gt;0",XP!$J$3:$J$307,"&gt;0")+SUMIFS(MODAL!$K$2:$K$1644,MODAL!$C$2:$C$1644,$B7,MODAL!$K$2:$K$1644,"&gt;0",MODAL!$K$2:$K$1644,"&gt;0"))/$C7,0)</f>
        <v>18.807850000000002</v>
      </c>
      <c r="H7" s="17">
        <f>SUMIFS(XP!$N$3:$N$307,XP!$C$3:$C$307,$B7)+SUMIFS(MODAL!$O$2:$O$1644,MODAL!$C$2:$C$1644,$B7)</f>
        <v>103.98</v>
      </c>
      <c r="I7" s="17">
        <f>SUMIFS(XP!$O$3:$O$307,XP!$C$3:$C$307,$B7)+SUMIFS(MODAL!$P$2:$P$1636,MODAL!$C$2:$C$1636,$B7)</f>
        <v>13.14</v>
      </c>
      <c r="J7" s="17">
        <f>SUMIFS(XP!$M$3:$M$307,XP!$C$3:$C$307,$B7)+SUMIFS(MODAL!$N$2:$N$1644,MODAL!$C$2:$C$1644,$B7)</f>
        <v>0</v>
      </c>
      <c r="K7" s="87"/>
      <c r="L7" s="17"/>
      <c r="M7" s="17">
        <f t="shared" si="0"/>
        <v>0</v>
      </c>
    </row>
    <row r="8" spans="1:15" x14ac:dyDescent="0.25">
      <c r="A8" s="2" t="s">
        <v>63</v>
      </c>
      <c r="B8" s="14" t="s">
        <v>32</v>
      </c>
      <c r="C8">
        <f>SUMIFS(XP!$D$3:$D$307,XP!$C$3:$C$307,B8,XP!$D$3:$D$307,"&gt;0",XP!$E$3:$E$307,"&gt;0")</f>
        <v>100</v>
      </c>
      <c r="D8">
        <f>SUMIFS(XP!$D$3:$D$307,XP!$C$3:$C$307,B8,XP!$D$3:$D$307,"&lt;0",XP!$E$3:$E$307,"&gt;0")</f>
        <v>-100</v>
      </c>
      <c r="E8" s="19">
        <f>SUMIF(XP!$C$3:C$307,B8,XP!$D$3:D$307)</f>
        <v>0</v>
      </c>
      <c r="F8" s="55">
        <f>IF(C8&lt;&gt;0,(SUMIFS(XP!$F$3:$F$307,XP!$C$3:$C$307,$B8,XP!$F$3:$F$307,"&gt;0",XP!$F$3:$F$307,"&gt;0"))/$C8,0)</f>
        <v>9.0399999999999991</v>
      </c>
      <c r="G8" s="55">
        <f>IF($C8&lt;&gt;0,(SUMIFS(XP!$J$3:$J$307,XP!$C$3:$C$307,$B8,XP!$J$3:$J$307,"&gt;0",XP!$J$3:$J$307,"&gt;0")+SUMIFS(MODAL!$K$2:$K$1644,MODAL!$C$2:$C$1644,$B8,MODAL!$K$2:$K$1644,"&gt;0",MODAL!$K$2:$K$1644,"&gt;0"))/$C8,0)</f>
        <v>28.730399999999999</v>
      </c>
      <c r="H8" s="17">
        <f>SUMIFS(XP!$N$3:$N$307,XP!$C$3:$C$307,$B8)+SUMIFS(MODAL!$O$2:$O$1644,MODAL!$C$2:$C$1644,$B8)</f>
        <v>0</v>
      </c>
      <c r="I8" s="17">
        <f>SUMIFS(XP!$O$3:$O$307,XP!$C$3:$C$307,$B8)+SUMIFS(MODAL!$P$2:$P$1636,MODAL!$C$2:$C$1636,$B8)</f>
        <v>0</v>
      </c>
      <c r="J8" s="17">
        <f>SUMIFS(XP!$M$3:$M$307,XP!$C$3:$C$307,$B8)+SUMIFS(MODAL!$N$2:$N$1644,MODAL!$C$2:$C$1644,$B8)</f>
        <v>0</v>
      </c>
      <c r="K8" s="87"/>
      <c r="L8" s="17"/>
      <c r="M8" s="17">
        <f t="shared" si="0"/>
        <v>0</v>
      </c>
    </row>
    <row r="9" spans="1:15" x14ac:dyDescent="0.25">
      <c r="A9" s="2" t="s">
        <v>63</v>
      </c>
      <c r="B9" s="14" t="s">
        <v>12</v>
      </c>
      <c r="C9">
        <f>SUMIFS(XP!$D$3:$D$307,XP!$C$3:$C$307,B9,XP!$D$3:$D$307,"&gt;0",XP!$E$3:$E$307,"&gt;0")</f>
        <v>150</v>
      </c>
      <c r="D9">
        <f>SUMIFS(XP!$D$3:$D$307,XP!$C$3:$C$307,B9,XP!$D$3:$D$307,"&gt;0",XP!$E$3:$E$307,"&gt;0")</f>
        <v>150</v>
      </c>
      <c r="E9" s="19">
        <f>SUMIF(XP!$C$3:C$307,B9,XP!$D$3:D$307)</f>
        <v>0</v>
      </c>
      <c r="F9" s="55">
        <f>IF(C9&lt;&gt;0,(SUMIFS(XP!$F$3:$F$307,XP!$C$3:$C$307,$B9,XP!$F$3:$F$307,"&gt;0",XP!$F$3:$F$307,"&gt;0"))/$C9,0)</f>
        <v>5.6733333333333329</v>
      </c>
      <c r="G9" s="55">
        <f>IF($C9&lt;&gt;0,(SUMIFS(XP!$J$3:$J$307,XP!$C$3:$C$307,$B9,XP!$J$3:$J$307,"&gt;0",XP!$J$3:$J$307,"&gt;0")+SUMIFS(MODAL!$K$2:$K$1644,MODAL!$C$2:$C$1644,$B9,MODAL!$K$2:$K$1644,"&gt;0",MODAL!$K$2:$K$1644,"&gt;0"))/$C9,0)</f>
        <v>5.7255333333333347</v>
      </c>
      <c r="H9" s="17">
        <f>SUMIFS(XP!$N$3:$N$307,XP!$C$3:$C$307,$B9)+SUMIFS(MODAL!$O$2:$O$1644,MODAL!$C$2:$C$1644,$B9)</f>
        <v>52.83</v>
      </c>
      <c r="I9" s="17">
        <f>SUMIFS(XP!$O$3:$O$307,XP!$C$3:$C$307,$B9)+SUMIFS(MODAL!$P$2:$P$1636,MODAL!$C$2:$C$1636,$B9)</f>
        <v>0</v>
      </c>
      <c r="J9" s="17">
        <f>SUMIFS(XP!$M$3:$M$307,XP!$C$3:$C$307,$B9)+SUMIFS(MODAL!$N$2:$N$1644,MODAL!$C$2:$C$1644,$B9)</f>
        <v>0</v>
      </c>
      <c r="K9" s="87"/>
      <c r="L9" s="17"/>
      <c r="M9" s="17">
        <f t="shared" si="0"/>
        <v>0</v>
      </c>
    </row>
    <row r="10" spans="1:15" x14ac:dyDescent="0.25">
      <c r="A10" s="2" t="s">
        <v>63</v>
      </c>
      <c r="B10" s="14" t="s">
        <v>28</v>
      </c>
      <c r="C10">
        <f>SUMIFS(XP!$D$3:$D$307,XP!$C$3:$C$307,B10,XP!$D$3:$D$307,"&gt;0",XP!$E$3:$E$307,"&gt;0")+SUMIFS(MODAL!$D$2:$D$1644,MODAL!$C$2:$C$1644,B10,MODAL!$D$2:$D$1644,"&gt;0",MODAL!$E$2:$E$1644,"&gt;0")</f>
        <v>500</v>
      </c>
      <c r="D10">
        <f>SUMIFS(XP!$D$3:$D$307,XP!$C$3:$C$307,B10,XP!$D$3:$D$307,"&gt;0",XP!$E$3:$E$307,"&gt;0")</f>
        <v>500</v>
      </c>
      <c r="E10" s="19">
        <f>SUMIF(XP!$C$3:C$307,B10,XP!$D$3:D$307)</f>
        <v>0</v>
      </c>
      <c r="F10" s="55">
        <f>IF(C10&lt;&gt;0,(SUMIFS(XP!$F$3:$F$307,XP!$C$3:$C$307,$B10,XP!$F$3:$F$307,"&gt;0",XP!$F$3:$F$307,"&gt;0")+SUMIFS(MODAL!$F$2:$F$1644,MODAL!$C$2:$C$1644,$B10,MODAL!$F$2:$F$1644,"&gt;0",MODAL!$F$2:$F$1644,"&gt;0"))/$C10,0)</f>
        <v>9.3780000000000001</v>
      </c>
      <c r="G10" s="55">
        <f>IF($C10&lt;&gt;0,(SUMIFS(XP!$J$3:$J$307,XP!$C$3:$C$307,$B10,XP!$J$3:$J$307,"&gt;0",XP!$J$3:$J$307,"&gt;0")+SUMIFS(MODAL!$K$2:$K$1644,MODAL!$C$2:$C$1644,$B10,MODAL!$K$2:$K$1644,"&gt;0",MODAL!$K$2:$K$1644,"&gt;0"))/$C10,0)</f>
        <v>9.4756199999999993</v>
      </c>
      <c r="H10" s="17">
        <f>SUMIFS(XP!$N$3:$N$307,XP!$C$3:$C$307,$B10)+SUMIFS(MODAL!$O$2:$O$1644,MODAL!$C$2:$C$1644,$B10)</f>
        <v>171.14</v>
      </c>
      <c r="I10" s="17">
        <f>SUMIFS(XP!$O$3:$O$307,XP!$C$3:$C$307,$B10)+SUMIFS(MODAL!$P$2:$P$1636,MODAL!$C$2:$C$1636,$B10)</f>
        <v>0</v>
      </c>
      <c r="J10" s="17">
        <f>SUMIFS(XP!$M$3:$M$307,XP!$C$3:$C$307,$B10)+SUMIFS(MODAL!$N$2:$N$1644,MODAL!$C$2:$C$1644,$B10)</f>
        <v>0</v>
      </c>
      <c r="K10" s="87"/>
      <c r="L10" s="17"/>
      <c r="M10" s="17">
        <f t="shared" si="0"/>
        <v>0</v>
      </c>
    </row>
    <row r="11" spans="1:15" x14ac:dyDescent="0.25">
      <c r="A11" s="2" t="s">
        <v>62</v>
      </c>
      <c r="B11" s="14" t="s">
        <v>35</v>
      </c>
      <c r="C11">
        <f>SUMIFS(MODAL!$D$2:$D$1644,MODAL!$C$2:$C$1644,B11,MODAL!$D$2:$D$1644,"&gt;0",MODAL!$E$2:$E$1644,"&gt;0")</f>
        <v>4100</v>
      </c>
      <c r="D11">
        <f>SUMIFS(MODAL!$D$2:$D$1644,MODAL!$C$2:$C$1644,B11,MODAL!$D$2:$D$1644,"&lt;0",MODAL!$E$2:$E$1644,"&gt;0")</f>
        <v>-1600</v>
      </c>
      <c r="E11" s="19">
        <f>SUMIF(MODAL!$C$2:C$1644,B11,MODAL!$D$2:D$1644)</f>
        <v>3300</v>
      </c>
      <c r="F11" s="55">
        <f>IF(C11&lt;&gt;0,(SUMIFS(MODAL!$F$2:$F$1644,MODAL!$C$2:$C$1644,$B11,MODAL!$F$2:$F$1644,"&gt;0",MODAL!$F$2:$F$1644,"&gt;0"))/$C11,0)</f>
        <v>2.863658536585366</v>
      </c>
      <c r="G11" s="55">
        <f>IF($C11&lt;&gt;0,(SUMIFS(MODAL!$K$2:$K$1644,MODAL!$C$2:$C$1644,$B11,MODAL!$K$2:$K$1644,"&gt;0",MODAL!$K$2:$K$1644,"&gt;0"))/$C11,0)</f>
        <v>2.8884073170731708</v>
      </c>
      <c r="H11" s="17">
        <f>SUMIFS(MODAL!$O$2:$O$1644,MODAL!$C$2:$C$1644,$B11)</f>
        <v>191.18</v>
      </c>
      <c r="I11" s="17">
        <f>SUMIFS(MODAL!$P$2:$P$1636,MODAL!$C$2:$C$1636,$B11)</f>
        <v>62.650000000000006</v>
      </c>
      <c r="J11" s="17">
        <f>SUMIFS(MODAL!$N$2:$N$1644,MODAL!$C$2:$C$1644,$B11)</f>
        <v>0</v>
      </c>
      <c r="K11" s="87"/>
      <c r="L11" s="17">
        <v>1.17</v>
      </c>
      <c r="M11" s="17">
        <f t="shared" si="0"/>
        <v>3860.9999999999995</v>
      </c>
    </row>
    <row r="12" spans="1:15" x14ac:dyDescent="0.25">
      <c r="A12" s="2"/>
      <c r="B12" s="14" t="s">
        <v>13</v>
      </c>
      <c r="C12">
        <f>SUMIFS(XP!$D$3:$D$307,XP!$C$3:$C$307,B12,XP!$D$3:$D$307,"&gt;0",XP!$E$3:$E$307,"&gt;0")+SUMIFS(MODAL!$D$2:$D$1644,MODAL!$C$2:$C$1644,B12,MODAL!$D$2:$D$1644,"&gt;0",MODAL!$E$2:$E$1644,"&gt;0")</f>
        <v>100</v>
      </c>
      <c r="D12">
        <f>SUMIFS(XP!$D$3:$D$307,XP!$C$3:$C$307,B12,XP!$D$3:$D$307,"&lt;0",XP!$E$3:$E$307,"&gt;0")+SUMIFS(MODAL!$D$2:$D$1644,MODAL!$C$2:$C$1644,B12,MODAL!$D$2:$D$1644,"&lt;0",MODAL!$E$2:$E$1644,"&gt;0")</f>
        <v>-100</v>
      </c>
      <c r="E12" s="19">
        <f>SUMIF(XP!$C$3:C$307,B12,XP!$D$3:D$307)</f>
        <v>0</v>
      </c>
      <c r="F12" s="55">
        <f>IF(C12&lt;&gt;0,(SUMIFS(XP!$F$3:$F$307,XP!$C$3:$C$307,$B12,XP!$F$3:$F$307,"&gt;0",XP!$F$3:$F$307,"&gt;0")+SUMIFS(MODAL!$F$2:$F$1644,MODAL!$C$2:$C$1644,$B12,MODAL!$F$2:$F$1644,"&gt;0",MODAL!$F$2:$F$1644,"&gt;0"))/$C12,0)</f>
        <v>9.5</v>
      </c>
      <c r="G12" s="55">
        <f>IF($C12&lt;&gt;0,(SUMIFS(XP!$J$3:$J$307,XP!$C$3:$C$307,$B12,XP!$J$3:$J$307,"&gt;0",XP!$J$3:$J$307,"&gt;0")+SUMIFS(MODAL!$K$2:$K$1644,MODAL!$C$2:$C$1644,$B12,MODAL!$K$2:$K$1644,"&gt;0",MODAL!$K$2:$K$1644,"&gt;0"))/$C12,0)</f>
        <v>9.5045999999999999</v>
      </c>
      <c r="H12" s="17">
        <f>SUMIFS(XP!$N$3:$N$307,XP!$C$3:$C$307,$B12)+SUMIFS(MODAL!$O$2:$O$1644,MODAL!$C$2:$C$1644,$B12)</f>
        <v>13.7</v>
      </c>
      <c r="I12" s="17">
        <f>SUMIFS(XP!$O$3:$O$307,XP!$C$3:$C$307,$B12)+SUMIFS(MODAL!$P$2:$P$1636,MODAL!$C$2:$C$1636,$B12)</f>
        <v>0</v>
      </c>
      <c r="J12" s="17">
        <f>SUMIFS(XP!$M$3:$M$307,XP!$C$3:$C$307,$B12)+SUMIFS(MODAL!$N$2:$N$1644,MODAL!$C$2:$C$1644,$B12)</f>
        <v>0</v>
      </c>
      <c r="K12" s="87"/>
      <c r="L12" s="17"/>
      <c r="M12" s="17">
        <f t="shared" si="0"/>
        <v>0</v>
      </c>
    </row>
    <row r="13" spans="1:15" x14ac:dyDescent="0.25">
      <c r="A13" s="2" t="s">
        <v>63</v>
      </c>
      <c r="B13" s="54" t="s">
        <v>15</v>
      </c>
      <c r="C13">
        <f>SUMIFS(XP!$D$3:$D$307,XP!$C$3:$C$307,B13,XP!$D$3:$D$307,"&gt;0",XP!$E$3:$E$307,"&gt;0")</f>
        <v>1000</v>
      </c>
      <c r="D13">
        <f>SUMIFS(XP!$D$3:$D$307,XP!$C$3:$C$307,B13,XP!$D$3:$D$307,"&lt;0",XP!$E$3:$E$307,"&gt;0")</f>
        <v>-100</v>
      </c>
      <c r="E13" s="19">
        <f>SUMIF(XP!$C$3:C$307,B13,XP!$D$3:D$307)</f>
        <v>900</v>
      </c>
      <c r="F13" s="55">
        <f>IF(C13&lt;&gt;0,(SUMIFS(XP!$F$3:$F$307,XP!$C$3:$C$307,$B13,XP!$F$3:$F$307,"&gt;0",XP!$F$3:$F$307,"&gt;0")+SUMIFS(MODAL!$F$2:$F$1644,MODAL!$C$2:$C$1644,$B13,MODAL!$F$2:$F$1644,"&gt;0",MODAL!$F$2:$F$1644,"&gt;0"))/$C13,0)</f>
        <v>8.5</v>
      </c>
      <c r="G13" s="55">
        <f>IF($C13&lt;&gt;0,(SUMIFS(XP!$J$3:$J$307,XP!$C$3:$C$307,$B13,XP!$J$3:$J$307,"&gt;0",XP!$J$3:$J$307,"&gt;0")+SUMIFS(MODAL!$K$2:$K$1644,MODAL!$C$2:$C$1644,$B13,MODAL!$K$2:$K$1644,"&gt;0",MODAL!$K$2:$K$1644,"&gt;0"))/$C13,0)</f>
        <v>8.5664099999999994</v>
      </c>
      <c r="H13" s="17">
        <f>SUMIFS(XP!$N$3:$N$307,XP!$C$3:$C$307,$B13)+SUMIFS(MODAL!$O$2:$O$1644,MODAL!$C$2:$C$1644,$B13)</f>
        <v>152.43</v>
      </c>
      <c r="I13" s="17">
        <f>SUMIFS(XP!$O$3:$O$307,XP!$C$3:$C$307,$B13)+SUMIFS(MODAL!$P$2:$P$1636,MODAL!$C$2:$C$1636,$B13)</f>
        <v>0</v>
      </c>
      <c r="J13" s="17">
        <f>SUMIFS(XP!$M$3:$M$307,XP!$C$3:$C$307,$B13)+SUMIFS(MODAL!$N$2:$N$1644,MODAL!$C$2:$C$1644,$B13)</f>
        <v>0</v>
      </c>
      <c r="K13" s="87"/>
      <c r="L13" s="17"/>
      <c r="M13" s="17">
        <f t="shared" si="0"/>
        <v>0</v>
      </c>
      <c r="O13" t="s">
        <v>78</v>
      </c>
    </row>
    <row r="14" spans="1:15" x14ac:dyDescent="0.25">
      <c r="A14" s="2" t="s">
        <v>63</v>
      </c>
      <c r="B14" s="14" t="s">
        <v>29</v>
      </c>
      <c r="C14">
        <f>SUMIFS(XP!$D$3:$D$307,XP!$C$3:$C$307,B14,XP!$D$3:$D$307,"&gt;0",XP!$E$3:$E$307,"&gt;0")+SUMIFS(MODAL!$D$2:$D$1644,MODAL!$C$2:$C$1644,B14,MODAL!$D$2:$D$1644,"&gt;0",MODAL!$E$2:$E$1644,"&gt;0")</f>
        <v>700</v>
      </c>
      <c r="D14">
        <f>SUMIFS(XP!$D$3:$D$307,XP!$C$3:$C$307,B14,XP!$D$3:$D$307,"&lt;0",XP!$E$3:$E$307,"&gt;0")+SUMIFS(MODAL!$D$2:$D$1644,MODAL!$C$2:$C$1644,B14,MODAL!$D$2:$D$1644,"&lt;0",MODAL!$E$2:$E$1644,"&gt;0")</f>
        <v>-700</v>
      </c>
      <c r="E14" s="19">
        <f>SUMIF(XP!$C$3:C$307,B14,XP!$D$3:D$307)+SUMIF(MODAL!$C$2:C$1644,B14,MODAL!$D$2:D$1644)</f>
        <v>0</v>
      </c>
      <c r="F14" s="55">
        <f>IF(C14&lt;&gt;0,(SUMIFS(XP!$F$3:$F$307,XP!$C$3:$C$307,$B14,XP!$F$3:$F$307,"&gt;0",XP!$F$3:$F$307,"&gt;0")+SUMIFS(MODAL!$F$2:$F$1644,MODAL!$C$2:$C$1644,$B14,MODAL!$F$2:$F$1644,"&gt;0",MODAL!$F$2:$F$1644,"&gt;0"))/$C14,0)</f>
        <v>10.461428571428572</v>
      </c>
      <c r="G14" s="55">
        <f>IF($C14&lt;&gt;0,(SUMIFS(XP!$J$3:$J$307,XP!$C$3:$C$307,$B14,XP!$J$3:$J$307,"&gt;0",XP!$J$3:$J$307,"&gt;0")+SUMIFS(MODAL!$K$2:$K$1644,MODAL!$C$2:$C$1644,$B14,MODAL!$K$2:$K$1644,"&gt;0",MODAL!$K$2:$K$1644,"&gt;0"))/$C14,0)</f>
        <v>10.554871428571428</v>
      </c>
      <c r="H14" s="17">
        <f>SUMIFS(XP!$N$3:$N$307,XP!$C$3:$C$307,$B14)+SUMIFS(MODAL!$O$2:$O$1644,MODAL!$C$2:$C$1644,$B14)</f>
        <v>45.62</v>
      </c>
      <c r="I14" s="17">
        <f>SUMIFS(XP!$O$3:$O$307,XP!$C$3:$C$307,$B14)+SUMIFS(MODAL!$P$2:$P$1636,MODAL!$C$2:$C$1636,$B14)</f>
        <v>0</v>
      </c>
      <c r="J14" s="17">
        <f>SUMIFS(XP!$M$3:$M$307,XP!$C$3:$C$307,$B14)+SUMIFS(MODAL!$N$2:$N$1644,MODAL!$C$2:$C$1644,$B14)</f>
        <v>0</v>
      </c>
      <c r="K14" s="87"/>
      <c r="L14" s="17"/>
      <c r="M14" s="17">
        <f t="shared" si="0"/>
        <v>0</v>
      </c>
    </row>
    <row r="15" spans="1:15" x14ac:dyDescent="0.25">
      <c r="A15" s="2"/>
      <c r="B15" s="14" t="s">
        <v>6</v>
      </c>
      <c r="C15">
        <f>SUMIFS(XP!$D$3:$D$307,XP!$C$3:$C$307,B15,XP!$D$3:$D$307,"&gt;0",XP!$E$3:$E$307,"&gt;0")+SUMIFS(MODAL!$D$2:$D$1644,MODAL!$C$2:$C$1644,B15,MODAL!$D$2:$D$1644,"&gt;0",MODAL!$E$2:$E$1644,"&gt;0")</f>
        <v>100</v>
      </c>
      <c r="D15">
        <f>SUMIFS(XP!$D$3:$D$307,XP!$C$3:$C$307,B15,XP!$D$3:$D$307,"&lt;0",XP!$E$3:$E$307,"&gt;0")+SUMIFS(MODAL!$D$2:$D$1644,MODAL!$C$2:$C$1644,B15,MODAL!$D$2:$D$1644,"&lt;0",MODAL!$E$2:$E$1644,"&gt;0")</f>
        <v>-100</v>
      </c>
      <c r="E15" s="19">
        <f>SUMIF(XP!$C$3:C$307,B15,XP!$D$3:D$307)+SUMIF(MODAL!$C$2:C$1644,B15,MODAL!$D$2:D$1644)</f>
        <v>0</v>
      </c>
      <c r="F15" s="55">
        <f>IF(C15&lt;&gt;0,(SUMIFS(XP!$F$3:$F$307,XP!$C$3:$C$307,$B15,XP!$F$3:$F$307,"&gt;0",XP!$F$3:$F$307,"&gt;0")+SUMIFS(MODAL!$F$2:$F$1644,MODAL!$C$2:$C$1644,$B15,MODAL!$F$2:$F$1644,"&gt;0",MODAL!$F$2:$F$1644,"&gt;0"))/$C15,0)</f>
        <v>13.57</v>
      </c>
      <c r="G15" s="55">
        <f>IF($C15&lt;&gt;0,(SUMIFS(XP!$J$3:$J$307,XP!$C$3:$C$307,$B15,XP!$J$3:$J$307,"&gt;0",XP!$J$3:$J$307,"&gt;0")+SUMIFS(MODAL!$K$2:$K$1644,MODAL!$C$2:$C$1644,$B15,MODAL!$K$2:$K$1644,"&gt;0",MODAL!$K$2:$K$1644,"&gt;0"))/$C15,0)</f>
        <v>13.574299999999999</v>
      </c>
      <c r="H15" s="17">
        <f>SUMIFS(XP!$N$3:$N$307,XP!$C$3:$C$307,$B15)+SUMIFS(MODAL!$O$2:$O$1644,MODAL!$C$2:$C$1644,$B15)</f>
        <v>21.18</v>
      </c>
      <c r="I15" s="17">
        <f>SUMIFS(XP!$O$3:$O$307,XP!$C$3:$C$307,$B15)+SUMIFS(MODAL!$P$2:$P$1636,MODAL!$C$2:$C$1636,$B15)</f>
        <v>7.63</v>
      </c>
      <c r="J15" s="17">
        <f>SUMIFS(XP!$M$3:$M$307,XP!$C$3:$C$307,$B15)+SUMIFS(MODAL!$N$2:$N$1644,MODAL!$C$2:$C$1644,$B15)</f>
        <v>0</v>
      </c>
      <c r="K15" s="87"/>
      <c r="L15" s="17"/>
      <c r="M15" s="17">
        <f t="shared" si="0"/>
        <v>0</v>
      </c>
    </row>
    <row r="16" spans="1:15" x14ac:dyDescent="0.25">
      <c r="A16" s="2"/>
      <c r="B16" s="14" t="s">
        <v>31</v>
      </c>
      <c r="C16">
        <f>SUMIFS(XP!$D$3:$D$307,XP!$C$3:$C$307,B16,XP!$D$3:$D$307,"&gt;0",XP!$E$3:$E$307,"&gt;0")+SUMIFS(MODAL!$D$2:$D$1644,MODAL!$C$2:$C$1644,B16,MODAL!$D$2:$D$1644,"&gt;0",MODAL!$E$2:$E$1644,"&gt;0")</f>
        <v>200</v>
      </c>
      <c r="D16">
        <f>SUMIFS(XP!$D$3:$D$307,XP!$C$3:$C$307,B16,XP!$D$3:$D$307,"&lt;0",XP!$E$3:$E$307,"&gt;0")+SUMIFS(MODAL!$D$2:$D$1644,MODAL!$C$2:$C$1644,B16,MODAL!$D$2:$D$1644,"&lt;0",MODAL!$E$2:$E$1644,"&gt;0")</f>
        <v>-200</v>
      </c>
      <c r="E16" s="19">
        <f>SUMIF(XP!$C$3:C$307,B16,XP!$D$3:D$307)+SUMIF(MODAL!$C$2:C$1644,B16,MODAL!$D$2:D$1644)</f>
        <v>0</v>
      </c>
      <c r="F16" s="55">
        <f>IF(C16&lt;&gt;0,(SUMIFS(XP!$F$3:$F$307,XP!$C$3:$C$307,$B16,XP!$F$3:$F$307,"&gt;0",XP!$F$3:$F$307,"&gt;0")+SUMIFS(MODAL!$F$2:$F$1644,MODAL!$C$2:$C$1644,$B16,MODAL!$F$2:$F$1644,"&gt;0",MODAL!$F$2:$F$1644,"&gt;0"))/$C16,0)</f>
        <v>7.8</v>
      </c>
      <c r="G16" s="55">
        <f>IF($C16&lt;&gt;0,(SUMIFS(XP!$J$3:$J$307,XP!$C$3:$C$307,$B16,XP!$J$3:$J$307,"&gt;0",XP!$J$3:$J$307,"&gt;0")+SUMIFS(MODAL!$K$2:$K$1644,MODAL!$C$2:$C$1644,$B16,MODAL!$K$2:$K$1644,"&gt;0",MODAL!$K$2:$K$1644,"&gt;0"))/$C16,0)</f>
        <v>7.8812999999999995</v>
      </c>
      <c r="H16" s="17">
        <f>SUMIFS(XP!$N$3:$N$307,XP!$C$3:$C$307,$B16)+SUMIFS(MODAL!$O$2:$O$1644,MODAL!$C$2:$C$1644,$B16)</f>
        <v>23.2</v>
      </c>
      <c r="I16" s="17">
        <f>SUMIFS(XP!$O$3:$O$307,XP!$C$3:$C$307,$B16)+SUMIFS(MODAL!$P$2:$P$1636,MODAL!$C$2:$C$1636,$B16)</f>
        <v>0</v>
      </c>
      <c r="J16" s="17">
        <f>SUMIFS(XP!$M$3:$M$307,XP!$C$3:$C$307,$B16)+SUMIFS(MODAL!$N$2:$N$1644,MODAL!$C$2:$C$1644,$B16)</f>
        <v>0</v>
      </c>
      <c r="K16" s="87"/>
      <c r="L16" s="17"/>
      <c r="M16" s="17">
        <f t="shared" si="0"/>
        <v>0</v>
      </c>
    </row>
    <row r="17" spans="1:13" x14ac:dyDescent="0.25">
      <c r="A17" s="2" t="s">
        <v>62</v>
      </c>
      <c r="B17" s="14" t="s">
        <v>41</v>
      </c>
      <c r="C17">
        <f>SUMIFS(MODAL!$D$2:$D$1644,MODAL!$C$2:$C$1644,B17,MODAL!$D$2:$D$1644,"&gt;0",MODAL!$E$2:$E$1644,"&gt;0")</f>
        <v>300</v>
      </c>
      <c r="D17">
        <f>SUMIFS(MODAL!$D$2:$D$1644,MODAL!$C$2:$C$1644,B17,MODAL!$D$2:$D$1644,"&lt;0",MODAL!$E$2:$E$1644,"&gt;0")</f>
        <v>-300</v>
      </c>
      <c r="E17" s="19">
        <f>SUMIF(MODAL!$C$2:C$1644,B17,MODAL!$D$2:D$1644)</f>
        <v>0</v>
      </c>
      <c r="F17" s="55">
        <f>IF(C17&lt;&gt;0,(SUMIFS(MODAL!$F$2:$F$1644,MODAL!$C$2:$C$1644,$B17,MODAL!$F$2:$F$1644,"&gt;0",MODAL!$F$2:$F$1644,"&gt;0"))/$C17,0)</f>
        <v>26.272333333333336</v>
      </c>
      <c r="G17" s="55">
        <f>IF($C17&lt;&gt;0,(SUMIFS(MODAL!$K$2:$K$1644,MODAL!$C$2:$C$1644,$B17,MODAL!$K$2:$K$1644,"&gt;0",MODAL!$K$2:$K$1644,"&gt;0"))/$C17,0)</f>
        <v>26.37063333333333</v>
      </c>
      <c r="H17" s="17">
        <f>SUMIFS(MODAL!$O$2:$O$1644,MODAL!$C$2:$C$1644,$B17)</f>
        <v>255.45999999999998</v>
      </c>
      <c r="I17" s="17">
        <f>SUMIFS(MODAL!$P$2:$P$1636,MODAL!$C$2:$C$1636,$B17)</f>
        <v>165.97</v>
      </c>
      <c r="J17" s="17">
        <f>SUMIFS(MODAL!$N$2:$N$1644,MODAL!$C$2:$C$1644,$B17)</f>
        <v>0</v>
      </c>
      <c r="K17" s="87"/>
      <c r="L17" s="17"/>
      <c r="M17" s="17">
        <f t="shared" si="0"/>
        <v>0</v>
      </c>
    </row>
    <row r="18" spans="1:13" x14ac:dyDescent="0.25">
      <c r="A18" s="2" t="s">
        <v>63</v>
      </c>
      <c r="B18" s="14" t="s">
        <v>35</v>
      </c>
      <c r="C18">
        <f>SUMIFS(XP!$D$3:$D$307,XP!$C$3:$C$307,B18,XP!$D$3:$D$307,"&gt;0",XP!$E$3:$E$307,"&gt;0")</f>
        <v>2500</v>
      </c>
      <c r="D18">
        <f>SUMIFS(XP!$D$3:$D$307,XP!$C$3:$C$307,B18,XP!$D$3:$D$307,"&lt;0",XP!$E$3:$E$307,"&gt;0")+SUMIFS(MODAL!$D$2:$D$1644,MODAL!$C$2:$C$1644,B18,MODAL!$D$2:$D$1644,"&lt;0",MODAL!$E$2:$E$1644,"&gt;0")</f>
        <v>-1600</v>
      </c>
      <c r="E18" s="19">
        <f>SUMIF(XP!$C$3:C$307,B18,XP!$D$3:D$307)</f>
        <v>2500</v>
      </c>
      <c r="F18" s="55">
        <f>IF(C18&lt;&gt;0,(SUMIFS(XP!$F$3:$F$307,XP!$C$3:$C$307,$B18,XP!$F$3:$F$307,"&gt;0",XP!$F$3:$F$307,"&gt;0"))/$C18,0)</f>
        <v>3.1680000000000001</v>
      </c>
      <c r="G18" s="55">
        <f>IF($C18&lt;&gt;0,(SUMIFS(XP!$J$3:$J$307,XP!$C$3:$C$307,$B18,XP!$J$3:$J$307,"&gt;0",XP!$J$3:$J$307,"&gt;0"))/$C18,0)</f>
        <v>3.2014639999999996</v>
      </c>
      <c r="H18" s="17">
        <f>SUMIFS(XP!$N$3:$N$307,XP!$C$3:$C$307,$B18)</f>
        <v>275.64999999999998</v>
      </c>
      <c r="I18" s="17">
        <f>SUMIFS(XP!$O$3:$O$307,XP!$C$3:$C$307,$B18)</f>
        <v>436.40999999999997</v>
      </c>
      <c r="J18" s="17">
        <f>SUMIFS(XP!$M$3:$M$307,XP!$C$3:$C$307,$B18)</f>
        <v>0</v>
      </c>
      <c r="K18" s="87"/>
      <c r="L18" s="17">
        <v>1.17</v>
      </c>
      <c r="M18" s="17">
        <f t="shared" si="0"/>
        <v>2925</v>
      </c>
    </row>
    <row r="19" spans="1:13" x14ac:dyDescent="0.25">
      <c r="A19" s="2" t="s">
        <v>63</v>
      </c>
      <c r="B19" s="14" t="s">
        <v>41</v>
      </c>
      <c r="C19">
        <f>SUMIFS(XP!$D$3:$D$307,XP!$C$3:$C$307,B19,XP!$D$3:$D$307,"&gt;0",XP!$E$3:$E$307,"&gt;0")</f>
        <v>800</v>
      </c>
      <c r="D19">
        <f>SUMIFS(XP!$D$3:$D$307,XP!$C$3:$C$307,B19,XP!$D$3:$D$307,"&lt;0",XP!$E$3:$E$307,"&gt;0")</f>
        <v>-800</v>
      </c>
      <c r="E19" s="19">
        <f>SUMIF(XP!$C$3:C$307,B19,XP!$D$3:D$307)</f>
        <v>0</v>
      </c>
      <c r="F19" s="55">
        <f>IF(C19&lt;&gt;0,(SUMIFS(XP!$F$3:$F$263,XP!$C$3:$C$263,$B19,XP!$F$3:$F$263,"&gt;0",XP!$F$3:$F$263,"&gt;0"))/$C19,0)</f>
        <v>17.309999999999999</v>
      </c>
      <c r="G19" s="55">
        <f>IF($C19&lt;&gt;0,(SUMIFS(XP!$J$3:$J$263,XP!$C$3:$C$263,$B19,XP!$J$3:$J$263,"&gt;0",XP!$J$3:$J$263,"&gt;0"))/$C19,0)</f>
        <v>17.415800000000001</v>
      </c>
      <c r="H19" s="17">
        <f>SUMIFS(XP!$N$3:$N$307,XP!$C$3:$C$307,$B19)</f>
        <v>0</v>
      </c>
      <c r="I19" s="17">
        <f>SUMIFS(XP!$O$3:$O$307,XP!$C$3:$C$307,$B19)</f>
        <v>204.6</v>
      </c>
      <c r="J19" s="17">
        <f>SUMIFS(XP!$M$3:$M$307,XP!$C$3:$C$307,$B19)</f>
        <v>0</v>
      </c>
      <c r="K19" s="87"/>
      <c r="L19" s="17"/>
      <c r="M19" s="17">
        <f t="shared" si="0"/>
        <v>0</v>
      </c>
    </row>
    <row r="20" spans="1:13" x14ac:dyDescent="0.25">
      <c r="A20" s="2" t="s">
        <v>63</v>
      </c>
      <c r="B20" s="14" t="s">
        <v>79</v>
      </c>
      <c r="C20">
        <f>SUMIFS(XP!$D$3:$D$307,XP!$C$3:$C$307,B20,XP!$D$3:$D$307,"&gt;0",XP!$E$3:$E$307,"&gt;0")</f>
        <v>500</v>
      </c>
      <c r="D20">
        <f>SUMIFS(XP!$D$3:$D$307,XP!$C$3:$C$307,B20,XP!$D$3:$D$307,"&lt;0",XP!$E$3:$E$307,"&gt;0")</f>
        <v>-500</v>
      </c>
      <c r="E20" s="19">
        <f>SUMIF(XP!$C$3:C$307,B20,XP!$D$3:D$307)</f>
        <v>0</v>
      </c>
      <c r="F20" s="55">
        <f>IF(C20&lt;&gt;0,(SUMIFS(XP!$F$3:$F$307,XP!$C$3:$C$307,$B20,XP!$F$3:$F$307,"&gt;0",XP!$F$3:$F$307,"&gt;0")+SUMIFS(MODAL!$F$2:$F$1644,MODAL!$C$2:$C$1644,$B20,MODAL!$F$2:$F$1644,"&gt;0",MODAL!$F$2:$F$1644,"&gt;0"))/$C20,0)</f>
        <v>5.33</v>
      </c>
      <c r="G20" s="55">
        <f>IF($C20&lt;&gt;0,(SUMIFS(XP!$J$3:$J$307,XP!$C$3:$C$307,$B20,XP!$J$3:$J$307,"&gt;0",XP!$J$3:$J$307,"&gt;0")+SUMIFS(MODAL!$K$2:$K$1644,MODAL!$C$2:$C$1644,$B20,MODAL!$K$2:$K$1644,"&gt;0",MODAL!$K$2:$K$1644,"&gt;0"))/$C20,0)</f>
        <v>5.3655400000000002</v>
      </c>
      <c r="H20" s="17">
        <f>SUMIFS(XP!$N$3:$N$307,XP!$C$3:$C$307,$B20)</f>
        <v>0</v>
      </c>
      <c r="I20" s="17">
        <f>SUMIFS(XP!$O$3:$O$307,XP!$C$3:$C$307,$B20)</f>
        <v>0</v>
      </c>
      <c r="J20" s="17">
        <f>SUMIFS(XP!$M$3:$M$307,XP!$C$3:$C$307,$B20)</f>
        <v>0</v>
      </c>
      <c r="K20" s="87"/>
      <c r="L20" s="17"/>
      <c r="M20" s="17">
        <f t="shared" si="0"/>
        <v>0</v>
      </c>
    </row>
    <row r="21" spans="1:13" x14ac:dyDescent="0.25">
      <c r="A21" s="2" t="s">
        <v>63</v>
      </c>
      <c r="B21" s="14" t="s">
        <v>77</v>
      </c>
      <c r="C21">
        <f>SUMIFS(XP!$D$3:$D$307,XP!$C$3:$C$307,B21,XP!$D$3:$D$307,"&gt;0",XP!$E$3:$E$307,"&gt;0")</f>
        <v>200</v>
      </c>
      <c r="D21">
        <f>SUMIFS(XP!$D$3:$D$307,XP!$C$3:$C$307,B21,XP!$D$3:$D$307,"&lt;0",XP!$E$3:$E$307,"&gt;0")</f>
        <v>-200</v>
      </c>
      <c r="E21" s="19">
        <f>SUMIF(XP!$C$3:C$307,B21,XP!$D$3:D$307)</f>
        <v>0</v>
      </c>
      <c r="F21" s="55">
        <f>IF(C21&lt;&gt;0,(SUMIFS(XP!$F$3:$F$307,XP!$C$3:$C$307,$B21,XP!$F$3:$F$307,"&gt;0",XP!$F$3:$F$307,"&gt;0")+SUMIFS(MODAL!$F$2:$F$1644,MODAL!$C$2:$C$1644,$B21,MODAL!$F$2:$F$1644,"&gt;0",MODAL!$F$2:$F$1644,"&gt;0"))/$C21,0)</f>
        <v>14.58</v>
      </c>
      <c r="G21" s="55">
        <f>IF($C21&lt;&gt;0,(SUMIFS(XP!$J$3:$J$307,XP!$C$3:$C$307,$B21,XP!$J$3:$J$307,"&gt;0",XP!$J$3:$J$307,"&gt;0")+SUMIFS(MODAL!$K$2:$K$1644,MODAL!$C$2:$C$1644,$B21,MODAL!$K$2:$K$1644,"&gt;0",MODAL!$K$2:$K$1644,"&gt;0"))/$C21,0)</f>
        <v>14.66925</v>
      </c>
      <c r="H21" s="17">
        <f>SUMIFS(XP!$N$3:$N$307,XP!$C$3:$C$307,$B21)</f>
        <v>0</v>
      </c>
      <c r="I21" s="17">
        <f>SUMIFS(XP!$O$3:$O$307,XP!$C$3:$C$307,$B21)</f>
        <v>0</v>
      </c>
      <c r="J21" s="17">
        <f>SUMIFS(XP!$M$3:$M$307,XP!$C$3:$C$307,$B21)</f>
        <v>0</v>
      </c>
      <c r="K21" s="87"/>
      <c r="L21" s="17"/>
      <c r="M21" s="17">
        <f t="shared" si="0"/>
        <v>0</v>
      </c>
    </row>
    <row r="22" spans="1:13" x14ac:dyDescent="0.25">
      <c r="A22" s="2" t="s">
        <v>62</v>
      </c>
      <c r="B22" s="14" t="s">
        <v>5</v>
      </c>
      <c r="C22">
        <f>SUMIFS(MODAL!$D$2:$D$1644,MODAL!$C$2:$C$1644,B22,MODAL!$D$2:$D$1644,"&gt;0",MODAL!$E$2:$E$1644,"&gt;0")</f>
        <v>400</v>
      </c>
      <c r="D22">
        <f>SUMIFS(MODAL!$D$2:$D$1644,MODAL!$C$2:$C$1644,B22,MODAL!$D$2:$D$1644,"&lt;0",MODAL!$E$2:$E$1644,"&gt;0")</f>
        <v>-500</v>
      </c>
      <c r="E22" s="19">
        <f>SUMIF(MODAL!$C$2:C$1644,B22,MODAL!$D$2:D$1644)</f>
        <v>300</v>
      </c>
      <c r="F22" s="55">
        <f>IF(C22&lt;&gt;0,(SUMIFS(MODAL!$F$2:$F$1644,MODAL!$C$2:$C$1644,$B22,MODAL!$F$2:$F$1644,"&gt;0",MODAL!$F$2:$F$1644,"&gt;0"))/$C22,0)</f>
        <v>23.703125</v>
      </c>
      <c r="G22" s="55">
        <f>IF($C22&lt;&gt;0,(SUMIFS(MODAL!$K$2:$K$1644,MODAL!$C$2:$C$1644,$B22,MODAL!$K$2:$K$1644,"&gt;0",MODAL!$K$2:$K$1644,"&gt;0"))/$C22,0)</f>
        <v>23.785675000000001</v>
      </c>
      <c r="H22" s="17">
        <f>SUMIFS(MODAL!$O$2:$O$1644,MODAL!$C$2:$C$1644,$B22)</f>
        <v>16.059999999999999</v>
      </c>
      <c r="I22" s="17">
        <f>SUMIFS(MODAL!$P$2:$P$1636,MODAL!$C$2:$C$1636,$B22)</f>
        <v>714.03</v>
      </c>
      <c r="J22" s="17">
        <f>SUMIFS(MODAL!$N$2:$N$1644,MODAL!$C$2:$C$1644,$B22)</f>
        <v>0</v>
      </c>
      <c r="K22" s="87"/>
      <c r="L22" s="17">
        <v>30.42</v>
      </c>
      <c r="M22" s="17">
        <f t="shared" si="0"/>
        <v>9126</v>
      </c>
    </row>
    <row r="23" spans="1:13" x14ac:dyDescent="0.25">
      <c r="A23" s="2" t="s">
        <v>62</v>
      </c>
      <c r="B23" s="14" t="s">
        <v>85</v>
      </c>
      <c r="C23">
        <f>SUMIFS(MODAL!$D$2:$D$1644,MODAL!$C$2:$C$1644,B23,MODAL!$D$2:$D$1644,"&gt;0",MODAL!$E$2:$E$1644,"&gt;0")</f>
        <v>3061</v>
      </c>
      <c r="D23">
        <f>SUMIFS(MODAL!$D$2:$D$1644,MODAL!$C$2:$C$1644,B23,MODAL!$D$2:$D$1644,"&lt;0",MODAL!$E$2:$E$1644,"&gt;0")</f>
        <v>0</v>
      </c>
      <c r="E23" s="19">
        <f>SUMIF(MODAL!$C$2:C$1644,B23,MODAL!$D$2:D$1644)</f>
        <v>3267</v>
      </c>
      <c r="F23" s="55">
        <f>IF(C23&lt;&gt;0,(SUMIFS(MODAL!$F$2:$F$1644,MODAL!$C$2:$C$1644,$B23,MODAL!$F$2:$F$1644,"&gt;0",MODAL!$F$2:$F$1644,"&gt;0"))/$C23,0)</f>
        <v>9.3057562887945124</v>
      </c>
      <c r="G23" s="55">
        <f>IF($C23&lt;&gt;0,(SUMIFS(MODAL!$K$2:$K$1644,MODAL!$C$2:$C$1644,$B23,MODAL!$K$2:$K$1644,"&gt;0",MODAL!$K$2:$K$1644,"&gt;0"))/$C23,0)</f>
        <v>9.3623064358052925</v>
      </c>
      <c r="H23" s="17">
        <f>SUMIFS(MODAL!$O$2:$O$1644,MODAL!$C$2:$C$1644,$B23)</f>
        <v>4399.9699999999993</v>
      </c>
      <c r="I23" s="17">
        <f>SUMIFS(MODAL!$P$2:$P$1636,MODAL!$C$2:$C$1636,$B23)</f>
        <v>3097.7199999999993</v>
      </c>
      <c r="J23" s="17">
        <f>SUMIFS(MODAL!$N$2:$N$1644,MODAL!$C$2:$C$1644,$B23)</f>
        <v>0</v>
      </c>
      <c r="K23" s="87">
        <v>22</v>
      </c>
      <c r="L23" s="17">
        <v>9.94</v>
      </c>
      <c r="M23" s="17">
        <f>(E23+K23)*L23</f>
        <v>32692.66</v>
      </c>
    </row>
    <row r="24" spans="1:13" x14ac:dyDescent="0.25">
      <c r="A24" s="2" t="s">
        <v>62</v>
      </c>
      <c r="B24" s="14" t="s">
        <v>88</v>
      </c>
      <c r="C24">
        <f>SUMIFS(MODAL!$D$2:$D$1644,MODAL!$C$2:$C$1644,B24,MODAL!$D$2:$D$1644,"&gt;0",MODAL!$E$2:$E$1644,"&gt;0")</f>
        <v>3600</v>
      </c>
      <c r="D24">
        <f>SUMIFS(MODAL!$D$2:$D$1644,MODAL!$C$2:$C$1644,B24,MODAL!$D$2:$D$1644,"&lt;0",MODAL!$E$2:$E$1644,"&gt;0")</f>
        <v>0</v>
      </c>
      <c r="E24" s="19">
        <f>SUMIF(MODAL!$C$2:C$1644,B24,MODAL!$D$2:D$1644)</f>
        <v>3600</v>
      </c>
      <c r="F24" s="55">
        <f>IF(C24&lt;&gt;0,(SUMIFS(MODAL!$F$2:$F$1644,MODAL!$C$2:$C$1644,$B24,MODAL!$F$2:$F$1644,"&gt;0",MODAL!$F$2:$F$1644,"&gt;0"))/$C24,0)</f>
        <v>2.8933333333333335</v>
      </c>
      <c r="G24" s="55">
        <f>IF($C24&lt;&gt;0,(SUMIFS(MODAL!$K$2:$K$1644,MODAL!$C$2:$C$1644,$B24,MODAL!$K$2:$K$1644,"&gt;0",MODAL!$K$2:$K$1644,"&gt;0"))/$C24,0)</f>
        <v>2.9071555555555553</v>
      </c>
      <c r="H24" s="17">
        <f>SUMIFS(MODAL!$O$2:$O$1644,MODAL!$C$2:$C$1644,$B24)</f>
        <v>1074.1500000000001</v>
      </c>
      <c r="I24" s="17">
        <f>SUMIFS(MODAL!$P$2:$P$1636,MODAL!$C$2:$C$1636,$B24)</f>
        <v>406.24</v>
      </c>
      <c r="J24" s="17">
        <f>SUMIFS(MODAL!$N$2:$N$1644,MODAL!$C$2:$C$1644,$B24)</f>
        <v>0</v>
      </c>
      <c r="K24" s="87"/>
      <c r="L24" s="17">
        <v>2.97</v>
      </c>
      <c r="M24" s="17">
        <f t="shared" ref="M24:M29" si="1">(E24+K24)*L24</f>
        <v>10692</v>
      </c>
    </row>
    <row r="25" spans="1:13" x14ac:dyDescent="0.25">
      <c r="A25" s="2" t="s">
        <v>62</v>
      </c>
      <c r="B25" s="14" t="s">
        <v>82</v>
      </c>
      <c r="C25">
        <f>SUMIFS(MODAL!$D$2:$D$1644,MODAL!$C$2:$C$1644,B25,MODAL!$D$2:$D$1644,"&gt;0",MODAL!$E$2:$E$1644,"&gt;0")</f>
        <v>1500</v>
      </c>
      <c r="D25">
        <f>SUMIFS(MODAL!$D$2:$D$1644,MODAL!$C$2:$C$1644,B25,MODAL!$D$2:$D$1644,"&lt;0",MODAL!$E$2:$E$1644,"&gt;0")</f>
        <v>-1300</v>
      </c>
      <c r="E25" s="19">
        <f>SUMIF(MODAL!$C$2:C$1644,B25,MODAL!$D$2:D$1644)</f>
        <v>200</v>
      </c>
      <c r="F25" s="55">
        <f>IF(C25&lt;&gt;0,(SUMIFS(MODAL!$F$2:$F$1644,MODAL!$C$2:$C$1644,$B25,MODAL!$F$2:$F$1644,"&gt;0",MODAL!$F$2:$F$1644,"&gt;0"))/$C25,0)</f>
        <v>8.35</v>
      </c>
      <c r="G25" s="55">
        <f>IF($C25&lt;&gt;0,(SUMIFS(MODAL!$K$2:$K$1644,MODAL!$C$2:$C$1644,$B25,MODAL!$K$2:$K$1644,"&gt;0",MODAL!$K$2:$K$1644,"&gt;0"))/$C25,0)</f>
        <v>8.3822133333333326</v>
      </c>
      <c r="H25" s="17">
        <f>SUMIFS(MODAL!$O$2:$O$1644,MODAL!$C$2:$C$1644,$B25)</f>
        <v>6.52</v>
      </c>
      <c r="I25" s="17">
        <f>SUMIFS(MODAL!$P$2:$P$1636,MODAL!$C$2:$C$1636,$B25)</f>
        <v>309.84000000000003</v>
      </c>
      <c r="J25" s="17">
        <f>SUMIFS(MODAL!$N$2:$N$1644,MODAL!$C$2:$C$1644,$B25)</f>
        <v>0</v>
      </c>
      <c r="K25" s="87"/>
      <c r="L25" s="17">
        <v>13.6</v>
      </c>
      <c r="M25" s="17">
        <f t="shared" si="1"/>
        <v>2720</v>
      </c>
    </row>
    <row r="26" spans="1:13" x14ac:dyDescent="0.25">
      <c r="A26" s="2" t="s">
        <v>62</v>
      </c>
      <c r="B26" s="14" t="s">
        <v>170</v>
      </c>
      <c r="C26">
        <f>SUMIFS(MODAL!$D$2:$D$1644,MODAL!$C$2:$C$1644,B26,MODAL!$D$2:$D$1644,"&gt;0",MODAL!$E$2:$E$1644,"&gt;0")</f>
        <v>625</v>
      </c>
      <c r="D26">
        <f>SUMIFS(MODAL!$D$2:$D$1644,MODAL!$C$2:$C$1644,B26,MODAL!$D$2:$D$1644,"&lt;0",MODAL!$E$2:$E$1644,"&gt;0")</f>
        <v>0</v>
      </c>
      <c r="E26" s="19">
        <f>SUMIF(MODAL!$C$2:C$1644,B26,MODAL!$D$2:D$1644)</f>
        <v>625</v>
      </c>
      <c r="F26" s="55">
        <f>IF(C26&lt;&gt;0,(SUMIFS(MODAL!$F$2:$F$1644,MODAL!$C$2:$C$1644,$B26,MODAL!$F$2:$F$1644,"&gt;0",MODAL!$F$2:$F$1644,"&gt;0"))/$C26,0)</f>
        <v>20.597168000000003</v>
      </c>
      <c r="G26" s="55">
        <f>IF($C26&lt;&gt;0,(SUMIFS(MODAL!$K$2:$K$1644,MODAL!$C$2:$C$1644,$B26,MODAL!$K$2:$K$1644,"&gt;0",MODAL!$K$2:$K$1644,"&gt;0"))/$C26,0)</f>
        <v>20.681360000000002</v>
      </c>
      <c r="H26" s="17">
        <f>SUMIFS(MODAL!$O$2:$O$1644,MODAL!$C$2:$C$1644,$B26)</f>
        <v>3935.1400000000008</v>
      </c>
      <c r="I26" s="17">
        <f>SUMIFS(MODAL!$P$2:$P$1636,MODAL!$C$2:$C$1636,$B26)</f>
        <v>1655.9999999999998</v>
      </c>
      <c r="J26" s="17">
        <f>SUMIFS(MODAL!$N$2:$N$1644,MODAL!$C$2:$C$1644,$B26)</f>
        <v>0</v>
      </c>
      <c r="K26" s="87"/>
      <c r="L26" s="17">
        <v>22.7</v>
      </c>
      <c r="M26" s="17">
        <f t="shared" si="1"/>
        <v>14187.5</v>
      </c>
    </row>
    <row r="27" spans="1:13" x14ac:dyDescent="0.25">
      <c r="A27" s="2" t="s">
        <v>62</v>
      </c>
      <c r="B27" s="14" t="s">
        <v>17</v>
      </c>
      <c r="C27">
        <f>SUMIFS(MODAL!$D$2:$D$1644,MODAL!$C$2:$C$1644,B27,MODAL!$D$2:$D$1644,"&gt;0",MODAL!$E$2:$E$1644,"&gt;0")</f>
        <v>2500</v>
      </c>
      <c r="D27">
        <f>SUMIFS(MODAL!$D$2:$D$1644,MODAL!$C$2:$C$1644,B27,MODAL!$D$2:$D$1644,"&lt;0",MODAL!$E$2:$E$1644,"&gt;0")</f>
        <v>-1000</v>
      </c>
      <c r="E27" s="19">
        <f>SUMIF(MODAL!$C$2:C$1644,B27,MODAL!$D$2:D$1644)</f>
        <v>1500</v>
      </c>
      <c r="F27" s="55">
        <f>IF(C27&lt;&gt;0,(SUMIFS(MODAL!$F$2:$F$1644,MODAL!$C$2:$C$1644,$B27,MODAL!$F$2:$F$1644,"&gt;0",MODAL!$F$2:$F$1644,"&gt;0"))/$C27,0)</f>
        <v>8.048</v>
      </c>
      <c r="G27" s="55">
        <f>IF($C27&lt;&gt;0,(SUMIFS(MODAL!$K$2:$K$1644,MODAL!$C$2:$C$1644,$B27,MODAL!$K$2:$K$1644,"&gt;0",MODAL!$K$2:$K$1644,"&gt;0"))/$C27,0)</f>
        <v>8.0869879999999998</v>
      </c>
      <c r="H27" s="17">
        <f>SUMIFS(MODAL!$O$2:$O$1644,MODAL!$C$2:$C$1644,$B27)</f>
        <v>1334.17</v>
      </c>
      <c r="I27" s="17">
        <f>SUMIFS(MODAL!$P$2:$P$1636,MODAL!$C$2:$C$1636,$B27)</f>
        <v>953.28</v>
      </c>
      <c r="J27" s="17">
        <f>SUMIFS(MODAL!$N$2:$N$1644,MODAL!$C$2:$C$1644,$B27)</f>
        <v>0</v>
      </c>
      <c r="K27" s="87"/>
      <c r="L27" s="17">
        <v>8.4</v>
      </c>
      <c r="M27" s="17">
        <f t="shared" si="1"/>
        <v>12600</v>
      </c>
    </row>
    <row r="28" spans="1:13" x14ac:dyDescent="0.25">
      <c r="A28" s="2" t="s">
        <v>62</v>
      </c>
      <c r="B28" s="14" t="s">
        <v>96</v>
      </c>
      <c r="C28">
        <f>SUMIFS(MODAL!$D$2:$D$1644,MODAL!$C$2:$C$1644,B28,MODAL!$D$2:$D$1644,"&gt;0",MODAL!$E$2:$E$1644,"&gt;0")</f>
        <v>400</v>
      </c>
      <c r="D28">
        <f>SUMIFS(MODAL!$D$2:$D$1644,MODAL!$C$2:$C$1644,B28,MODAL!$D$2:$D$1644,"&lt;0",MODAL!$E$2:$E$1644,"&gt;0")</f>
        <v>-500</v>
      </c>
      <c r="E28" s="19">
        <f>SUMIF(MODAL!$C$2:C$1644,B28,MODAL!$D$2:D$1644)</f>
        <v>-100</v>
      </c>
      <c r="F28" s="55">
        <f>IF(C28&lt;&gt;0,(SUMIFS(MODAL!$F$2:$F$1644,MODAL!$C$2:$C$1644,$B28,MODAL!$F$2:$F$1644,"&gt;0",MODAL!$F$2:$F$1644,"&gt;0"))/$C28,0)</f>
        <v>16.764250000000001</v>
      </c>
      <c r="G28" s="55">
        <f>IF($C28&lt;&gt;0,(SUMIFS(MODAL!$K$2:$K$1644,MODAL!$C$2:$C$1644,$B28,MODAL!$K$2:$K$1644,"&gt;0",MODAL!$K$2:$K$1644,"&gt;0"))/$C28,0)</f>
        <v>16.845174999999998</v>
      </c>
      <c r="H28" s="17">
        <f>SUMIFS(MODAL!$O$2:$O$1644,MODAL!$C$2:$C$1644,$B28)</f>
        <v>896.01</v>
      </c>
      <c r="I28" s="17">
        <f>SUMIFS(MODAL!$P$2:$P$1636,MODAL!$C$2:$C$1636,$B28)</f>
        <v>338.68</v>
      </c>
      <c r="J28" s="17">
        <f>SUMIFS(MODAL!$N$2:$N$1644,MODAL!$C$2:$C$1644,$B28)</f>
        <v>0</v>
      </c>
      <c r="K28" s="87"/>
      <c r="L28" s="17">
        <v>24.26</v>
      </c>
      <c r="M28" s="17">
        <f t="shared" si="1"/>
        <v>-2426</v>
      </c>
    </row>
    <row r="29" spans="1:13" x14ac:dyDescent="0.25">
      <c r="A29" s="2" t="s">
        <v>62</v>
      </c>
      <c r="B29" s="14" t="s">
        <v>173</v>
      </c>
      <c r="C29">
        <f>SUMIFS(MODAL!$D$2:$D$1630,MODAL!$C$2:$C$1630,B29,MODAL!$D$2:$D$1630,"&gt;0",MODAL!$E$2:$E$1630,"&gt;0")</f>
        <v>617</v>
      </c>
      <c r="D29">
        <f>SUMIFS(MODAL!$D$2:$D$1630,MODAL!$C$2:$C$1630,C29,MODAL!$D$2:$D$1630,"&gt;0",MODAL!$E$2:$E$1630,"&gt;0")</f>
        <v>0</v>
      </c>
      <c r="E29" s="19">
        <f>SUMIF(MODAL!$C$2:C$1630,B29,MODAL!$D$2:D$1630)</f>
        <v>617</v>
      </c>
      <c r="F29" s="55">
        <f>IF(C29&lt;&gt;0,(SUMIFS(XP!$F$3:$F$307,XP!$C$3:$C$307,$B29,XP!$F$3:$F$307,"&gt;0",XP!$F$3:$F$307,"&gt;0"))/$C29,0)</f>
        <v>0</v>
      </c>
      <c r="G29" s="55">
        <f>IF($C29&lt;&gt;0,(SUMIFS(XP!$J$3:$J$307,XP!$C$3:$C$307,$B29,XP!$J$3:$J$307,"&gt;0",XP!$J$3:$J$307,"&gt;0")+SUMIFS(MODAL!$K$2:$K$1644,MODAL!$C$2:$C$1644,$B29,MODAL!$K$2:$K$1644,"&gt;0",MODAL!$K$2:$K$1644,"&gt;0"))/$C29,0)</f>
        <v>77.50398703403566</v>
      </c>
      <c r="H29" s="17">
        <f>SUMIFS(XP!$N$3:$N$307,XP!$C$3:$C$307,$B29)+SUMIFS(MODAL!$O$2:$O$1644,MODAL!$C$2:$C$1644,$B29)</f>
        <v>0</v>
      </c>
      <c r="I29" s="17">
        <f>SUMIFS(XP!$O$3:$O$307,XP!$C$3:$C$307,$B29)+SUMIFS(MODAL!$P$2:$P$1636,MODAL!$C$2:$C$1636,$B29)</f>
        <v>0</v>
      </c>
      <c r="J29" s="17">
        <f>SUMIFS(XP!$M$3:$M$307,XP!$C$3:$C$307,$B29)+SUMIFS(MODAL!$N$2:$N$1644,MODAL!$C$2:$C$1644,$B29)</f>
        <v>11558.95</v>
      </c>
      <c r="K29" s="87"/>
      <c r="L29" s="17">
        <v>69.8</v>
      </c>
      <c r="M29" s="17">
        <f t="shared" si="1"/>
        <v>43066.6</v>
      </c>
    </row>
    <row r="30" spans="1:13" x14ac:dyDescent="0.25">
      <c r="A30" s="27" t="s">
        <v>47</v>
      </c>
      <c r="B30" s="66">
        <f>COUNTIF(E3:E28,"&lt;&gt;0")</f>
        <v>10</v>
      </c>
      <c r="C30" s="25"/>
      <c r="D30" s="25"/>
      <c r="E30" s="72">
        <f>SUM(E3:E28)</f>
        <v>16092</v>
      </c>
      <c r="F30" s="31"/>
      <c r="G30" s="31"/>
      <c r="H30" s="31">
        <f>SUM(H3:H28)</f>
        <v>14291.87</v>
      </c>
      <c r="I30" s="31">
        <f>SUM(I3:I28)</f>
        <v>9471.19</v>
      </c>
      <c r="J30" s="31">
        <f>SUM(J3:J28)</f>
        <v>83.309999999999988</v>
      </c>
      <c r="K30" s="72">
        <f>SUM(K3:K28)</f>
        <v>22</v>
      </c>
      <c r="L30" s="44"/>
      <c r="M30" s="31">
        <f>SUM(M3:M28)</f>
        <v>86378.16</v>
      </c>
    </row>
    <row r="32" spans="1:13" x14ac:dyDescent="0.25">
      <c r="F32" s="12"/>
      <c r="G32" s="5"/>
    </row>
    <row r="34" spans="1:15" ht="21" x14ac:dyDescent="0.35">
      <c r="A34" s="30" t="s">
        <v>68</v>
      </c>
      <c r="B34" s="22"/>
      <c r="C34" s="22"/>
      <c r="D34" s="22"/>
      <c r="E34" s="22"/>
      <c r="F34" s="22"/>
      <c r="G34" s="22"/>
      <c r="I34" s="30" t="s">
        <v>65</v>
      </c>
      <c r="J34" s="22"/>
      <c r="K34" s="22"/>
      <c r="L34" s="22"/>
      <c r="M34" s="22"/>
    </row>
    <row r="35" spans="1:15" ht="45" x14ac:dyDescent="0.25">
      <c r="A35" s="62" t="s">
        <v>0</v>
      </c>
      <c r="B35" s="62" t="s">
        <v>11</v>
      </c>
      <c r="C35" s="62" t="s">
        <v>59</v>
      </c>
      <c r="D35" s="63" t="s">
        <v>67</v>
      </c>
      <c r="E35" s="62" t="s">
        <v>60</v>
      </c>
      <c r="F35" s="62" t="s">
        <v>48</v>
      </c>
      <c r="G35" s="64" t="s">
        <v>19</v>
      </c>
      <c r="I35" s="61" t="s">
        <v>61</v>
      </c>
      <c r="J35" s="62" t="s">
        <v>66</v>
      </c>
      <c r="K35" s="62" t="s">
        <v>59</v>
      </c>
      <c r="L35" s="63" t="s">
        <v>67</v>
      </c>
      <c r="M35" s="62" t="s">
        <v>60</v>
      </c>
    </row>
    <row r="36" spans="1:15" x14ac:dyDescent="0.25">
      <c r="A36" s="26">
        <v>42153</v>
      </c>
      <c r="B36" s="20">
        <f>SUM(J36:J37)</f>
        <v>127230</v>
      </c>
      <c r="C36" s="20">
        <f>SUM(K36:K37)</f>
        <v>25562.32</v>
      </c>
      <c r="D36" s="20">
        <f>SUM(L36:L37)</f>
        <v>2189.0300000000075</v>
      </c>
      <c r="E36" s="20">
        <f>SUM(M36:M37)</f>
        <v>86378.16</v>
      </c>
      <c r="F36" s="20">
        <f>C36+D36+E36</f>
        <v>114129.51000000001</v>
      </c>
      <c r="G36" s="12">
        <f>F36/B36-1</f>
        <v>-0.10296698891770806</v>
      </c>
      <c r="I36" s="52" t="s">
        <v>63</v>
      </c>
      <c r="J36" s="20">
        <f>SUMIFS(XP!$B$3:$B218,XP!$B$3:$B218,"&gt;0")</f>
        <v>44130</v>
      </c>
      <c r="K36" s="20">
        <f>ABS(SUMIFS(XP!$B$3:$B218,XP!$B$3:$B218,"&lt;0"))</f>
        <v>25562.32</v>
      </c>
      <c r="L36" s="20">
        <f>XP!R218</f>
        <v>8.5</v>
      </c>
      <c r="M36" s="20">
        <f>SUMIFS($M$3:$M28,$A$3:$A28,"XP")</f>
        <v>2925</v>
      </c>
    </row>
    <row r="37" spans="1:15" x14ac:dyDescent="0.25">
      <c r="I37" s="20" t="s">
        <v>62</v>
      </c>
      <c r="J37" s="20">
        <f>SUMIFS(MODAL!$B$36:$B204,MODAL!$B$36:$B204,"&gt;0")</f>
        <v>83100</v>
      </c>
      <c r="K37" s="20">
        <f>ABS(SUMIFS(MODAL!$B$36:$B204,MODAL!$B$36:$B204,"&lt;0"))</f>
        <v>0</v>
      </c>
      <c r="L37" s="20">
        <f>MODAL!Q204</f>
        <v>2180.5300000000075</v>
      </c>
      <c r="M37" s="20">
        <f>SUMIFS($M$3:$M28,$A$3:$A28,"MODAL")</f>
        <v>83453.16</v>
      </c>
    </row>
    <row r="38" spans="1:15" x14ac:dyDescent="0.25">
      <c r="A38" s="26">
        <v>41873</v>
      </c>
      <c r="B38" s="20">
        <v>28830</v>
      </c>
      <c r="C38" s="20">
        <v>6652.32</v>
      </c>
      <c r="D38" s="20">
        <v>6061.2600000000011</v>
      </c>
      <c r="E38" s="20">
        <v>19672.8</v>
      </c>
      <c r="F38" s="20">
        <v>32386.38</v>
      </c>
      <c r="G38" s="12">
        <v>0</v>
      </c>
      <c r="I38" s="69" t="s">
        <v>47</v>
      </c>
      <c r="J38" s="70">
        <f>SUM(J36:J37)</f>
        <v>127230</v>
      </c>
      <c r="K38" s="70">
        <f>SUM(K36:K37)</f>
        <v>25562.32</v>
      </c>
      <c r="L38" s="70">
        <f>SUM(L36:L37)</f>
        <v>2189.0300000000075</v>
      </c>
      <c r="M38" s="70">
        <f>SUM(M36:M37)</f>
        <v>86378.16</v>
      </c>
    </row>
    <row r="39" spans="1:15" x14ac:dyDescent="0.25">
      <c r="A39" s="26">
        <v>41877</v>
      </c>
      <c r="B39" s="20">
        <v>28830</v>
      </c>
      <c r="C39" s="20">
        <v>6652.32</v>
      </c>
      <c r="D39" s="20">
        <v>3014.0500000000006</v>
      </c>
      <c r="E39" s="20">
        <v>22961.8</v>
      </c>
      <c r="F39" s="20">
        <v>32628.17</v>
      </c>
      <c r="G39" s="13">
        <f t="shared" ref="G39:G52" si="2">F39/F38-1</f>
        <v>7.4657927190380224E-3</v>
      </c>
      <c r="M39" s="20"/>
    </row>
    <row r="40" spans="1:15" x14ac:dyDescent="0.25">
      <c r="A40" s="26">
        <v>41878</v>
      </c>
      <c r="B40" s="20">
        <v>28830</v>
      </c>
      <c r="C40" s="20">
        <v>6652.32</v>
      </c>
      <c r="D40" s="20">
        <v>3014.0500000000006</v>
      </c>
      <c r="E40" s="20">
        <v>23436.5</v>
      </c>
      <c r="F40" s="20">
        <v>33102.870000000003</v>
      </c>
      <c r="G40" s="13">
        <f t="shared" si="2"/>
        <v>1.4548777942495761E-2</v>
      </c>
    </row>
    <row r="41" spans="1:15" x14ac:dyDescent="0.25">
      <c r="A41" s="26">
        <v>41879</v>
      </c>
      <c r="B41" s="20">
        <v>28830</v>
      </c>
      <c r="C41" s="20">
        <v>6652.32</v>
      </c>
      <c r="D41" s="20">
        <v>1235.930000000001</v>
      </c>
      <c r="E41" s="20">
        <v>25137</v>
      </c>
      <c r="F41" s="20">
        <v>33025.25</v>
      </c>
      <c r="G41" s="13">
        <f t="shared" si="2"/>
        <v>-2.3448117942644897E-3</v>
      </c>
      <c r="I41" s="182" t="s">
        <v>72</v>
      </c>
      <c r="J41" s="182"/>
      <c r="K41" s="182"/>
      <c r="L41" s="70">
        <f>J38-K38</f>
        <v>101667.68</v>
      </c>
      <c r="M41" s="69"/>
    </row>
    <row r="42" spans="1:15" x14ac:dyDescent="0.25">
      <c r="A42" s="26">
        <v>41880</v>
      </c>
      <c r="B42" s="20">
        <v>28830</v>
      </c>
      <c r="C42" s="20">
        <v>6652.32</v>
      </c>
      <c r="D42" s="20">
        <v>1236.0600000000009</v>
      </c>
      <c r="E42" s="20">
        <v>25404.5</v>
      </c>
      <c r="F42" s="20">
        <v>33292.880000000005</v>
      </c>
      <c r="G42" s="13">
        <f t="shared" si="2"/>
        <v>8.1037993656369878E-3</v>
      </c>
      <c r="I42" s="182" t="s">
        <v>64</v>
      </c>
      <c r="J42" s="182"/>
      <c r="K42" s="182"/>
      <c r="L42" s="70">
        <f>M38</f>
        <v>86378.16</v>
      </c>
      <c r="M42" s="69"/>
    </row>
    <row r="43" spans="1:15" x14ac:dyDescent="0.25">
      <c r="A43" s="26">
        <v>41885</v>
      </c>
      <c r="B43" s="20">
        <v>28830</v>
      </c>
      <c r="C43" s="20">
        <v>6652.32</v>
      </c>
      <c r="D43" s="20">
        <v>7575.4800000000014</v>
      </c>
      <c r="E43" s="20">
        <v>18955</v>
      </c>
      <c r="F43" s="20">
        <v>33182.800000000003</v>
      </c>
      <c r="G43" s="13">
        <f t="shared" si="2"/>
        <v>-3.3064126624071655E-3</v>
      </c>
      <c r="I43" s="181" t="s">
        <v>71</v>
      </c>
      <c r="J43" s="181"/>
      <c r="K43" s="181"/>
      <c r="L43" s="70">
        <f>(L42+L38)-L41</f>
        <v>-13100.489999999976</v>
      </c>
      <c r="M43" s="69"/>
    </row>
    <row r="44" spans="1:15" x14ac:dyDescent="0.25">
      <c r="A44" s="26">
        <v>41887</v>
      </c>
      <c r="B44" s="20">
        <v>28830</v>
      </c>
      <c r="C44" s="20">
        <v>10152.32</v>
      </c>
      <c r="D44" s="20">
        <v>1595.7000000000012</v>
      </c>
      <c r="E44" s="20">
        <v>21529.5</v>
      </c>
      <c r="F44" s="20">
        <v>33277.520000000004</v>
      </c>
      <c r="G44" s="13">
        <f t="shared" si="2"/>
        <v>2.8544908808179059E-3</v>
      </c>
    </row>
    <row r="45" spans="1:15" x14ac:dyDescent="0.25">
      <c r="A45" s="26">
        <v>41894</v>
      </c>
      <c r="B45" s="20">
        <v>28830</v>
      </c>
      <c r="C45" s="20">
        <v>10152.32</v>
      </c>
      <c r="D45" s="20">
        <v>1595.7000000000012</v>
      </c>
      <c r="E45" s="20">
        <v>22393.5</v>
      </c>
      <c r="F45" s="20">
        <v>34141.520000000004</v>
      </c>
      <c r="G45" s="13">
        <f t="shared" si="2"/>
        <v>2.5963473239592361E-2</v>
      </c>
      <c r="J45" s="20"/>
    </row>
    <row r="46" spans="1:15" x14ac:dyDescent="0.25">
      <c r="A46" s="26">
        <v>41900</v>
      </c>
      <c r="B46" s="20">
        <v>28830</v>
      </c>
      <c r="C46" s="20">
        <v>10152.32</v>
      </c>
      <c r="D46" s="20">
        <v>21.9500000000013</v>
      </c>
      <c r="E46" s="20">
        <v>24163</v>
      </c>
      <c r="F46" s="20">
        <v>34337.270000000004</v>
      </c>
      <c r="G46" s="13">
        <f t="shared" si="2"/>
        <v>5.7334881399540016E-3</v>
      </c>
      <c r="I46" s="182" t="s">
        <v>72</v>
      </c>
      <c r="J46" s="182"/>
      <c r="K46" s="182"/>
      <c r="L46" s="70">
        <f>J38-K38</f>
        <v>101667.68</v>
      </c>
      <c r="M46" s="69"/>
    </row>
    <row r="47" spans="1:15" x14ac:dyDescent="0.25">
      <c r="A47" s="26">
        <v>41901</v>
      </c>
      <c r="B47" s="20">
        <v>30560</v>
      </c>
      <c r="C47" s="20">
        <v>10152.32</v>
      </c>
      <c r="D47" s="20">
        <v>21.9500000000013</v>
      </c>
      <c r="E47" s="20">
        <v>23731</v>
      </c>
      <c r="F47" s="20">
        <v>33905.270000000004</v>
      </c>
      <c r="G47" s="13">
        <f t="shared" si="2"/>
        <v>-1.2581081722571441E-2</v>
      </c>
      <c r="I47" s="182" t="s">
        <v>64</v>
      </c>
      <c r="J47" s="182"/>
      <c r="K47" s="182"/>
      <c r="L47" s="70">
        <f>M38</f>
        <v>86378.16</v>
      </c>
      <c r="M47" s="69"/>
    </row>
    <row r="48" spans="1:15" x14ac:dyDescent="0.25">
      <c r="A48" s="26">
        <v>41912</v>
      </c>
      <c r="B48" s="20">
        <v>30560</v>
      </c>
      <c r="C48" s="20">
        <v>10152.32</v>
      </c>
      <c r="D48" s="20">
        <v>21.9500000000013</v>
      </c>
      <c r="E48" s="20">
        <v>22821</v>
      </c>
      <c r="F48" s="20">
        <v>32995.270000000004</v>
      </c>
      <c r="G48" s="13">
        <f t="shared" si="2"/>
        <v>-2.6839485425127152E-2</v>
      </c>
      <c r="I48" s="181" t="s">
        <v>76</v>
      </c>
      <c r="J48" s="181"/>
      <c r="K48" s="181"/>
      <c r="L48" s="70" t="e">
        <f>#REF!</f>
        <v>#REF!</v>
      </c>
      <c r="M48" s="69"/>
      <c r="O48" s="73"/>
    </row>
    <row r="49" spans="1:13" x14ac:dyDescent="0.25">
      <c r="A49" s="26">
        <v>41915</v>
      </c>
      <c r="B49" s="20">
        <v>31990</v>
      </c>
      <c r="C49" s="20">
        <v>10152.32</v>
      </c>
      <c r="D49" s="20">
        <v>22.100000000001273</v>
      </c>
      <c r="E49" s="20">
        <v>24027.5</v>
      </c>
      <c r="F49" s="20">
        <v>34201.919999999998</v>
      </c>
      <c r="G49" s="13">
        <f t="shared" si="2"/>
        <v>3.657039327152023E-2</v>
      </c>
      <c r="I49" s="181" t="s">
        <v>71</v>
      </c>
      <c r="J49" s="181"/>
      <c r="K49" s="181"/>
      <c r="L49" s="70" t="e">
        <f>(L42+L38+L48)-L41</f>
        <v>#REF!</v>
      </c>
      <c r="M49" s="69"/>
    </row>
    <row r="50" spans="1:13" x14ac:dyDescent="0.25">
      <c r="A50" s="26">
        <v>41920</v>
      </c>
      <c r="B50" s="20">
        <v>31990</v>
      </c>
      <c r="C50" s="20">
        <v>10152.32</v>
      </c>
      <c r="D50" s="20">
        <v>22.100000000001273</v>
      </c>
      <c r="E50" s="20">
        <v>24980</v>
      </c>
      <c r="F50" s="20">
        <v>35154.42</v>
      </c>
      <c r="G50" s="13">
        <f t="shared" si="2"/>
        <v>2.7849313722738467E-2</v>
      </c>
    </row>
    <row r="51" spans="1:13" x14ac:dyDescent="0.25">
      <c r="A51" s="26">
        <v>41929</v>
      </c>
      <c r="B51" s="20">
        <v>33090</v>
      </c>
      <c r="C51" s="20">
        <v>10152.32</v>
      </c>
      <c r="D51" s="20">
        <v>22.100000000001273</v>
      </c>
      <c r="E51" s="20">
        <v>24685.5</v>
      </c>
      <c r="F51" s="20">
        <v>34859.919999999998</v>
      </c>
      <c r="G51" s="13">
        <f t="shared" si="2"/>
        <v>-8.3773249565772812E-3</v>
      </c>
    </row>
    <row r="52" spans="1:13" x14ac:dyDescent="0.25">
      <c r="A52" s="26">
        <v>41943</v>
      </c>
      <c r="B52" s="20">
        <v>34560</v>
      </c>
      <c r="C52" s="20">
        <v>10152.32</v>
      </c>
      <c r="D52" s="20">
        <v>22.180000000001201</v>
      </c>
      <c r="E52" s="20">
        <v>24250.5</v>
      </c>
      <c r="F52" s="20">
        <v>34425</v>
      </c>
      <c r="G52" s="13">
        <f t="shared" si="2"/>
        <v>-1.2476219107789066E-2</v>
      </c>
    </row>
    <row r="53" spans="1:13" x14ac:dyDescent="0.25">
      <c r="A53" s="26">
        <v>42038</v>
      </c>
      <c r="B53" s="20">
        <v>41010</v>
      </c>
      <c r="C53" s="20">
        <v>15533.88</v>
      </c>
      <c r="D53" s="20">
        <v>18.180000000002565</v>
      </c>
      <c r="E53" s="20">
        <v>23062.5</v>
      </c>
      <c r="F53" s="20">
        <v>38614.559999999998</v>
      </c>
      <c r="G53" s="12">
        <v>-5.8411119239210052E-2</v>
      </c>
    </row>
    <row r="54" spans="1:13" x14ac:dyDescent="0.25">
      <c r="A54" s="26">
        <v>42096</v>
      </c>
      <c r="B54" s="20">
        <v>45930</v>
      </c>
      <c r="C54" s="20">
        <v>19515.439999999999</v>
      </c>
      <c r="D54" s="20">
        <v>238.21000000000146</v>
      </c>
      <c r="E54" s="20">
        <v>28685</v>
      </c>
      <c r="F54" s="20">
        <v>48438.65</v>
      </c>
      <c r="G54" s="13">
        <v>5.4618985412584475E-2</v>
      </c>
    </row>
    <row r="55" spans="1:13" x14ac:dyDescent="0.25">
      <c r="A55" s="26">
        <v>42124</v>
      </c>
      <c r="B55" s="20">
        <v>45930</v>
      </c>
      <c r="C55" s="20">
        <v>19515.439999999999</v>
      </c>
      <c r="D55" s="20">
        <v>7526.6200000000008</v>
      </c>
      <c r="E55" s="20">
        <v>28883</v>
      </c>
      <c r="F55" s="20">
        <v>55925.06</v>
      </c>
      <c r="G55" s="13">
        <v>0.21761506640539952</v>
      </c>
    </row>
    <row r="56" spans="1:13" x14ac:dyDescent="0.25">
      <c r="A56" s="26">
        <v>42137</v>
      </c>
      <c r="B56" s="20">
        <v>45930</v>
      </c>
      <c r="C56" s="20">
        <v>19515.439999999999</v>
      </c>
      <c r="D56" s="20">
        <v>6166.2700000000013</v>
      </c>
      <c r="E56" s="20">
        <v>29207</v>
      </c>
      <c r="F56" s="20">
        <v>54888.71</v>
      </c>
      <c r="G56" s="12">
        <v>0.19505138253864573</v>
      </c>
    </row>
    <row r="57" spans="1:13" x14ac:dyDescent="0.25">
      <c r="A57" s="26">
        <v>42146</v>
      </c>
      <c r="B57" s="41">
        <v>45930</v>
      </c>
      <c r="C57" s="41">
        <v>19515.439999999999</v>
      </c>
      <c r="D57" s="41">
        <v>3476.6000000000017</v>
      </c>
      <c r="E57" s="41">
        <v>27972</v>
      </c>
      <c r="F57" s="41">
        <v>50964.04</v>
      </c>
      <c r="G57" s="12">
        <v>0.10960243849335938</v>
      </c>
    </row>
  </sheetData>
  <sortState xmlns:xlrd2="http://schemas.microsoft.com/office/spreadsheetml/2017/richdata2" ref="A2:M17">
    <sortCondition ref="B2:B17"/>
  </sortState>
  <mergeCells count="7">
    <mergeCell ref="I48:K48"/>
    <mergeCell ref="I49:K49"/>
    <mergeCell ref="I41:K41"/>
    <mergeCell ref="I42:K42"/>
    <mergeCell ref="I43:K43"/>
    <mergeCell ref="I46:K46"/>
    <mergeCell ref="I47:K4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8"/>
  <sheetViews>
    <sheetView workbookViewId="0">
      <selection activeCell="B26" sqref="B26"/>
    </sheetView>
  </sheetViews>
  <sheetFormatPr defaultRowHeight="15" x14ac:dyDescent="0.25"/>
  <cols>
    <col min="1" max="1" width="10.7109375" bestFit="1" customWidth="1"/>
    <col min="2" max="2" width="10.5703125" customWidth="1"/>
    <col min="3" max="3" width="14.7109375" customWidth="1"/>
    <col min="4" max="4" width="11.42578125" customWidth="1"/>
    <col min="5" max="5" width="16.140625" customWidth="1"/>
    <col min="6" max="6" width="19.42578125" customWidth="1"/>
    <col min="7" max="7" width="12.140625" customWidth="1"/>
    <col min="8" max="8" width="10.7109375" bestFit="1" customWidth="1"/>
    <col min="10" max="10" width="15.28515625" customWidth="1"/>
    <col min="11" max="11" width="13.5703125" customWidth="1"/>
    <col min="13" max="13" width="11.85546875" bestFit="1" customWidth="1"/>
    <col min="14" max="14" width="15" bestFit="1" customWidth="1"/>
    <col min="15" max="15" width="12.140625" bestFit="1" customWidth="1"/>
  </cols>
  <sheetData>
    <row r="1" spans="1:18" x14ac:dyDescent="0.25">
      <c r="A1" s="74" t="s">
        <v>159</v>
      </c>
    </row>
    <row r="2" spans="1:18" x14ac:dyDescent="0.25">
      <c r="A2" s="76" t="s">
        <v>0</v>
      </c>
      <c r="B2" s="76" t="s">
        <v>147</v>
      </c>
      <c r="C2" s="77" t="s">
        <v>148</v>
      </c>
      <c r="D2" s="77" t="s">
        <v>4</v>
      </c>
      <c r="E2" s="76" t="s">
        <v>149</v>
      </c>
      <c r="F2" s="76" t="s">
        <v>150</v>
      </c>
      <c r="G2" s="76" t="s">
        <v>151</v>
      </c>
      <c r="H2" s="77" t="s">
        <v>152</v>
      </c>
      <c r="I2" s="76" t="s">
        <v>153</v>
      </c>
      <c r="J2" s="77" t="s">
        <v>154</v>
      </c>
      <c r="K2" s="77" t="s">
        <v>155</v>
      </c>
      <c r="L2" s="77" t="s">
        <v>156</v>
      </c>
      <c r="M2" s="77" t="s">
        <v>9</v>
      </c>
      <c r="N2" s="77" t="s">
        <v>157</v>
      </c>
      <c r="O2" s="77" t="s">
        <v>158</v>
      </c>
      <c r="P2" s="77" t="s">
        <v>160</v>
      </c>
      <c r="R2" s="77" t="s">
        <v>161</v>
      </c>
    </row>
    <row r="3" spans="1:18" x14ac:dyDescent="0.25">
      <c r="A3" s="52">
        <v>42580</v>
      </c>
      <c r="B3">
        <v>0.2</v>
      </c>
      <c r="C3" s="20">
        <v>3004.6</v>
      </c>
      <c r="D3" s="20">
        <v>600.91999999999996</v>
      </c>
      <c r="E3" t="s">
        <v>111</v>
      </c>
      <c r="F3" t="s">
        <v>112</v>
      </c>
      <c r="G3">
        <v>4</v>
      </c>
      <c r="H3" s="8">
        <v>624.95000000000005</v>
      </c>
      <c r="I3">
        <v>337</v>
      </c>
      <c r="J3">
        <v>20</v>
      </c>
      <c r="K3">
        <v>4.8</v>
      </c>
      <c r="L3">
        <v>0</v>
      </c>
      <c r="M3">
        <v>0</v>
      </c>
      <c r="N3">
        <v>0</v>
      </c>
      <c r="O3" s="8">
        <v>620.15</v>
      </c>
      <c r="P3" s="8"/>
    </row>
    <row r="4" spans="1:18" x14ac:dyDescent="0.25">
      <c r="A4" s="52">
        <v>42611</v>
      </c>
      <c r="B4">
        <v>0.2</v>
      </c>
      <c r="C4" s="20">
        <v>2960.01</v>
      </c>
      <c r="D4" s="20">
        <v>592</v>
      </c>
      <c r="E4" t="s">
        <v>113</v>
      </c>
      <c r="F4" t="s">
        <v>114</v>
      </c>
      <c r="G4">
        <v>5.57</v>
      </c>
      <c r="H4" s="8">
        <v>624.95000000000005</v>
      </c>
      <c r="I4">
        <v>306</v>
      </c>
      <c r="J4">
        <v>20</v>
      </c>
      <c r="K4">
        <v>6.59</v>
      </c>
      <c r="L4">
        <v>0</v>
      </c>
      <c r="M4">
        <v>0</v>
      </c>
      <c r="N4">
        <v>0</v>
      </c>
      <c r="O4" s="8">
        <v>618.36</v>
      </c>
      <c r="P4" s="8">
        <v>17.2</v>
      </c>
    </row>
    <row r="5" spans="1:18" x14ac:dyDescent="0.25">
      <c r="A5" s="52">
        <v>42638</v>
      </c>
      <c r="B5">
        <v>0.18</v>
      </c>
      <c r="C5" s="20">
        <v>2989.75</v>
      </c>
      <c r="D5" s="20">
        <v>538.15</v>
      </c>
      <c r="E5" t="s">
        <v>115</v>
      </c>
      <c r="F5" t="s">
        <v>116</v>
      </c>
      <c r="G5">
        <v>4.5199999999999996</v>
      </c>
      <c r="H5" s="8">
        <v>562.45000000000005</v>
      </c>
      <c r="I5">
        <v>279</v>
      </c>
      <c r="J5">
        <v>20</v>
      </c>
      <c r="K5">
        <v>4.8600000000000003</v>
      </c>
      <c r="L5">
        <v>0</v>
      </c>
      <c r="M5">
        <v>0</v>
      </c>
      <c r="N5">
        <v>0</v>
      </c>
      <c r="O5" s="8">
        <v>557.59</v>
      </c>
      <c r="P5" s="8"/>
    </row>
    <row r="6" spans="1:18" x14ac:dyDescent="0.25">
      <c r="A6" s="52">
        <v>42638</v>
      </c>
      <c r="B6">
        <v>0.19</v>
      </c>
      <c r="C6" s="20">
        <v>2989.75</v>
      </c>
      <c r="D6" s="20">
        <v>568.04999999999995</v>
      </c>
      <c r="E6" t="s">
        <v>115</v>
      </c>
      <c r="F6" t="s">
        <v>116</v>
      </c>
      <c r="G6">
        <v>4.5199999999999996</v>
      </c>
      <c r="H6" s="8">
        <v>593.70000000000005</v>
      </c>
      <c r="I6">
        <v>279</v>
      </c>
      <c r="J6">
        <v>20</v>
      </c>
      <c r="K6">
        <v>5.13</v>
      </c>
      <c r="L6">
        <v>0</v>
      </c>
      <c r="M6">
        <v>0</v>
      </c>
      <c r="N6">
        <v>0</v>
      </c>
      <c r="O6" s="8">
        <v>588.57000000000005</v>
      </c>
      <c r="P6" s="8"/>
    </row>
    <row r="7" spans="1:18" x14ac:dyDescent="0.25">
      <c r="A7" s="52">
        <v>42654</v>
      </c>
      <c r="B7">
        <v>0.2</v>
      </c>
      <c r="C7" s="20">
        <v>3019.29</v>
      </c>
      <c r="D7" s="20">
        <v>603.85</v>
      </c>
      <c r="E7" t="s">
        <v>117</v>
      </c>
      <c r="F7" t="s">
        <v>118</v>
      </c>
      <c r="G7">
        <v>3.49</v>
      </c>
      <c r="H7" s="8">
        <v>624.95000000000005</v>
      </c>
      <c r="I7">
        <v>263</v>
      </c>
      <c r="J7">
        <v>20</v>
      </c>
      <c r="K7">
        <v>4.21</v>
      </c>
      <c r="L7">
        <v>0</v>
      </c>
      <c r="M7">
        <v>0</v>
      </c>
      <c r="N7">
        <v>0</v>
      </c>
      <c r="O7" s="8">
        <v>620.74</v>
      </c>
      <c r="P7" s="8"/>
    </row>
    <row r="8" spans="1:18" x14ac:dyDescent="0.25">
      <c r="A8" s="52">
        <v>42677</v>
      </c>
      <c r="B8">
        <v>0.15</v>
      </c>
      <c r="C8" s="20">
        <v>3001.17</v>
      </c>
      <c r="D8" s="20">
        <v>450.17</v>
      </c>
      <c r="E8" t="s">
        <v>119</v>
      </c>
      <c r="F8" t="s">
        <v>120</v>
      </c>
      <c r="G8">
        <v>4.12</v>
      </c>
      <c r="H8" s="8">
        <v>468.71</v>
      </c>
      <c r="I8">
        <v>240</v>
      </c>
      <c r="J8">
        <v>20</v>
      </c>
      <c r="K8">
        <v>3.7</v>
      </c>
      <c r="L8">
        <v>0</v>
      </c>
      <c r="M8">
        <v>0</v>
      </c>
      <c r="N8">
        <v>0</v>
      </c>
      <c r="O8" s="8">
        <v>465.01</v>
      </c>
      <c r="P8" s="8"/>
    </row>
    <row r="9" spans="1:18" x14ac:dyDescent="0.25">
      <c r="A9" s="52">
        <v>42692</v>
      </c>
      <c r="B9">
        <v>0.2</v>
      </c>
      <c r="C9" s="20">
        <v>2927.76</v>
      </c>
      <c r="D9" s="20">
        <v>585.54999999999995</v>
      </c>
      <c r="E9" t="s">
        <v>121</v>
      </c>
      <c r="F9" t="s">
        <v>122</v>
      </c>
      <c r="G9">
        <v>6.73</v>
      </c>
      <c r="H9" s="8">
        <v>624.95000000000005</v>
      </c>
      <c r="I9">
        <v>225</v>
      </c>
      <c r="J9">
        <v>20</v>
      </c>
      <c r="K9">
        <v>7.88</v>
      </c>
      <c r="L9">
        <v>0</v>
      </c>
      <c r="M9">
        <v>0</v>
      </c>
      <c r="N9">
        <v>0</v>
      </c>
      <c r="O9" s="8">
        <v>617.07000000000005</v>
      </c>
      <c r="P9" s="8"/>
    </row>
    <row r="10" spans="1:18" x14ac:dyDescent="0.25">
      <c r="A10" s="52">
        <v>42705</v>
      </c>
      <c r="B10">
        <v>0.1</v>
      </c>
      <c r="C10" s="20">
        <v>2959.45</v>
      </c>
      <c r="D10" s="20">
        <v>295.94</v>
      </c>
      <c r="E10" t="s">
        <v>123</v>
      </c>
      <c r="F10" t="s">
        <v>124</v>
      </c>
      <c r="G10">
        <v>5.59</v>
      </c>
      <c r="H10" s="8">
        <v>312.47000000000003</v>
      </c>
      <c r="I10">
        <v>212</v>
      </c>
      <c r="J10">
        <v>20</v>
      </c>
      <c r="K10">
        <v>3.3</v>
      </c>
      <c r="L10">
        <v>0</v>
      </c>
      <c r="M10">
        <v>0</v>
      </c>
      <c r="N10">
        <v>0</v>
      </c>
      <c r="O10" s="8">
        <v>309.17</v>
      </c>
      <c r="P10" s="8"/>
    </row>
    <row r="11" spans="1:18" x14ac:dyDescent="0.25">
      <c r="A11" s="52">
        <v>42713</v>
      </c>
      <c r="B11">
        <v>0.12</v>
      </c>
      <c r="C11" s="20">
        <v>3002.46</v>
      </c>
      <c r="D11" s="20">
        <v>360.29</v>
      </c>
      <c r="E11" t="s">
        <v>125</v>
      </c>
      <c r="F11" t="s">
        <v>126</v>
      </c>
      <c r="G11">
        <v>4.07</v>
      </c>
      <c r="H11" s="8">
        <v>374.97</v>
      </c>
      <c r="I11">
        <v>204</v>
      </c>
      <c r="J11">
        <v>20</v>
      </c>
      <c r="K11">
        <v>2.93</v>
      </c>
      <c r="L11">
        <v>0</v>
      </c>
      <c r="M11">
        <v>0</v>
      </c>
      <c r="N11">
        <v>0</v>
      </c>
      <c r="O11" s="8">
        <v>372.04</v>
      </c>
      <c r="P11" s="8"/>
    </row>
    <row r="12" spans="1:18" x14ac:dyDescent="0.25">
      <c r="A12" s="52">
        <v>42724</v>
      </c>
      <c r="B12">
        <v>0.2</v>
      </c>
      <c r="C12" s="20">
        <v>3014.83</v>
      </c>
      <c r="D12" s="20">
        <v>602.96</v>
      </c>
      <c r="E12" t="s">
        <v>127</v>
      </c>
      <c r="F12" t="s">
        <v>128</v>
      </c>
      <c r="G12">
        <v>3.65</v>
      </c>
      <c r="H12" s="8">
        <v>624.95000000000005</v>
      </c>
      <c r="I12">
        <v>193</v>
      </c>
      <c r="J12">
        <v>20</v>
      </c>
      <c r="K12">
        <v>4.3899999999999997</v>
      </c>
      <c r="L12">
        <v>0</v>
      </c>
      <c r="M12">
        <v>0</v>
      </c>
      <c r="N12">
        <v>0</v>
      </c>
      <c r="O12" s="8">
        <v>620.55999999999995</v>
      </c>
      <c r="P12" s="8"/>
    </row>
    <row r="13" spans="1:18" x14ac:dyDescent="0.25">
      <c r="A13" s="52">
        <v>42758</v>
      </c>
      <c r="B13">
        <v>0.2</v>
      </c>
      <c r="C13" s="20">
        <v>3120.2</v>
      </c>
      <c r="D13" s="20">
        <v>624.04</v>
      </c>
      <c r="E13" t="s">
        <v>129</v>
      </c>
      <c r="F13" t="s">
        <v>130</v>
      </c>
      <c r="G13">
        <v>0.15</v>
      </c>
      <c r="H13" s="8">
        <v>624.95000000000005</v>
      </c>
      <c r="I13">
        <v>159</v>
      </c>
      <c r="J13">
        <v>22.5</v>
      </c>
      <c r="K13">
        <v>0.2</v>
      </c>
      <c r="L13">
        <v>0</v>
      </c>
      <c r="M13">
        <v>0</v>
      </c>
      <c r="N13">
        <v>0</v>
      </c>
      <c r="O13" s="8">
        <v>624.75</v>
      </c>
      <c r="P13" s="8"/>
    </row>
    <row r="14" spans="1:18" x14ac:dyDescent="0.25">
      <c r="A14" s="52">
        <v>42769</v>
      </c>
      <c r="B14">
        <v>0.2</v>
      </c>
      <c r="C14" s="20">
        <v>3134.88</v>
      </c>
      <c r="D14" s="20">
        <v>626.97</v>
      </c>
      <c r="E14" t="s">
        <v>131</v>
      </c>
      <c r="F14" t="s">
        <v>132</v>
      </c>
      <c r="G14">
        <v>-0.32</v>
      </c>
      <c r="H14" s="8">
        <v>624.95000000000005</v>
      </c>
      <c r="I14">
        <v>148</v>
      </c>
      <c r="J14">
        <v>22.5</v>
      </c>
      <c r="K14">
        <v>0</v>
      </c>
      <c r="L14">
        <v>0</v>
      </c>
      <c r="M14">
        <v>0</v>
      </c>
      <c r="N14">
        <v>0</v>
      </c>
      <c r="O14" s="8">
        <v>624.95000000000005</v>
      </c>
      <c r="P14" s="8"/>
    </row>
    <row r="15" spans="1:18" x14ac:dyDescent="0.25">
      <c r="A15" s="52">
        <v>42781</v>
      </c>
      <c r="B15">
        <v>0.17</v>
      </c>
      <c r="C15" s="20">
        <v>3121.3</v>
      </c>
      <c r="D15" s="20">
        <v>530.62</v>
      </c>
      <c r="E15" t="s">
        <v>133</v>
      </c>
      <c r="F15" t="s">
        <v>134</v>
      </c>
      <c r="G15">
        <v>0.11</v>
      </c>
      <c r="H15" s="8">
        <v>531.21</v>
      </c>
      <c r="I15">
        <v>136</v>
      </c>
      <c r="J15">
        <v>22.5</v>
      </c>
      <c r="K15">
        <v>0.13</v>
      </c>
      <c r="L15">
        <v>0</v>
      </c>
      <c r="M15">
        <v>0</v>
      </c>
      <c r="N15">
        <v>0</v>
      </c>
      <c r="O15" s="8">
        <v>531.08000000000004</v>
      </c>
      <c r="P15" s="8">
        <v>161.59</v>
      </c>
    </row>
    <row r="16" spans="1:18" x14ac:dyDescent="0.25">
      <c r="A16" s="52">
        <v>42807</v>
      </c>
      <c r="B16">
        <v>0.24</v>
      </c>
      <c r="C16" s="20">
        <v>3145.42</v>
      </c>
      <c r="D16" s="20">
        <v>754.9</v>
      </c>
      <c r="E16" t="s">
        <v>135</v>
      </c>
      <c r="F16" t="s">
        <v>136</v>
      </c>
      <c r="G16">
        <v>-0.66</v>
      </c>
      <c r="H16" s="8">
        <v>749.94</v>
      </c>
      <c r="I16">
        <v>110</v>
      </c>
      <c r="J16">
        <v>22.5</v>
      </c>
      <c r="K16">
        <v>0</v>
      </c>
      <c r="L16">
        <v>0</v>
      </c>
      <c r="M16">
        <v>0</v>
      </c>
      <c r="N16">
        <v>0</v>
      </c>
      <c r="O16" s="8">
        <v>749.94</v>
      </c>
      <c r="P16" s="8"/>
    </row>
    <row r="17" spans="1:19" x14ac:dyDescent="0.25">
      <c r="A17" s="52">
        <v>42821</v>
      </c>
      <c r="B17">
        <v>0.25</v>
      </c>
      <c r="C17" s="20">
        <v>3170.82</v>
      </c>
      <c r="D17" s="20">
        <v>792.7</v>
      </c>
      <c r="E17" t="s">
        <v>137</v>
      </c>
      <c r="F17" t="s">
        <v>138</v>
      </c>
      <c r="G17">
        <v>-1.45</v>
      </c>
      <c r="H17" s="8">
        <v>781.19</v>
      </c>
      <c r="I17">
        <v>96</v>
      </c>
      <c r="J17">
        <v>22.5</v>
      </c>
      <c r="K17">
        <v>0</v>
      </c>
      <c r="L17">
        <v>0</v>
      </c>
      <c r="M17">
        <v>0</v>
      </c>
      <c r="N17">
        <v>0</v>
      </c>
      <c r="O17" s="8">
        <v>781.19</v>
      </c>
      <c r="P17" s="8"/>
    </row>
    <row r="18" spans="1:19" x14ac:dyDescent="0.25">
      <c r="A18" s="52">
        <v>42829</v>
      </c>
      <c r="B18">
        <v>0.15</v>
      </c>
      <c r="C18" s="20">
        <v>3178.84</v>
      </c>
      <c r="D18" s="20">
        <v>476.82</v>
      </c>
      <c r="E18" t="s">
        <v>139</v>
      </c>
      <c r="F18" t="s">
        <v>140</v>
      </c>
      <c r="G18">
        <v>-1.7</v>
      </c>
      <c r="H18" s="8">
        <v>468.71</v>
      </c>
      <c r="I18">
        <v>88</v>
      </c>
      <c r="J18">
        <v>22.5</v>
      </c>
      <c r="K18">
        <v>0</v>
      </c>
      <c r="L18">
        <v>0</v>
      </c>
      <c r="M18">
        <v>0</v>
      </c>
      <c r="N18">
        <v>0</v>
      </c>
      <c r="O18" s="8">
        <v>468.71</v>
      </c>
      <c r="P18" s="8"/>
    </row>
    <row r="19" spans="1:19" x14ac:dyDescent="0.25">
      <c r="A19" s="52">
        <v>42853</v>
      </c>
      <c r="B19">
        <v>0.16</v>
      </c>
      <c r="C19" s="20">
        <v>3164.22</v>
      </c>
      <c r="D19" s="20">
        <v>506.27</v>
      </c>
      <c r="E19" t="s">
        <v>141</v>
      </c>
      <c r="F19" t="s">
        <v>142</v>
      </c>
      <c r="G19">
        <v>-1.25</v>
      </c>
      <c r="H19" s="8">
        <v>499.96</v>
      </c>
      <c r="I19">
        <v>64</v>
      </c>
      <c r="J19">
        <v>22.5</v>
      </c>
      <c r="K19">
        <v>0</v>
      </c>
      <c r="L19">
        <v>0</v>
      </c>
      <c r="M19">
        <v>0</v>
      </c>
      <c r="N19">
        <v>0</v>
      </c>
      <c r="O19" s="8">
        <v>499.96</v>
      </c>
      <c r="P19" s="8"/>
    </row>
    <row r="20" spans="1:19" x14ac:dyDescent="0.25">
      <c r="A20" s="52">
        <v>42879</v>
      </c>
      <c r="B20">
        <v>0.35</v>
      </c>
      <c r="C20" s="20">
        <v>3132.63</v>
      </c>
      <c r="D20" s="20">
        <v>1096.42</v>
      </c>
      <c r="E20" t="s">
        <v>143</v>
      </c>
      <c r="F20" t="s">
        <v>144</v>
      </c>
      <c r="G20">
        <v>-0.25</v>
      </c>
      <c r="H20" s="8">
        <v>1093.6600000000001</v>
      </c>
      <c r="I20">
        <v>38</v>
      </c>
      <c r="J20">
        <v>22.5</v>
      </c>
      <c r="K20">
        <v>0</v>
      </c>
      <c r="L20">
        <v>0</v>
      </c>
      <c r="M20">
        <v>0</v>
      </c>
      <c r="N20">
        <v>0</v>
      </c>
      <c r="O20" s="8">
        <v>1093.6600000000001</v>
      </c>
      <c r="P20" s="8"/>
    </row>
    <row r="21" spans="1:19" x14ac:dyDescent="0.25">
      <c r="A21" s="52">
        <v>42905</v>
      </c>
      <c r="B21">
        <v>0.15</v>
      </c>
      <c r="C21" s="20">
        <v>3167.46</v>
      </c>
      <c r="D21" s="20">
        <v>475.11</v>
      </c>
      <c r="E21" t="s">
        <v>145</v>
      </c>
      <c r="F21" t="s">
        <v>146</v>
      </c>
      <c r="G21">
        <v>-1.35</v>
      </c>
      <c r="H21" s="8">
        <v>468.71</v>
      </c>
      <c r="I21">
        <v>12</v>
      </c>
      <c r="J21">
        <v>22.5</v>
      </c>
      <c r="K21">
        <v>0</v>
      </c>
      <c r="L21">
        <v>0</v>
      </c>
      <c r="M21">
        <v>0</v>
      </c>
      <c r="N21">
        <v>0</v>
      </c>
      <c r="O21" s="8">
        <v>468.71</v>
      </c>
      <c r="P21" s="8"/>
    </row>
    <row r="22" spans="1:19" x14ac:dyDescent="0.25">
      <c r="D22" s="20"/>
      <c r="P22" s="8"/>
    </row>
    <row r="23" spans="1:19" x14ac:dyDescent="0.25">
      <c r="A23" s="74" t="s">
        <v>4</v>
      </c>
      <c r="B23" s="74">
        <f>SUM(B3:B22)</f>
        <v>3.61</v>
      </c>
      <c r="C23" s="74"/>
      <c r="D23" s="75">
        <f>SUM(D3:D22)</f>
        <v>11081.73</v>
      </c>
      <c r="E23" s="74"/>
      <c r="F23" s="74"/>
      <c r="G23" s="74"/>
      <c r="H23" s="75">
        <f>SUM(H3:H22)</f>
        <v>11280.329999999998</v>
      </c>
      <c r="I23" s="74"/>
      <c r="J23" s="74"/>
      <c r="K23" s="75">
        <f>SUM(K3:K22)</f>
        <v>48.120000000000005</v>
      </c>
      <c r="L23" s="75">
        <f t="shared" ref="L23:P23" si="0">SUM(L3:L22)</f>
        <v>0</v>
      </c>
      <c r="M23" s="75">
        <f t="shared" si="0"/>
        <v>0</v>
      </c>
      <c r="N23" s="75">
        <f t="shared" si="0"/>
        <v>0</v>
      </c>
      <c r="O23" s="75">
        <f t="shared" si="0"/>
        <v>11232.209999999997</v>
      </c>
      <c r="P23" s="75">
        <f t="shared" si="0"/>
        <v>178.79</v>
      </c>
      <c r="R23" s="75">
        <f>(O23+P23)-D23</f>
        <v>329.26999999999862</v>
      </c>
      <c r="S23" s="78">
        <f>R23/D23</f>
        <v>2.9712869741457211E-2</v>
      </c>
    </row>
    <row r="33" spans="3:6" x14ac:dyDescent="0.25">
      <c r="C33" s="52"/>
      <c r="D33" s="20"/>
    </row>
    <row r="34" spans="3:6" x14ac:dyDescent="0.25">
      <c r="C34" s="52"/>
      <c r="D34" s="20"/>
      <c r="E34" s="20"/>
      <c r="F34" s="79"/>
    </row>
    <row r="35" spans="3:6" x14ac:dyDescent="0.25">
      <c r="C35" s="52"/>
      <c r="D35" s="20"/>
      <c r="E35" s="20"/>
      <c r="F35" s="79"/>
    </row>
    <row r="36" spans="3:6" x14ac:dyDescent="0.25">
      <c r="C36" s="52"/>
      <c r="D36" s="20"/>
      <c r="E36" s="20"/>
      <c r="F36" s="79"/>
    </row>
    <row r="37" spans="3:6" x14ac:dyDescent="0.25">
      <c r="C37" s="52"/>
      <c r="D37" s="20"/>
      <c r="E37" s="20"/>
      <c r="F37" s="79"/>
    </row>
    <row r="38" spans="3:6" x14ac:dyDescent="0.25">
      <c r="F38" s="79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C206-DFCB-449E-8BF2-C572C2AAF576}">
  <dimension ref="A1:W37"/>
  <sheetViews>
    <sheetView topLeftCell="A20" workbookViewId="0">
      <selection activeCell="A23" sqref="A23"/>
    </sheetView>
  </sheetViews>
  <sheetFormatPr defaultRowHeight="15" x14ac:dyDescent="0.25"/>
  <cols>
    <col min="1" max="1" width="19.7109375" customWidth="1"/>
    <col min="2" max="2" width="9.7109375" customWidth="1"/>
    <col min="3" max="3" width="18.140625" bestFit="1" customWidth="1"/>
    <col min="4" max="4" width="7.140625" customWidth="1"/>
    <col min="5" max="5" width="10.140625" customWidth="1"/>
    <col min="6" max="6" width="10.5703125" customWidth="1"/>
    <col min="7" max="7" width="4.85546875" customWidth="1"/>
    <col min="8" max="8" width="12.5703125" customWidth="1"/>
    <col min="9" max="9" width="8.7109375" customWidth="1"/>
    <col min="14" max="14" width="11.5703125" bestFit="1" customWidth="1"/>
    <col min="18" max="18" width="11.5703125" bestFit="1" customWidth="1"/>
    <col min="21" max="21" width="11.5703125" bestFit="1" customWidth="1"/>
  </cols>
  <sheetData>
    <row r="1" spans="1:18" x14ac:dyDescent="0.25">
      <c r="A1" s="74" t="s">
        <v>190</v>
      </c>
      <c r="B1" s="74" t="s">
        <v>291</v>
      </c>
      <c r="C1" s="74"/>
      <c r="D1" s="74"/>
      <c r="E1" s="74"/>
      <c r="F1" s="74"/>
      <c r="H1" s="74" t="s">
        <v>350</v>
      </c>
      <c r="Q1" t="s">
        <v>55</v>
      </c>
    </row>
    <row r="2" spans="1:18" x14ac:dyDescent="0.25">
      <c r="A2" s="115" t="s">
        <v>292</v>
      </c>
      <c r="B2" s="115" t="s">
        <v>1</v>
      </c>
      <c r="C2" s="115" t="s">
        <v>295</v>
      </c>
      <c r="D2" s="77" t="s">
        <v>247</v>
      </c>
      <c r="E2" s="77" t="s">
        <v>293</v>
      </c>
      <c r="F2" s="77" t="s">
        <v>7</v>
      </c>
      <c r="H2" s="117" t="s">
        <v>14</v>
      </c>
      <c r="I2" s="77" t="s">
        <v>34</v>
      </c>
      <c r="Q2" t="s">
        <v>188</v>
      </c>
    </row>
    <row r="3" spans="1:18" x14ac:dyDescent="0.25">
      <c r="A3" s="116" t="s">
        <v>294</v>
      </c>
      <c r="B3" t="s">
        <v>82</v>
      </c>
      <c r="C3" t="s">
        <v>296</v>
      </c>
      <c r="D3">
        <v>200</v>
      </c>
      <c r="E3" s="20">
        <v>12.78</v>
      </c>
      <c r="F3" s="20">
        <v>2555</v>
      </c>
      <c r="H3" s="20"/>
      <c r="I3" s="20">
        <v>34</v>
      </c>
      <c r="N3" s="3"/>
      <c r="Q3" t="s">
        <v>173</v>
      </c>
      <c r="R3" s="3">
        <v>43834.27</v>
      </c>
    </row>
    <row r="4" spans="1:18" x14ac:dyDescent="0.25">
      <c r="A4" s="116" t="s">
        <v>298</v>
      </c>
      <c r="B4" t="s">
        <v>5</v>
      </c>
      <c r="C4" t="s">
        <v>297</v>
      </c>
      <c r="D4">
        <v>100</v>
      </c>
      <c r="E4" s="20">
        <v>20.7</v>
      </c>
      <c r="F4" s="20">
        <v>2069.5100000000002</v>
      </c>
      <c r="H4" s="20"/>
      <c r="I4" s="20">
        <v>128.37</v>
      </c>
      <c r="N4" s="3"/>
      <c r="Q4" t="s">
        <v>222</v>
      </c>
      <c r="R4" s="3">
        <v>12648.22</v>
      </c>
    </row>
    <row r="5" spans="1:18" x14ac:dyDescent="0.25">
      <c r="A5" s="116" t="s">
        <v>299</v>
      </c>
      <c r="B5" t="s">
        <v>17</v>
      </c>
      <c r="C5" t="s">
        <v>304</v>
      </c>
      <c r="D5">
        <v>2500</v>
      </c>
      <c r="E5" s="20">
        <v>8.19</v>
      </c>
      <c r="F5" s="20">
        <v>20481</v>
      </c>
      <c r="H5" s="20">
        <v>76.430000000000007</v>
      </c>
      <c r="N5" s="3"/>
      <c r="Q5" t="s">
        <v>180</v>
      </c>
      <c r="R5" s="3">
        <v>4123.04</v>
      </c>
    </row>
    <row r="6" spans="1:18" x14ac:dyDescent="0.25">
      <c r="A6" s="116" t="s">
        <v>300</v>
      </c>
      <c r="B6" t="s">
        <v>85</v>
      </c>
      <c r="C6" t="s">
        <v>305</v>
      </c>
      <c r="D6">
        <v>2424</v>
      </c>
      <c r="E6" s="20">
        <v>7.84</v>
      </c>
      <c r="F6" s="20">
        <v>19004</v>
      </c>
      <c r="H6" s="20">
        <v>1162.01</v>
      </c>
      <c r="I6" s="20">
        <v>655.16999999999996</v>
      </c>
      <c r="N6" s="3"/>
      <c r="Q6" t="s">
        <v>184</v>
      </c>
      <c r="R6" s="3">
        <v>9100.3700000000008</v>
      </c>
    </row>
    <row r="7" spans="1:18" x14ac:dyDescent="0.25">
      <c r="A7" s="116" t="s">
        <v>301</v>
      </c>
      <c r="B7" t="s">
        <v>170</v>
      </c>
      <c r="C7" t="s">
        <v>306</v>
      </c>
      <c r="D7">
        <v>625</v>
      </c>
      <c r="E7" s="20">
        <v>20.6</v>
      </c>
      <c r="F7" s="20">
        <v>12873.23</v>
      </c>
      <c r="H7" s="20">
        <v>1191.18</v>
      </c>
      <c r="I7" s="20">
        <v>417.26</v>
      </c>
      <c r="N7" s="3"/>
      <c r="Q7" t="s">
        <v>234</v>
      </c>
      <c r="R7" s="3">
        <v>4918.3599999999997</v>
      </c>
    </row>
    <row r="8" spans="1:18" x14ac:dyDescent="0.25">
      <c r="A8" s="116" t="s">
        <v>302</v>
      </c>
      <c r="B8" t="s">
        <v>88</v>
      </c>
      <c r="C8" t="s">
        <v>307</v>
      </c>
      <c r="D8">
        <v>3300</v>
      </c>
      <c r="E8" s="20">
        <v>2.86</v>
      </c>
      <c r="F8" s="20">
        <v>9438</v>
      </c>
      <c r="H8" s="20">
        <v>360.67</v>
      </c>
      <c r="N8" s="3"/>
      <c r="Q8" t="s">
        <v>267</v>
      </c>
      <c r="R8" s="3">
        <v>3200.2</v>
      </c>
    </row>
    <row r="9" spans="1:18" x14ac:dyDescent="0.25">
      <c r="A9" s="116" t="s">
        <v>303</v>
      </c>
      <c r="B9" t="s">
        <v>35</v>
      </c>
      <c r="C9" t="s">
        <v>308</v>
      </c>
      <c r="D9">
        <v>550</v>
      </c>
      <c r="E9" s="20">
        <v>9.26</v>
      </c>
      <c r="F9" s="20">
        <v>5094</v>
      </c>
      <c r="H9" s="20"/>
      <c r="N9" s="3"/>
      <c r="Q9" t="s">
        <v>276</v>
      </c>
      <c r="R9" s="3">
        <v>1494.95</v>
      </c>
    </row>
    <row r="10" spans="1:18" x14ac:dyDescent="0.25">
      <c r="A10" s="116" t="s">
        <v>309</v>
      </c>
      <c r="B10" t="s">
        <v>96</v>
      </c>
      <c r="C10" t="s">
        <v>311</v>
      </c>
      <c r="D10">
        <v>500</v>
      </c>
      <c r="E10" s="20">
        <v>16.670000000000002</v>
      </c>
      <c r="F10" s="20">
        <v>8334.7000000000007</v>
      </c>
      <c r="H10" s="20">
        <v>192.46</v>
      </c>
      <c r="N10" s="3"/>
      <c r="Q10" t="s">
        <v>221</v>
      </c>
      <c r="R10" s="3">
        <v>7972.84</v>
      </c>
    </row>
    <row r="11" spans="1:18" x14ac:dyDescent="0.25">
      <c r="A11" s="116" t="s">
        <v>310</v>
      </c>
      <c r="B11" t="s">
        <v>171</v>
      </c>
      <c r="C11" t="s">
        <v>312</v>
      </c>
      <c r="D11">
        <v>785</v>
      </c>
      <c r="E11" s="20">
        <v>15.93</v>
      </c>
      <c r="F11" s="20">
        <v>12501.85</v>
      </c>
      <c r="H11" s="20"/>
      <c r="N11" s="3"/>
      <c r="Q11" t="s">
        <v>183</v>
      </c>
      <c r="R11" s="3">
        <v>3107.75</v>
      </c>
    </row>
    <row r="12" spans="1:18" x14ac:dyDescent="0.25">
      <c r="A12" s="116" t="s">
        <v>313</v>
      </c>
      <c r="B12" t="s">
        <v>182</v>
      </c>
      <c r="C12" t="s">
        <v>319</v>
      </c>
      <c r="D12">
        <v>400</v>
      </c>
      <c r="E12" s="20">
        <v>8.1300000000000008</v>
      </c>
      <c r="F12" s="20">
        <v>3252</v>
      </c>
      <c r="H12" s="20">
        <v>214.28</v>
      </c>
      <c r="N12" s="3"/>
      <c r="Q12" t="s">
        <v>220</v>
      </c>
      <c r="R12" s="3">
        <v>4034.85</v>
      </c>
    </row>
    <row r="13" spans="1:18" x14ac:dyDescent="0.25">
      <c r="A13" s="116" t="s">
        <v>314</v>
      </c>
      <c r="B13" t="s">
        <v>216</v>
      </c>
      <c r="C13" t="s">
        <v>320</v>
      </c>
      <c r="D13">
        <v>200</v>
      </c>
      <c r="E13" s="20">
        <v>9.67</v>
      </c>
      <c r="F13" s="20">
        <v>1934</v>
      </c>
      <c r="H13" s="20"/>
      <c r="N13" s="3"/>
      <c r="Q13" t="s">
        <v>181</v>
      </c>
      <c r="R13" s="3">
        <v>8800.75</v>
      </c>
    </row>
    <row r="14" spans="1:18" x14ac:dyDescent="0.25">
      <c r="A14" s="116" t="s">
        <v>315</v>
      </c>
      <c r="B14" t="s">
        <v>219</v>
      </c>
      <c r="C14" t="s">
        <v>321</v>
      </c>
      <c r="D14">
        <v>200</v>
      </c>
      <c r="E14" s="20">
        <v>5.69</v>
      </c>
      <c r="F14" s="20">
        <v>1138</v>
      </c>
      <c r="H14" s="20"/>
      <c r="N14" s="3"/>
      <c r="Q14" t="s">
        <v>186</v>
      </c>
      <c r="R14" s="3">
        <v>6241.73</v>
      </c>
    </row>
    <row r="15" spans="1:18" x14ac:dyDescent="0.25">
      <c r="A15" s="116" t="s">
        <v>316</v>
      </c>
      <c r="B15" t="s">
        <v>218</v>
      </c>
      <c r="C15" t="s">
        <v>322</v>
      </c>
      <c r="D15">
        <v>100</v>
      </c>
      <c r="E15" s="20">
        <v>9.66</v>
      </c>
      <c r="F15" s="20">
        <v>966</v>
      </c>
      <c r="H15" s="20">
        <v>10.01</v>
      </c>
      <c r="N15" s="3"/>
      <c r="Q15" t="s">
        <v>355</v>
      </c>
      <c r="R15" s="3">
        <v>3097.48</v>
      </c>
    </row>
    <row r="16" spans="1:18" x14ac:dyDescent="0.25">
      <c r="A16" s="116" t="s">
        <v>317</v>
      </c>
      <c r="B16" t="s">
        <v>249</v>
      </c>
      <c r="C16" t="s">
        <v>323</v>
      </c>
      <c r="D16">
        <v>500</v>
      </c>
      <c r="E16" s="20">
        <v>1.49</v>
      </c>
      <c r="F16" s="20">
        <v>745</v>
      </c>
      <c r="H16" s="20"/>
      <c r="N16" s="3"/>
      <c r="Q16" t="s">
        <v>169</v>
      </c>
      <c r="R16" s="3">
        <v>14502.95</v>
      </c>
    </row>
    <row r="17" spans="1:23" x14ac:dyDescent="0.25">
      <c r="A17" s="116" t="s">
        <v>318</v>
      </c>
      <c r="B17" t="s">
        <v>252</v>
      </c>
      <c r="C17" t="s">
        <v>324</v>
      </c>
      <c r="D17">
        <v>200</v>
      </c>
      <c r="E17" s="20">
        <v>7.02</v>
      </c>
      <c r="F17" s="20">
        <v>1404</v>
      </c>
      <c r="H17" s="20"/>
      <c r="N17" s="3"/>
      <c r="Q17" t="s">
        <v>217</v>
      </c>
      <c r="R17" s="3">
        <v>11735.69</v>
      </c>
    </row>
    <row r="18" spans="1:23" x14ac:dyDescent="0.25">
      <c r="E18" s="20"/>
      <c r="F18" s="75"/>
      <c r="G18" s="74"/>
      <c r="H18" s="75"/>
      <c r="I18" s="75"/>
      <c r="K18" s="20"/>
      <c r="N18" s="3"/>
      <c r="Q18" t="s">
        <v>270</v>
      </c>
      <c r="R18" s="3">
        <v>6573.37</v>
      </c>
    </row>
    <row r="19" spans="1:23" x14ac:dyDescent="0.25">
      <c r="E19" s="20"/>
      <c r="F19" s="75"/>
      <c r="G19" s="74"/>
      <c r="H19" s="75"/>
      <c r="I19" s="75"/>
    </row>
    <row r="20" spans="1:23" x14ac:dyDescent="0.25">
      <c r="E20" s="20"/>
      <c r="F20" s="75"/>
      <c r="G20" s="74"/>
      <c r="H20" s="75"/>
      <c r="I20" s="75"/>
    </row>
    <row r="21" spans="1:23" x14ac:dyDescent="0.25">
      <c r="E21" s="20"/>
      <c r="F21" s="20"/>
      <c r="H21" s="20"/>
      <c r="Q21" t="s">
        <v>4</v>
      </c>
      <c r="R21" s="3">
        <f>SUM(R3:R19)</f>
        <v>145386.81999999998</v>
      </c>
      <c r="U21" s="3"/>
      <c r="W21" s="12"/>
    </row>
    <row r="22" spans="1:23" x14ac:dyDescent="0.25">
      <c r="A22" s="74" t="s">
        <v>325</v>
      </c>
      <c r="B22" s="74" t="s">
        <v>291</v>
      </c>
      <c r="C22" s="74"/>
      <c r="D22" s="74"/>
      <c r="E22" s="74"/>
      <c r="F22" s="74"/>
      <c r="H22" s="74" t="s">
        <v>350</v>
      </c>
      <c r="Q22" t="s">
        <v>93</v>
      </c>
      <c r="R22">
        <v>906.01</v>
      </c>
    </row>
    <row r="23" spans="1:23" x14ac:dyDescent="0.25">
      <c r="A23" s="115" t="s">
        <v>292</v>
      </c>
      <c r="B23" s="115" t="s">
        <v>1</v>
      </c>
      <c r="C23" s="115" t="s">
        <v>295</v>
      </c>
      <c r="D23" s="77" t="s">
        <v>247</v>
      </c>
      <c r="E23" s="77" t="s">
        <v>293</v>
      </c>
      <c r="F23" s="77" t="s">
        <v>7</v>
      </c>
      <c r="H23" s="75" t="s">
        <v>74</v>
      </c>
      <c r="Q23" t="s">
        <v>362</v>
      </c>
      <c r="R23" s="12">
        <f>R22/R21</f>
        <v>6.2317203168760424E-3</v>
      </c>
    </row>
    <row r="24" spans="1:23" x14ac:dyDescent="0.25">
      <c r="A24" s="116" t="s">
        <v>326</v>
      </c>
      <c r="B24" t="s">
        <v>173</v>
      </c>
      <c r="C24" t="s">
        <v>339</v>
      </c>
      <c r="D24">
        <v>520</v>
      </c>
      <c r="E24" s="20">
        <v>76.14</v>
      </c>
      <c r="F24" s="20">
        <v>39591.730000000003</v>
      </c>
      <c r="H24" s="20">
        <v>2997.46</v>
      </c>
    </row>
    <row r="25" spans="1:23" x14ac:dyDescent="0.25">
      <c r="A25" s="116" t="s">
        <v>327</v>
      </c>
      <c r="B25" t="s">
        <v>169</v>
      </c>
      <c r="C25" t="s">
        <v>338</v>
      </c>
      <c r="D25">
        <v>95</v>
      </c>
      <c r="E25" s="20">
        <v>101.96</v>
      </c>
      <c r="F25" s="20">
        <v>9686.1</v>
      </c>
      <c r="H25" s="20">
        <v>466.1</v>
      </c>
    </row>
    <row r="26" spans="1:23" x14ac:dyDescent="0.25">
      <c r="A26" s="116" t="s">
        <v>328</v>
      </c>
      <c r="B26" t="s">
        <v>183</v>
      </c>
      <c r="C26" t="s">
        <v>340</v>
      </c>
      <c r="D26">
        <v>45</v>
      </c>
      <c r="E26" s="20">
        <v>49.53</v>
      </c>
      <c r="F26" s="20">
        <v>2228.75</v>
      </c>
      <c r="H26" s="20">
        <v>54.58</v>
      </c>
    </row>
    <row r="27" spans="1:23" x14ac:dyDescent="0.25">
      <c r="A27" s="116" t="s">
        <v>329</v>
      </c>
      <c r="B27" t="s">
        <v>180</v>
      </c>
      <c r="C27" t="s">
        <v>341</v>
      </c>
      <c r="D27">
        <v>86</v>
      </c>
      <c r="E27" s="20">
        <v>42.88</v>
      </c>
      <c r="F27" s="20">
        <v>3688.04</v>
      </c>
      <c r="H27" s="20">
        <v>103.4</v>
      </c>
    </row>
    <row r="28" spans="1:23" x14ac:dyDescent="0.25">
      <c r="A28" s="116" t="s">
        <v>330</v>
      </c>
      <c r="B28" t="s">
        <v>181</v>
      </c>
      <c r="C28" t="s">
        <v>342</v>
      </c>
      <c r="D28">
        <v>70</v>
      </c>
      <c r="E28" s="20">
        <v>92.11</v>
      </c>
      <c r="F28" s="20">
        <v>6447.8</v>
      </c>
      <c r="H28" s="20">
        <v>294.61</v>
      </c>
    </row>
    <row r="29" spans="1:23" x14ac:dyDescent="0.25">
      <c r="A29" s="116" t="s">
        <v>331</v>
      </c>
      <c r="B29" t="s">
        <v>184</v>
      </c>
      <c r="C29" t="s">
        <v>343</v>
      </c>
      <c r="D29">
        <v>105</v>
      </c>
      <c r="E29" s="20">
        <v>71.900000000000006</v>
      </c>
      <c r="F29" s="20">
        <v>7549.97</v>
      </c>
      <c r="H29" s="20">
        <v>445.83</v>
      </c>
    </row>
    <row r="30" spans="1:23" x14ac:dyDescent="0.25">
      <c r="A30" s="116" t="s">
        <v>332</v>
      </c>
      <c r="B30" t="s">
        <v>186</v>
      </c>
      <c r="C30" t="s">
        <v>344</v>
      </c>
      <c r="D30">
        <v>75</v>
      </c>
      <c r="E30" s="20">
        <v>72.58</v>
      </c>
      <c r="F30" s="20">
        <v>5443.73</v>
      </c>
      <c r="H30" s="20">
        <v>138.65</v>
      </c>
    </row>
    <row r="31" spans="1:23" x14ac:dyDescent="0.25">
      <c r="A31" s="116" t="s">
        <v>333</v>
      </c>
      <c r="B31" t="s">
        <v>217</v>
      </c>
      <c r="C31" t="s">
        <v>345</v>
      </c>
      <c r="D31">
        <v>55</v>
      </c>
      <c r="E31" s="20">
        <v>93.17</v>
      </c>
      <c r="F31" s="20">
        <v>5124.4399999999996</v>
      </c>
      <c r="H31" s="20">
        <v>66.239999999999995</v>
      </c>
    </row>
    <row r="32" spans="1:23" x14ac:dyDescent="0.25">
      <c r="A32" s="116" t="s">
        <v>334</v>
      </c>
      <c r="B32" t="s">
        <v>220</v>
      </c>
      <c r="C32" t="s">
        <v>346</v>
      </c>
      <c r="D32">
        <v>20</v>
      </c>
      <c r="E32" s="20">
        <v>98.72</v>
      </c>
      <c r="F32" s="20">
        <v>1974.35</v>
      </c>
      <c r="H32" s="20">
        <v>46.11</v>
      </c>
    </row>
    <row r="33" spans="1:10" x14ac:dyDescent="0.25">
      <c r="A33" s="116" t="s">
        <v>335</v>
      </c>
      <c r="B33" t="s">
        <v>221</v>
      </c>
      <c r="C33" t="s">
        <v>347</v>
      </c>
      <c r="D33">
        <v>300</v>
      </c>
      <c r="E33" s="20">
        <v>10</v>
      </c>
      <c r="F33" s="20">
        <v>2998.7</v>
      </c>
      <c r="H33" s="20">
        <v>57.1</v>
      </c>
    </row>
    <row r="34" spans="1:10" x14ac:dyDescent="0.25">
      <c r="A34" s="116" t="s">
        <v>336</v>
      </c>
      <c r="B34" t="s">
        <v>222</v>
      </c>
      <c r="C34" t="s">
        <v>348</v>
      </c>
      <c r="D34">
        <v>23</v>
      </c>
      <c r="E34" s="20">
        <v>90.37</v>
      </c>
      <c r="F34" s="20">
        <v>2078.42</v>
      </c>
      <c r="H34" s="20">
        <v>47.36</v>
      </c>
    </row>
    <row r="35" spans="1:10" x14ac:dyDescent="0.25">
      <c r="A35" s="116" t="s">
        <v>337</v>
      </c>
      <c r="B35" t="s">
        <v>234</v>
      </c>
      <c r="C35" t="s">
        <v>349</v>
      </c>
      <c r="D35">
        <v>19</v>
      </c>
      <c r="E35" s="20">
        <v>123.15</v>
      </c>
      <c r="F35">
        <v>2339.7600000000002</v>
      </c>
      <c r="H35" s="20">
        <v>40.28</v>
      </c>
    </row>
    <row r="36" spans="1:10" x14ac:dyDescent="0.25">
      <c r="F36" s="75"/>
      <c r="G36" s="74"/>
      <c r="H36" s="75"/>
      <c r="J36" s="12"/>
    </row>
    <row r="37" spans="1:10" x14ac:dyDescent="0.25">
      <c r="H37" s="20"/>
    </row>
  </sheetData>
  <pageMargins left="0.25" right="0.25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CC70-8548-4B23-8B55-7F80DB56ABF0}">
  <dimension ref="A1:T77"/>
  <sheetViews>
    <sheetView topLeftCell="D1" zoomScale="90" zoomScaleNormal="90" workbookViewId="0">
      <selection activeCell="O6" sqref="O6"/>
    </sheetView>
  </sheetViews>
  <sheetFormatPr defaultRowHeight="15" x14ac:dyDescent="0.25"/>
  <cols>
    <col min="1" max="1" width="18.85546875" customWidth="1"/>
    <col min="2" max="2" width="20.42578125" bestFit="1" customWidth="1"/>
    <col min="3" max="3" width="11.28515625" customWidth="1"/>
    <col min="4" max="4" width="18.28515625" bestFit="1" customWidth="1"/>
    <col min="5" max="5" width="13.140625" bestFit="1" customWidth="1"/>
    <col min="6" max="6" width="20.5703125" customWidth="1"/>
    <col min="7" max="7" width="12.42578125" style="20" customWidth="1"/>
    <col min="8" max="8" width="11.85546875" customWidth="1"/>
    <col min="9" max="9" width="18" bestFit="1" customWidth="1"/>
    <col min="10" max="10" width="19.28515625" bestFit="1" customWidth="1"/>
    <col min="11" max="11" width="20.28515625" customWidth="1"/>
    <col min="12" max="12" width="13.42578125" customWidth="1"/>
    <col min="13" max="13" width="13.28515625" customWidth="1"/>
    <col min="14" max="14" width="13.5703125" bestFit="1" customWidth="1"/>
    <col min="15" max="16" width="12.42578125" bestFit="1" customWidth="1"/>
  </cols>
  <sheetData>
    <row r="1" spans="1:20" x14ac:dyDescent="0.25">
      <c r="A1" s="46" t="s">
        <v>603</v>
      </c>
      <c r="B1" s="48"/>
      <c r="C1" s="48"/>
      <c r="D1" s="48"/>
      <c r="E1" s="48"/>
      <c r="F1" s="48"/>
      <c r="G1" s="162"/>
      <c r="I1" s="46" t="s">
        <v>603</v>
      </c>
      <c r="J1" s="48"/>
      <c r="K1" s="48"/>
      <c r="L1" s="48"/>
      <c r="M1" s="48"/>
      <c r="N1" s="48"/>
      <c r="O1" s="162"/>
      <c r="P1" s="134"/>
      <c r="Q1" s="134"/>
      <c r="R1" s="134"/>
      <c r="S1" s="134"/>
      <c r="T1" s="134"/>
    </row>
    <row r="2" spans="1:20" x14ac:dyDescent="0.25">
      <c r="A2" s="46" t="s">
        <v>592</v>
      </c>
      <c r="B2" s="48"/>
      <c r="C2" s="48"/>
      <c r="D2" s="48"/>
      <c r="E2" s="48"/>
      <c r="F2" s="48"/>
      <c r="G2" s="162"/>
      <c r="I2" s="46" t="s">
        <v>593</v>
      </c>
      <c r="J2" s="48"/>
      <c r="K2" s="48"/>
      <c r="L2" s="48"/>
      <c r="M2" s="48"/>
      <c r="N2" s="48"/>
      <c r="O2" s="162"/>
      <c r="P2" s="132"/>
      <c r="Q2" s="132"/>
      <c r="R2" s="134"/>
      <c r="S2" s="134"/>
      <c r="T2" s="134"/>
    </row>
    <row r="3" spans="1:20" x14ac:dyDescent="0.25">
      <c r="A3" s="167" t="s">
        <v>591</v>
      </c>
      <c r="B3" s="168" t="s">
        <v>292</v>
      </c>
      <c r="C3" s="168" t="s">
        <v>1</v>
      </c>
      <c r="D3" s="168" t="s">
        <v>555</v>
      </c>
      <c r="E3" s="168" t="s">
        <v>594</v>
      </c>
      <c r="F3" s="168" t="s">
        <v>18</v>
      </c>
      <c r="G3" s="169" t="s">
        <v>397</v>
      </c>
      <c r="I3" s="164" t="s">
        <v>591</v>
      </c>
      <c r="J3" s="165" t="s">
        <v>292</v>
      </c>
      <c r="K3" s="165" t="s">
        <v>1</v>
      </c>
      <c r="L3" s="165" t="s">
        <v>555</v>
      </c>
      <c r="M3" s="165" t="s">
        <v>594</v>
      </c>
      <c r="N3" s="165" t="s">
        <v>18</v>
      </c>
      <c r="O3" s="166" t="s">
        <v>397</v>
      </c>
      <c r="P3" s="132"/>
      <c r="Q3" s="174"/>
      <c r="R3" s="175"/>
      <c r="S3" s="134"/>
      <c r="T3" s="134"/>
    </row>
    <row r="4" spans="1:20" x14ac:dyDescent="0.25">
      <c r="A4" s="145">
        <v>1</v>
      </c>
      <c r="B4" t="s">
        <v>532</v>
      </c>
      <c r="C4" t="s">
        <v>82</v>
      </c>
      <c r="D4" t="s">
        <v>296</v>
      </c>
      <c r="E4">
        <v>200</v>
      </c>
      <c r="F4" s="20">
        <v>12.78</v>
      </c>
      <c r="G4" s="20">
        <f>E4*F4</f>
        <v>2556</v>
      </c>
      <c r="I4" s="145">
        <v>1</v>
      </c>
      <c r="J4" t="s">
        <v>559</v>
      </c>
      <c r="K4" t="s">
        <v>173</v>
      </c>
      <c r="M4">
        <v>590</v>
      </c>
      <c r="N4">
        <v>77.180000000000007</v>
      </c>
      <c r="O4" s="20">
        <f>M4*N4</f>
        <v>45536.200000000004</v>
      </c>
      <c r="P4" s="134"/>
      <c r="Q4" s="176"/>
      <c r="R4" s="134"/>
      <c r="S4" s="134"/>
      <c r="T4" s="134"/>
    </row>
    <row r="5" spans="1:20" x14ac:dyDescent="0.25">
      <c r="A5" s="145">
        <f>A4+1</f>
        <v>2</v>
      </c>
      <c r="B5" t="s">
        <v>533</v>
      </c>
      <c r="C5" t="s">
        <v>5</v>
      </c>
      <c r="D5" t="s">
        <v>297</v>
      </c>
      <c r="E5">
        <v>100</v>
      </c>
      <c r="F5" s="20">
        <v>20.7</v>
      </c>
      <c r="G5" s="20">
        <f t="shared" ref="G5:G17" si="0">E5*F5</f>
        <v>2070</v>
      </c>
      <c r="I5" s="145">
        <f>I4+1</f>
        <v>2</v>
      </c>
      <c r="J5" t="s">
        <v>560</v>
      </c>
      <c r="K5" t="s">
        <v>169</v>
      </c>
      <c r="M5">
        <v>145</v>
      </c>
      <c r="N5">
        <v>103.76</v>
      </c>
      <c r="O5" s="20">
        <f t="shared" ref="O5:O23" si="1">M5*N5</f>
        <v>15045.2</v>
      </c>
      <c r="P5" s="134"/>
      <c r="Q5" s="176"/>
      <c r="R5" s="134"/>
      <c r="S5" s="134"/>
      <c r="T5" s="134"/>
    </row>
    <row r="6" spans="1:20" x14ac:dyDescent="0.25">
      <c r="A6" s="145">
        <f t="shared" ref="A6:A17" si="2">A5+1</f>
        <v>3</v>
      </c>
      <c r="B6" t="s">
        <v>535</v>
      </c>
      <c r="C6" t="s">
        <v>17</v>
      </c>
      <c r="D6" t="s">
        <v>304</v>
      </c>
      <c r="E6">
        <v>1500</v>
      </c>
      <c r="F6" s="20">
        <v>8.19</v>
      </c>
      <c r="G6" s="20">
        <f t="shared" si="0"/>
        <v>12285</v>
      </c>
      <c r="I6" s="145">
        <f t="shared" ref="I6:I23" si="3">I5+1</f>
        <v>3</v>
      </c>
      <c r="J6" t="s">
        <v>561</v>
      </c>
      <c r="K6" t="s">
        <v>183</v>
      </c>
      <c r="M6">
        <v>75</v>
      </c>
      <c r="N6">
        <v>47.77</v>
      </c>
      <c r="O6" s="20">
        <f t="shared" si="1"/>
        <v>3582.7500000000005</v>
      </c>
      <c r="P6" s="134"/>
      <c r="Q6" s="176"/>
      <c r="R6" s="134"/>
      <c r="S6" s="134"/>
      <c r="T6" s="134"/>
    </row>
    <row r="7" spans="1:20" x14ac:dyDescent="0.25">
      <c r="A7" s="145">
        <f t="shared" si="2"/>
        <v>4</v>
      </c>
      <c r="B7" t="s">
        <v>536</v>
      </c>
      <c r="C7" t="s">
        <v>85</v>
      </c>
      <c r="D7" t="s">
        <v>305</v>
      </c>
      <c r="E7">
        <v>2424</v>
      </c>
      <c r="F7" s="20">
        <v>7.84</v>
      </c>
      <c r="G7" s="20">
        <f t="shared" si="0"/>
        <v>19004.16</v>
      </c>
      <c r="I7" s="145">
        <f t="shared" si="3"/>
        <v>4</v>
      </c>
      <c r="J7" t="s">
        <v>562</v>
      </c>
      <c r="K7" t="s">
        <v>180</v>
      </c>
      <c r="M7">
        <v>96</v>
      </c>
      <c r="N7">
        <v>42.95</v>
      </c>
      <c r="O7" s="20">
        <f t="shared" si="1"/>
        <v>4123.2000000000007</v>
      </c>
      <c r="P7" s="134"/>
      <c r="Q7" s="176"/>
      <c r="R7" s="134"/>
      <c r="S7" s="134"/>
      <c r="T7" s="134"/>
    </row>
    <row r="8" spans="1:20" x14ac:dyDescent="0.25">
      <c r="A8" s="145">
        <f t="shared" si="2"/>
        <v>5</v>
      </c>
      <c r="B8" t="s">
        <v>537</v>
      </c>
      <c r="C8" t="s">
        <v>170</v>
      </c>
      <c r="D8" t="s">
        <v>306</v>
      </c>
      <c r="E8">
        <v>625</v>
      </c>
      <c r="F8" s="20">
        <v>20.6</v>
      </c>
      <c r="G8" s="20">
        <f t="shared" si="0"/>
        <v>12875</v>
      </c>
      <c r="I8" s="145">
        <f t="shared" si="3"/>
        <v>5</v>
      </c>
      <c r="J8" t="s">
        <v>563</v>
      </c>
      <c r="K8" t="s">
        <v>181</v>
      </c>
      <c r="M8">
        <v>105</v>
      </c>
      <c r="N8">
        <v>94.06</v>
      </c>
      <c r="O8" s="20">
        <f t="shared" si="1"/>
        <v>9876.3000000000011</v>
      </c>
      <c r="P8" s="134"/>
      <c r="Q8" s="176"/>
      <c r="R8" s="134"/>
      <c r="S8" s="134"/>
      <c r="T8" s="134"/>
    </row>
    <row r="9" spans="1:20" x14ac:dyDescent="0.25">
      <c r="A9" s="145">
        <f t="shared" si="2"/>
        <v>6</v>
      </c>
      <c r="B9" t="s">
        <v>538</v>
      </c>
      <c r="C9" t="s">
        <v>88</v>
      </c>
      <c r="D9" t="s">
        <v>307</v>
      </c>
      <c r="E9">
        <v>4100</v>
      </c>
      <c r="F9" s="20">
        <v>2.88</v>
      </c>
      <c r="G9" s="20">
        <f t="shared" si="0"/>
        <v>11808</v>
      </c>
      <c r="I9" s="145">
        <f t="shared" si="3"/>
        <v>6</v>
      </c>
      <c r="J9" t="s">
        <v>564</v>
      </c>
      <c r="K9" t="s">
        <v>184</v>
      </c>
      <c r="M9">
        <v>190</v>
      </c>
      <c r="N9">
        <v>68.67</v>
      </c>
      <c r="O9" s="20">
        <f t="shared" si="1"/>
        <v>13047.300000000001</v>
      </c>
      <c r="P9" s="134"/>
      <c r="Q9" s="176"/>
      <c r="R9" s="134"/>
      <c r="S9" s="134"/>
      <c r="T9" s="134"/>
    </row>
    <row r="10" spans="1:20" x14ac:dyDescent="0.25">
      <c r="A10" s="145">
        <f t="shared" si="2"/>
        <v>7</v>
      </c>
      <c r="B10" t="s">
        <v>540</v>
      </c>
      <c r="C10" t="s">
        <v>35</v>
      </c>
      <c r="D10" t="s">
        <v>308</v>
      </c>
      <c r="E10">
        <v>550</v>
      </c>
      <c r="F10" s="20">
        <v>9.26</v>
      </c>
      <c r="G10" s="20">
        <f t="shared" si="0"/>
        <v>5093</v>
      </c>
      <c r="I10" s="145">
        <f t="shared" si="3"/>
        <v>7</v>
      </c>
      <c r="J10" t="s">
        <v>565</v>
      </c>
      <c r="K10" t="s">
        <v>186</v>
      </c>
      <c r="M10">
        <v>100</v>
      </c>
      <c r="N10">
        <v>75.64</v>
      </c>
      <c r="O10" s="20">
        <f t="shared" si="1"/>
        <v>7564</v>
      </c>
      <c r="P10" s="134"/>
      <c r="Q10" s="176"/>
      <c r="R10" s="134"/>
      <c r="S10" s="134"/>
      <c r="T10" s="134"/>
    </row>
    <row r="11" spans="1:20" x14ac:dyDescent="0.25">
      <c r="A11" s="145">
        <f t="shared" si="2"/>
        <v>8</v>
      </c>
      <c r="B11" t="s">
        <v>541</v>
      </c>
      <c r="C11" t="s">
        <v>171</v>
      </c>
      <c r="D11" t="s">
        <v>312</v>
      </c>
      <c r="E11">
        <v>851</v>
      </c>
      <c r="F11" s="20">
        <v>15.89</v>
      </c>
      <c r="G11" s="20">
        <f t="shared" si="0"/>
        <v>13522.390000000001</v>
      </c>
      <c r="I11" s="145">
        <f t="shared" si="3"/>
        <v>8</v>
      </c>
      <c r="J11" t="s">
        <v>566</v>
      </c>
      <c r="K11" t="s">
        <v>217</v>
      </c>
      <c r="M11">
        <v>153</v>
      </c>
      <c r="N11">
        <v>98.86</v>
      </c>
      <c r="O11" s="20">
        <f t="shared" si="1"/>
        <v>15125.58</v>
      </c>
      <c r="P11" s="134"/>
      <c r="Q11" s="176"/>
      <c r="R11" s="134"/>
      <c r="S11" s="134"/>
      <c r="T11" s="134"/>
    </row>
    <row r="12" spans="1:20" x14ac:dyDescent="0.25">
      <c r="A12" s="145">
        <f t="shared" si="2"/>
        <v>9</v>
      </c>
      <c r="B12" t="s">
        <v>543</v>
      </c>
      <c r="C12" t="s">
        <v>216</v>
      </c>
      <c r="D12" t="s">
        <v>320</v>
      </c>
      <c r="E12">
        <v>200</v>
      </c>
      <c r="F12" s="20">
        <v>9.67</v>
      </c>
      <c r="G12" s="20">
        <f t="shared" si="0"/>
        <v>1934</v>
      </c>
      <c r="I12" s="145">
        <f t="shared" si="3"/>
        <v>9</v>
      </c>
      <c r="J12" t="s">
        <v>567</v>
      </c>
      <c r="K12" t="s">
        <v>220</v>
      </c>
      <c r="M12">
        <v>40</v>
      </c>
      <c r="N12">
        <v>100.88</v>
      </c>
      <c r="O12" s="20">
        <f t="shared" si="1"/>
        <v>4035.2</v>
      </c>
      <c r="P12" s="134"/>
      <c r="Q12" s="176"/>
      <c r="R12" s="134"/>
      <c r="S12" s="134"/>
      <c r="T12" s="134"/>
    </row>
    <row r="13" spans="1:20" x14ac:dyDescent="0.25">
      <c r="A13" s="145">
        <f t="shared" si="2"/>
        <v>10</v>
      </c>
      <c r="B13" t="s">
        <v>544</v>
      </c>
      <c r="C13" t="s">
        <v>219</v>
      </c>
      <c r="D13" t="s">
        <v>321</v>
      </c>
      <c r="E13">
        <v>400</v>
      </c>
      <c r="F13" s="20">
        <v>6.56</v>
      </c>
      <c r="G13" s="20">
        <f t="shared" si="0"/>
        <v>2624</v>
      </c>
      <c r="I13" s="145">
        <f t="shared" si="3"/>
        <v>10</v>
      </c>
      <c r="J13" t="s">
        <v>568</v>
      </c>
      <c r="K13" t="s">
        <v>221</v>
      </c>
      <c r="M13">
        <v>1442</v>
      </c>
      <c r="N13">
        <v>10.81</v>
      </c>
      <c r="O13" s="20">
        <f t="shared" si="1"/>
        <v>15588.02</v>
      </c>
      <c r="P13" s="134"/>
      <c r="Q13" s="176"/>
      <c r="R13" s="134"/>
      <c r="S13" s="134"/>
      <c r="T13" s="134"/>
    </row>
    <row r="14" spans="1:20" x14ac:dyDescent="0.25">
      <c r="A14" s="145">
        <f t="shared" si="2"/>
        <v>11</v>
      </c>
      <c r="B14" t="s">
        <v>546</v>
      </c>
      <c r="C14" t="s">
        <v>218</v>
      </c>
      <c r="D14" t="s">
        <v>556</v>
      </c>
      <c r="E14">
        <v>500</v>
      </c>
      <c r="F14" s="20">
        <v>11.33</v>
      </c>
      <c r="G14" s="20">
        <f t="shared" si="0"/>
        <v>5665</v>
      </c>
      <c r="I14" s="145">
        <f t="shared" si="3"/>
        <v>11</v>
      </c>
      <c r="J14" t="s">
        <v>569</v>
      </c>
      <c r="K14" t="s">
        <v>222</v>
      </c>
      <c r="M14">
        <v>155</v>
      </c>
      <c r="N14">
        <v>92.75</v>
      </c>
      <c r="O14" s="20">
        <f t="shared" si="1"/>
        <v>14376.25</v>
      </c>
      <c r="P14" s="134"/>
      <c r="Q14" s="176"/>
      <c r="R14" s="134"/>
      <c r="S14" s="134"/>
      <c r="T14" s="134"/>
    </row>
    <row r="15" spans="1:20" x14ac:dyDescent="0.25">
      <c r="A15" s="145">
        <f t="shared" si="2"/>
        <v>12</v>
      </c>
      <c r="B15" t="s">
        <v>548</v>
      </c>
      <c r="C15" t="s">
        <v>249</v>
      </c>
      <c r="D15" t="s">
        <v>323</v>
      </c>
      <c r="E15">
        <v>100</v>
      </c>
      <c r="F15" s="20">
        <v>24.5</v>
      </c>
      <c r="G15" s="20">
        <f t="shared" si="0"/>
        <v>2450</v>
      </c>
      <c r="I15" s="145">
        <f t="shared" si="3"/>
        <v>12</v>
      </c>
      <c r="J15" t="s">
        <v>570</v>
      </c>
      <c r="K15" t="s">
        <v>234</v>
      </c>
      <c r="M15">
        <v>40</v>
      </c>
      <c r="N15">
        <v>122.97</v>
      </c>
      <c r="O15" s="20">
        <f t="shared" si="1"/>
        <v>4918.8</v>
      </c>
      <c r="P15" s="134"/>
      <c r="Q15" s="176"/>
      <c r="R15" s="134"/>
      <c r="S15" s="134"/>
      <c r="T15" s="134"/>
    </row>
    <row r="16" spans="1:20" x14ac:dyDescent="0.25">
      <c r="A16" s="145">
        <f t="shared" si="2"/>
        <v>13</v>
      </c>
      <c r="B16" t="s">
        <v>549</v>
      </c>
      <c r="C16" t="s">
        <v>252</v>
      </c>
      <c r="D16" t="s">
        <v>557</v>
      </c>
      <c r="E16">
        <v>200</v>
      </c>
      <c r="F16" s="20">
        <v>7.02</v>
      </c>
      <c r="G16" s="20">
        <f t="shared" si="0"/>
        <v>1404</v>
      </c>
      <c r="I16" s="145">
        <f t="shared" si="3"/>
        <v>13</v>
      </c>
      <c r="J16" t="s">
        <v>571</v>
      </c>
      <c r="K16" t="s">
        <v>267</v>
      </c>
      <c r="M16">
        <v>30</v>
      </c>
      <c r="N16">
        <v>106.68</v>
      </c>
      <c r="O16" s="20">
        <f t="shared" si="1"/>
        <v>3200.4</v>
      </c>
      <c r="P16" s="132"/>
      <c r="Q16" s="133"/>
      <c r="R16" s="134"/>
      <c r="S16" s="134"/>
      <c r="T16" s="134"/>
    </row>
    <row r="17" spans="1:20" x14ac:dyDescent="0.25">
      <c r="A17" s="145">
        <f t="shared" si="2"/>
        <v>14</v>
      </c>
      <c r="B17" t="s">
        <v>535</v>
      </c>
      <c r="C17" t="s">
        <v>30</v>
      </c>
      <c r="D17" t="s">
        <v>304</v>
      </c>
      <c r="E17">
        <v>100</v>
      </c>
      <c r="F17" s="20">
        <v>13.73</v>
      </c>
      <c r="G17" s="20">
        <f t="shared" si="0"/>
        <v>1373</v>
      </c>
      <c r="I17" s="145">
        <f t="shared" si="3"/>
        <v>14</v>
      </c>
      <c r="J17" t="s">
        <v>573</v>
      </c>
      <c r="K17" t="s">
        <v>270</v>
      </c>
      <c r="M17">
        <v>77</v>
      </c>
      <c r="N17">
        <v>106.76</v>
      </c>
      <c r="O17" s="20">
        <f t="shared" si="1"/>
        <v>8220.52</v>
      </c>
      <c r="P17" s="134"/>
      <c r="Q17" s="176"/>
      <c r="R17" s="134"/>
      <c r="S17" s="134"/>
      <c r="T17" s="134"/>
    </row>
    <row r="18" spans="1:20" x14ac:dyDescent="0.25">
      <c r="A18" s="145"/>
      <c r="F18" s="20"/>
      <c r="I18" s="145">
        <f t="shared" si="3"/>
        <v>15</v>
      </c>
      <c r="J18" t="s">
        <v>575</v>
      </c>
      <c r="K18" t="s">
        <v>276</v>
      </c>
      <c r="M18">
        <v>10</v>
      </c>
      <c r="N18">
        <v>149.54</v>
      </c>
      <c r="O18" s="20">
        <f t="shared" si="1"/>
        <v>1495.3999999999999</v>
      </c>
      <c r="P18" s="134"/>
      <c r="Q18" s="134"/>
      <c r="R18" s="134"/>
      <c r="S18" s="134"/>
      <c r="T18" s="134"/>
    </row>
    <row r="19" spans="1:20" x14ac:dyDescent="0.25">
      <c r="A19" s="145"/>
      <c r="F19" s="20"/>
      <c r="I19" s="145">
        <f t="shared" si="3"/>
        <v>16</v>
      </c>
      <c r="J19" t="s">
        <v>577</v>
      </c>
      <c r="K19" t="s">
        <v>355</v>
      </c>
      <c r="M19">
        <v>95</v>
      </c>
      <c r="N19">
        <v>102.67</v>
      </c>
      <c r="O19" s="20">
        <f t="shared" si="1"/>
        <v>9753.65</v>
      </c>
      <c r="P19" s="134"/>
      <c r="Q19" s="134"/>
      <c r="R19" s="134"/>
      <c r="S19" s="134"/>
      <c r="T19" s="134"/>
    </row>
    <row r="20" spans="1:20" x14ac:dyDescent="0.25">
      <c r="A20" s="145"/>
      <c r="F20" s="20"/>
      <c r="I20" s="145">
        <f t="shared" si="3"/>
        <v>17</v>
      </c>
      <c r="J20" t="s">
        <v>579</v>
      </c>
      <c r="K20" t="s">
        <v>495</v>
      </c>
      <c r="M20">
        <v>78</v>
      </c>
      <c r="N20">
        <v>107.02</v>
      </c>
      <c r="O20" s="20">
        <f t="shared" si="1"/>
        <v>8347.56</v>
      </c>
      <c r="P20" s="134"/>
      <c r="Q20" s="134"/>
      <c r="R20" s="134"/>
      <c r="S20" s="134"/>
      <c r="T20" s="134"/>
    </row>
    <row r="21" spans="1:20" x14ac:dyDescent="0.25">
      <c r="I21" s="145">
        <f t="shared" si="3"/>
        <v>18</v>
      </c>
      <c r="J21" t="s">
        <v>581</v>
      </c>
      <c r="K21" t="s">
        <v>374</v>
      </c>
      <c r="M21">
        <v>50</v>
      </c>
      <c r="N21">
        <v>77.489999999999995</v>
      </c>
      <c r="O21" s="20">
        <f t="shared" si="1"/>
        <v>3874.4999999999995</v>
      </c>
      <c r="P21" s="134"/>
      <c r="Q21" s="134"/>
      <c r="R21" s="134"/>
      <c r="S21" s="134"/>
      <c r="T21" s="134"/>
    </row>
    <row r="22" spans="1:20" x14ac:dyDescent="0.25">
      <c r="I22" s="145">
        <f t="shared" si="3"/>
        <v>19</v>
      </c>
      <c r="J22" t="s">
        <v>583</v>
      </c>
      <c r="K22" t="s">
        <v>377</v>
      </c>
      <c r="M22">
        <v>25</v>
      </c>
      <c r="N22">
        <v>104.07</v>
      </c>
      <c r="O22" s="20">
        <f t="shared" si="1"/>
        <v>2601.75</v>
      </c>
      <c r="P22" s="134"/>
      <c r="Q22" s="134"/>
      <c r="R22" s="134"/>
      <c r="S22" s="134"/>
      <c r="T22" s="134"/>
    </row>
    <row r="23" spans="1:20" x14ac:dyDescent="0.25">
      <c r="I23" s="145">
        <f t="shared" si="3"/>
        <v>20</v>
      </c>
      <c r="J23" t="s">
        <v>585</v>
      </c>
      <c r="K23" t="s">
        <v>383</v>
      </c>
      <c r="M23">
        <v>30</v>
      </c>
      <c r="N23">
        <v>96.13</v>
      </c>
      <c r="O23" s="20">
        <f t="shared" si="1"/>
        <v>2883.8999999999996</v>
      </c>
      <c r="P23" s="134"/>
      <c r="Q23" s="134"/>
      <c r="R23" s="134"/>
      <c r="S23" s="134"/>
      <c r="T23" s="134"/>
    </row>
    <row r="24" spans="1:20" x14ac:dyDescent="0.25">
      <c r="A24" s="134"/>
      <c r="B24" s="134"/>
      <c r="C24" s="134"/>
      <c r="D24" s="134"/>
      <c r="E24" s="134"/>
      <c r="F24" s="134"/>
      <c r="G24" s="176"/>
      <c r="H24" s="134"/>
      <c r="I24" s="145"/>
      <c r="O24" s="20"/>
      <c r="P24" s="134"/>
      <c r="Q24" s="134"/>
      <c r="R24" s="134"/>
      <c r="S24" s="134"/>
      <c r="T24" s="134"/>
    </row>
    <row r="25" spans="1:20" x14ac:dyDescent="0.25">
      <c r="A25" s="132"/>
      <c r="B25" s="134"/>
      <c r="C25" s="134"/>
      <c r="D25" s="134"/>
      <c r="E25" s="134"/>
      <c r="F25" s="134"/>
      <c r="G25" s="176"/>
      <c r="H25" s="134"/>
      <c r="I25" s="145"/>
      <c r="O25" s="20"/>
      <c r="P25" s="134"/>
      <c r="Q25" s="134"/>
      <c r="R25" s="134"/>
      <c r="S25" s="134"/>
      <c r="T25" s="134"/>
    </row>
    <row r="26" spans="1:20" x14ac:dyDescent="0.25">
      <c r="A26" s="132"/>
      <c r="B26" s="134"/>
      <c r="C26" s="134"/>
      <c r="D26" s="134"/>
      <c r="E26" s="134"/>
      <c r="F26" s="134"/>
      <c r="G26" s="176"/>
      <c r="H26" s="134"/>
      <c r="O26" s="20"/>
      <c r="P26" s="134"/>
      <c r="Q26" s="134"/>
      <c r="R26" s="134"/>
      <c r="S26" s="134"/>
      <c r="T26" s="134"/>
    </row>
    <row r="27" spans="1:20" x14ac:dyDescent="0.25">
      <c r="A27" s="163"/>
      <c r="B27" s="163"/>
      <c r="C27" s="163"/>
      <c r="D27" s="163"/>
      <c r="E27" s="163"/>
      <c r="F27" s="96" t="s">
        <v>4</v>
      </c>
      <c r="G27" s="157">
        <f>SUM(G4:G20)</f>
        <v>94663.55</v>
      </c>
      <c r="H27" s="134"/>
      <c r="I27" s="163"/>
      <c r="J27" s="163"/>
      <c r="K27" s="163"/>
      <c r="L27" s="163"/>
      <c r="M27" s="163"/>
      <c r="N27" s="96" t="s">
        <v>4</v>
      </c>
      <c r="O27" s="157">
        <f>SUM(O4:O25)</f>
        <v>193196.47999999995</v>
      </c>
      <c r="P27" s="134"/>
      <c r="Q27" s="134"/>
      <c r="R27" s="134"/>
      <c r="S27" s="134"/>
      <c r="T27" s="134"/>
    </row>
    <row r="28" spans="1:20" x14ac:dyDescent="0.25">
      <c r="A28" s="177"/>
      <c r="B28" s="134"/>
      <c r="C28" s="134"/>
      <c r="D28" s="134"/>
      <c r="E28" s="134"/>
      <c r="F28" s="134"/>
      <c r="G28" s="176"/>
      <c r="H28" s="134"/>
      <c r="I28" s="134"/>
      <c r="J28" s="134"/>
      <c r="K28" s="134"/>
      <c r="L28" s="176"/>
      <c r="M28" s="134"/>
      <c r="N28" s="134"/>
      <c r="O28" s="134"/>
      <c r="P28" s="134"/>
      <c r="Q28" s="134"/>
      <c r="R28" s="134"/>
      <c r="S28" s="134"/>
      <c r="T28" s="134"/>
    </row>
    <row r="29" spans="1:20" x14ac:dyDescent="0.25">
      <c r="A29" s="177"/>
      <c r="B29" s="134"/>
      <c r="C29" s="134"/>
      <c r="D29" s="134"/>
      <c r="E29" s="134"/>
      <c r="F29" s="134"/>
      <c r="G29" s="176"/>
      <c r="H29" s="134"/>
      <c r="I29" s="134"/>
      <c r="J29" s="134"/>
      <c r="K29" s="134"/>
      <c r="L29" s="176"/>
      <c r="M29" s="134"/>
      <c r="N29" s="134"/>
      <c r="O29" s="134"/>
      <c r="P29" s="134"/>
      <c r="Q29" s="134"/>
      <c r="R29" s="134"/>
      <c r="S29" s="134"/>
      <c r="T29" s="134"/>
    </row>
    <row r="30" spans="1:20" x14ac:dyDescent="0.25">
      <c r="B30" s="134"/>
      <c r="C30" s="134"/>
      <c r="D30" s="134"/>
      <c r="E30" s="134"/>
      <c r="F30" s="134"/>
      <c r="G30" s="176"/>
      <c r="H30" s="134"/>
      <c r="I30" s="134"/>
      <c r="J30" s="134"/>
      <c r="K30" s="134"/>
      <c r="L30" s="176"/>
      <c r="M30" s="134"/>
      <c r="N30" s="134"/>
      <c r="O30" s="134"/>
      <c r="P30" s="134"/>
      <c r="Q30" s="134"/>
      <c r="R30" s="134"/>
      <c r="S30" s="134"/>
      <c r="T30" s="134"/>
    </row>
    <row r="31" spans="1:20" x14ac:dyDescent="0.25">
      <c r="A31" s="178" t="s">
        <v>602</v>
      </c>
      <c r="B31" s="48"/>
      <c r="C31" s="48"/>
      <c r="D31" s="48"/>
      <c r="E31" s="48"/>
      <c r="F31" s="48"/>
      <c r="G31" s="162"/>
      <c r="H31" s="48"/>
      <c r="I31" s="48"/>
      <c r="J31" s="48"/>
      <c r="K31" s="48"/>
      <c r="L31" s="162"/>
      <c r="M31" s="48"/>
      <c r="N31" s="48"/>
      <c r="O31" s="134"/>
      <c r="P31" s="134"/>
      <c r="Q31" s="134"/>
      <c r="R31" s="134"/>
      <c r="S31" s="134"/>
      <c r="T31" s="134"/>
    </row>
    <row r="32" spans="1:20" x14ac:dyDescent="0.25">
      <c r="A32" s="170" t="s">
        <v>596</v>
      </c>
      <c r="B32" s="170"/>
      <c r="C32" s="170"/>
      <c r="D32" s="170"/>
      <c r="F32" s="170" t="s">
        <v>597</v>
      </c>
      <c r="G32" s="170"/>
      <c r="H32" s="170"/>
      <c r="I32" s="170"/>
      <c r="K32" s="172" t="s">
        <v>598</v>
      </c>
      <c r="L32" s="172"/>
      <c r="M32" s="172"/>
      <c r="N32" s="172"/>
      <c r="O32" s="134"/>
      <c r="P32" s="134"/>
      <c r="Q32" s="134"/>
      <c r="R32" s="134"/>
      <c r="S32" s="134"/>
      <c r="T32" s="134"/>
    </row>
    <row r="33" spans="1:20" x14ac:dyDescent="0.25">
      <c r="A33" s="168" t="s">
        <v>292</v>
      </c>
      <c r="B33" s="168" t="s">
        <v>1</v>
      </c>
      <c r="C33" s="168" t="s">
        <v>555</v>
      </c>
      <c r="D33" s="171" t="s">
        <v>397</v>
      </c>
      <c r="F33" s="168" t="s">
        <v>292</v>
      </c>
      <c r="G33" s="168" t="s">
        <v>1</v>
      </c>
      <c r="H33" s="168" t="s">
        <v>555</v>
      </c>
      <c r="I33" s="171" t="s">
        <v>397</v>
      </c>
      <c r="K33" s="165" t="s">
        <v>292</v>
      </c>
      <c r="L33" s="165" t="s">
        <v>1</v>
      </c>
      <c r="M33" s="165" t="s">
        <v>555</v>
      </c>
      <c r="N33" s="173" t="s">
        <v>397</v>
      </c>
      <c r="O33" s="134"/>
      <c r="P33" s="134"/>
      <c r="Q33" s="134"/>
      <c r="R33" s="134"/>
      <c r="S33" s="134"/>
      <c r="T33" s="134"/>
    </row>
    <row r="34" spans="1:20" x14ac:dyDescent="0.25">
      <c r="A34" t="s">
        <v>532</v>
      </c>
      <c r="B34" t="s">
        <v>82</v>
      </c>
      <c r="C34" t="s">
        <v>296</v>
      </c>
      <c r="D34">
        <v>3.88</v>
      </c>
      <c r="F34" t="s">
        <v>532</v>
      </c>
      <c r="G34" t="s">
        <v>82</v>
      </c>
      <c r="H34" t="s">
        <v>296</v>
      </c>
      <c r="I34" s="20">
        <v>170</v>
      </c>
      <c r="K34" t="s">
        <v>559</v>
      </c>
      <c r="L34" t="s">
        <v>173</v>
      </c>
      <c r="M34" t="s">
        <v>339</v>
      </c>
      <c r="N34" s="20">
        <v>3634.34</v>
      </c>
      <c r="O34" s="134"/>
      <c r="P34" s="134"/>
      <c r="Q34" s="134"/>
      <c r="R34" s="134"/>
      <c r="S34" s="134"/>
      <c r="T34" s="134"/>
    </row>
    <row r="35" spans="1:20" x14ac:dyDescent="0.25">
      <c r="A35" t="s">
        <v>533</v>
      </c>
      <c r="B35" t="s">
        <v>5</v>
      </c>
      <c r="C35" t="s">
        <v>534</v>
      </c>
      <c r="D35">
        <v>0.87</v>
      </c>
      <c r="F35" t="s">
        <v>533</v>
      </c>
      <c r="G35" t="s">
        <v>5</v>
      </c>
      <c r="H35" t="s">
        <v>534</v>
      </c>
      <c r="I35" s="20">
        <v>216.15</v>
      </c>
      <c r="K35" t="s">
        <v>560</v>
      </c>
      <c r="L35" t="s">
        <v>169</v>
      </c>
      <c r="M35" t="s">
        <v>338</v>
      </c>
      <c r="N35" s="20">
        <v>1040.21</v>
      </c>
      <c r="O35" s="134"/>
      <c r="P35" s="134"/>
      <c r="Q35" s="134"/>
      <c r="R35" s="134"/>
      <c r="S35" s="134"/>
      <c r="T35" s="134"/>
    </row>
    <row r="36" spans="1:20" x14ac:dyDescent="0.25">
      <c r="A36" t="s">
        <v>535</v>
      </c>
      <c r="B36" t="s">
        <v>30</v>
      </c>
      <c r="C36" t="s">
        <v>304</v>
      </c>
      <c r="D36">
        <v>676.2</v>
      </c>
      <c r="F36" t="s">
        <v>535</v>
      </c>
      <c r="G36" t="s">
        <v>30</v>
      </c>
      <c r="H36" t="s">
        <v>304</v>
      </c>
      <c r="I36" s="20">
        <v>306.02999999999997</v>
      </c>
      <c r="K36" t="s">
        <v>561</v>
      </c>
      <c r="L36" t="s">
        <v>183</v>
      </c>
      <c r="M36" t="s">
        <v>340</v>
      </c>
      <c r="N36" s="20">
        <v>169.22</v>
      </c>
      <c r="O36" s="134"/>
      <c r="P36" s="134"/>
      <c r="Q36" s="134"/>
      <c r="R36" s="134"/>
      <c r="S36" s="134"/>
      <c r="T36" s="134"/>
    </row>
    <row r="37" spans="1:20" x14ac:dyDescent="0.25">
      <c r="A37" t="s">
        <v>536</v>
      </c>
      <c r="B37" t="s">
        <v>85</v>
      </c>
      <c r="C37" t="s">
        <v>305</v>
      </c>
      <c r="D37">
        <v>2117.85</v>
      </c>
      <c r="F37" t="s">
        <v>536</v>
      </c>
      <c r="G37" t="s">
        <v>85</v>
      </c>
      <c r="H37" t="s">
        <v>305</v>
      </c>
      <c r="I37" s="20">
        <v>657.68</v>
      </c>
      <c r="K37" t="s">
        <v>562</v>
      </c>
      <c r="L37" t="s">
        <v>180</v>
      </c>
      <c r="M37" t="s">
        <v>341</v>
      </c>
      <c r="N37" s="20">
        <v>259.24</v>
      </c>
      <c r="O37" s="134"/>
      <c r="P37" s="134"/>
      <c r="Q37" s="134"/>
      <c r="R37" s="134"/>
      <c r="S37" s="134"/>
      <c r="T37" s="134"/>
    </row>
    <row r="38" spans="1:20" x14ac:dyDescent="0.25">
      <c r="A38" t="s">
        <v>537</v>
      </c>
      <c r="B38" t="s">
        <v>87</v>
      </c>
      <c r="C38" t="s">
        <v>306</v>
      </c>
      <c r="D38" s="20">
        <v>684.37</v>
      </c>
      <c r="F38" t="s">
        <v>537</v>
      </c>
      <c r="G38" t="s">
        <v>87</v>
      </c>
      <c r="H38" t="s">
        <v>306</v>
      </c>
      <c r="I38" s="20">
        <v>422.72</v>
      </c>
      <c r="K38" t="s">
        <v>563</v>
      </c>
      <c r="L38" t="s">
        <v>181</v>
      </c>
      <c r="M38" t="s">
        <v>342</v>
      </c>
      <c r="N38" s="20">
        <v>692.5</v>
      </c>
      <c r="O38" s="134"/>
      <c r="P38" s="134"/>
      <c r="Q38" s="134"/>
      <c r="R38" s="134"/>
      <c r="S38" s="134"/>
      <c r="T38" s="134"/>
    </row>
    <row r="39" spans="1:20" x14ac:dyDescent="0.25">
      <c r="A39" t="s">
        <v>538</v>
      </c>
      <c r="B39" t="s">
        <v>88</v>
      </c>
      <c r="C39" t="s">
        <v>539</v>
      </c>
      <c r="D39">
        <v>439.2</v>
      </c>
      <c r="F39" t="s">
        <v>538</v>
      </c>
      <c r="G39" t="s">
        <v>88</v>
      </c>
      <c r="H39" t="s">
        <v>539</v>
      </c>
      <c r="I39" s="20">
        <v>199.36</v>
      </c>
      <c r="K39" t="s">
        <v>564</v>
      </c>
      <c r="L39" t="s">
        <v>184</v>
      </c>
      <c r="M39" t="s">
        <v>343</v>
      </c>
      <c r="N39" s="20">
        <v>614.46</v>
      </c>
      <c r="O39" s="134"/>
      <c r="P39" s="134"/>
      <c r="Q39" s="134"/>
      <c r="R39" s="134"/>
      <c r="S39" s="134"/>
      <c r="T39" s="134"/>
    </row>
    <row r="40" spans="1:20" x14ac:dyDescent="0.25">
      <c r="A40" t="s">
        <v>546</v>
      </c>
      <c r="B40" t="s">
        <v>218</v>
      </c>
      <c r="C40" t="s">
        <v>547</v>
      </c>
      <c r="D40">
        <v>268.52999999999997</v>
      </c>
      <c r="F40" t="s">
        <v>541</v>
      </c>
      <c r="G40" t="s">
        <v>171</v>
      </c>
      <c r="H40" t="s">
        <v>542</v>
      </c>
      <c r="I40" s="20">
        <v>744.99</v>
      </c>
      <c r="K40" t="s">
        <v>565</v>
      </c>
      <c r="L40" t="s">
        <v>599</v>
      </c>
      <c r="M40" t="s">
        <v>344</v>
      </c>
      <c r="N40" s="20">
        <v>716.45</v>
      </c>
      <c r="O40" s="134"/>
      <c r="P40" s="134"/>
      <c r="Q40" s="134"/>
      <c r="R40" s="134"/>
      <c r="S40" s="134"/>
      <c r="T40" s="134"/>
    </row>
    <row r="41" spans="1:20" x14ac:dyDescent="0.25">
      <c r="A41" t="s">
        <v>549</v>
      </c>
      <c r="B41" t="s">
        <v>252</v>
      </c>
      <c r="C41" t="s">
        <v>324</v>
      </c>
      <c r="D41">
        <v>222.29</v>
      </c>
      <c r="F41" t="s">
        <v>543</v>
      </c>
      <c r="G41" t="s">
        <v>216</v>
      </c>
      <c r="H41" t="s">
        <v>320</v>
      </c>
      <c r="I41" s="20">
        <v>58.06</v>
      </c>
      <c r="K41" t="s">
        <v>566</v>
      </c>
      <c r="L41" t="s">
        <v>345</v>
      </c>
      <c r="M41" t="s">
        <v>345</v>
      </c>
      <c r="N41" s="20">
        <v>865.09</v>
      </c>
      <c r="O41" s="134"/>
      <c r="P41" s="134"/>
      <c r="Q41" s="134"/>
      <c r="R41" s="134"/>
      <c r="S41" s="134"/>
      <c r="T41" s="134"/>
    </row>
    <row r="42" spans="1:20" x14ac:dyDescent="0.25">
      <c r="A42" t="s">
        <v>604</v>
      </c>
      <c r="B42" t="s">
        <v>311</v>
      </c>
      <c r="C42" t="s">
        <v>311</v>
      </c>
      <c r="D42">
        <v>154.4</v>
      </c>
      <c r="F42" t="s">
        <v>544</v>
      </c>
      <c r="G42" t="s">
        <v>219</v>
      </c>
      <c r="H42" t="s">
        <v>545</v>
      </c>
      <c r="I42" s="20">
        <v>225.6</v>
      </c>
      <c r="K42" t="s">
        <v>567</v>
      </c>
      <c r="L42" t="s">
        <v>220</v>
      </c>
      <c r="M42" t="s">
        <v>346</v>
      </c>
      <c r="N42" s="20">
        <v>256.89</v>
      </c>
      <c r="O42" s="134"/>
      <c r="P42" s="134"/>
      <c r="Q42" s="134"/>
      <c r="R42" s="134"/>
      <c r="S42" s="134"/>
      <c r="T42" s="134"/>
    </row>
    <row r="43" spans="1:20" x14ac:dyDescent="0.25">
      <c r="F43" t="s">
        <v>546</v>
      </c>
      <c r="G43" t="s">
        <v>218</v>
      </c>
      <c r="H43" t="s">
        <v>547</v>
      </c>
      <c r="I43" s="20">
        <v>10.23</v>
      </c>
      <c r="K43" t="s">
        <v>568</v>
      </c>
      <c r="L43" t="s">
        <v>221</v>
      </c>
      <c r="M43" t="s">
        <v>347</v>
      </c>
      <c r="N43" s="20">
        <v>689.98</v>
      </c>
      <c r="O43" s="134"/>
      <c r="P43" s="134"/>
      <c r="Q43" s="134"/>
      <c r="R43" s="134"/>
      <c r="S43" s="134"/>
      <c r="T43" s="134"/>
    </row>
    <row r="44" spans="1:20" x14ac:dyDescent="0.25">
      <c r="A44" s="95"/>
      <c r="B44" s="95"/>
      <c r="C44" s="95" t="s">
        <v>4</v>
      </c>
      <c r="D44" s="157">
        <f>SUM(D34:D42)</f>
        <v>4567.5899999999992</v>
      </c>
      <c r="F44" t="s">
        <v>604</v>
      </c>
      <c r="G44" t="s">
        <v>311</v>
      </c>
      <c r="H44" t="s">
        <v>311</v>
      </c>
      <c r="I44" s="20">
        <v>270.68</v>
      </c>
      <c r="K44" t="s">
        <v>569</v>
      </c>
      <c r="L44" t="s">
        <v>222</v>
      </c>
      <c r="M44" t="s">
        <v>348</v>
      </c>
      <c r="N44" s="20">
        <v>903.1</v>
      </c>
      <c r="O44" s="134"/>
      <c r="P44" s="134"/>
      <c r="Q44" s="134"/>
      <c r="R44" s="134"/>
      <c r="S44" s="134"/>
      <c r="T44" s="134"/>
    </row>
    <row r="45" spans="1:20" x14ac:dyDescent="0.25">
      <c r="G45"/>
      <c r="I45" s="20"/>
      <c r="K45" t="s">
        <v>570</v>
      </c>
      <c r="L45" t="s">
        <v>234</v>
      </c>
      <c r="M45" t="s">
        <v>349</v>
      </c>
      <c r="N45" s="20">
        <v>280.70999999999998</v>
      </c>
      <c r="O45" s="134"/>
      <c r="P45" s="134"/>
      <c r="Q45" s="134"/>
      <c r="R45" s="134"/>
      <c r="S45" s="134"/>
      <c r="T45" s="134"/>
    </row>
    <row r="46" spans="1:20" x14ac:dyDescent="0.25">
      <c r="F46" s="95"/>
      <c r="G46" s="95"/>
      <c r="H46" s="95" t="s">
        <v>4</v>
      </c>
      <c r="I46" s="157">
        <f>SUM(I34:I44)</f>
        <v>3281.5</v>
      </c>
      <c r="K46" t="s">
        <v>571</v>
      </c>
      <c r="L46" t="s">
        <v>267</v>
      </c>
      <c r="M46" t="s">
        <v>572</v>
      </c>
      <c r="N46" s="20">
        <v>217.6</v>
      </c>
      <c r="O46" s="134"/>
      <c r="P46" s="134"/>
      <c r="Q46" s="134"/>
      <c r="R46" s="134"/>
      <c r="S46" s="134"/>
      <c r="T46" s="134"/>
    </row>
    <row r="47" spans="1:20" x14ac:dyDescent="0.25">
      <c r="K47" t="s">
        <v>573</v>
      </c>
      <c r="L47" t="s">
        <v>574</v>
      </c>
      <c r="M47" t="s">
        <v>574</v>
      </c>
      <c r="N47" s="20">
        <v>348.83</v>
      </c>
      <c r="O47" s="134"/>
      <c r="P47" s="134"/>
      <c r="Q47" s="134"/>
      <c r="R47" s="134"/>
      <c r="S47" s="134"/>
      <c r="T47" s="134"/>
    </row>
    <row r="48" spans="1:20" x14ac:dyDescent="0.25">
      <c r="K48" t="s">
        <v>575</v>
      </c>
      <c r="L48" t="s">
        <v>600</v>
      </c>
      <c r="M48" t="s">
        <v>576</v>
      </c>
      <c r="N48" s="20">
        <v>87.85</v>
      </c>
      <c r="O48" s="134"/>
      <c r="P48" s="134"/>
      <c r="Q48" s="134"/>
      <c r="R48" s="134"/>
      <c r="S48" s="134"/>
      <c r="T48" s="134"/>
    </row>
    <row r="49" spans="1:20" x14ac:dyDescent="0.25">
      <c r="K49" t="s">
        <v>577</v>
      </c>
      <c r="L49" t="s">
        <v>355</v>
      </c>
      <c r="M49" t="s">
        <v>578</v>
      </c>
      <c r="N49" s="20">
        <v>276.08</v>
      </c>
      <c r="O49" s="134"/>
      <c r="P49" s="134"/>
      <c r="Q49" s="134"/>
      <c r="R49" s="134"/>
      <c r="S49" s="134"/>
      <c r="T49" s="134"/>
    </row>
    <row r="50" spans="1:20" x14ac:dyDescent="0.25">
      <c r="K50" t="s">
        <v>579</v>
      </c>
      <c r="L50" t="s">
        <v>580</v>
      </c>
      <c r="M50" t="s">
        <v>580</v>
      </c>
      <c r="N50" s="20">
        <v>109.23</v>
      </c>
      <c r="O50" s="134"/>
      <c r="P50" s="134"/>
      <c r="Q50" s="134"/>
      <c r="R50" s="134"/>
      <c r="S50" s="134"/>
      <c r="T50" s="134"/>
    </row>
    <row r="51" spans="1:20" x14ac:dyDescent="0.25">
      <c r="K51" t="s">
        <v>581</v>
      </c>
      <c r="L51" t="s">
        <v>374</v>
      </c>
      <c r="M51" t="s">
        <v>582</v>
      </c>
      <c r="N51" s="20">
        <v>80</v>
      </c>
      <c r="O51" s="134"/>
      <c r="P51" s="134"/>
      <c r="Q51" s="134"/>
      <c r="R51" s="134"/>
      <c r="S51" s="134"/>
      <c r="T51" s="134"/>
    </row>
    <row r="52" spans="1:20" x14ac:dyDescent="0.25">
      <c r="K52" t="s">
        <v>583</v>
      </c>
      <c r="L52" t="s">
        <v>377</v>
      </c>
      <c r="M52" t="s">
        <v>584</v>
      </c>
      <c r="N52" s="20">
        <v>11.1</v>
      </c>
      <c r="O52" s="134"/>
      <c r="P52" s="134"/>
      <c r="Q52" s="134"/>
      <c r="R52" s="134"/>
      <c r="S52" s="134"/>
      <c r="T52" s="134"/>
    </row>
    <row r="53" spans="1:20" x14ac:dyDescent="0.25">
      <c r="K53" t="s">
        <v>585</v>
      </c>
      <c r="L53" t="s">
        <v>383</v>
      </c>
      <c r="M53" t="s">
        <v>586</v>
      </c>
      <c r="N53" s="20">
        <v>11</v>
      </c>
      <c r="O53" s="134"/>
      <c r="P53" s="134"/>
      <c r="Q53" s="134"/>
      <c r="R53" s="134"/>
      <c r="S53" s="134"/>
      <c r="T53" s="134"/>
    </row>
    <row r="54" spans="1:20" x14ac:dyDescent="0.25">
      <c r="N54" s="20"/>
      <c r="O54" s="134"/>
      <c r="P54" s="134"/>
      <c r="Q54" s="134"/>
      <c r="R54" s="134"/>
      <c r="S54" s="134"/>
      <c r="T54" s="134"/>
    </row>
    <row r="55" spans="1:20" x14ac:dyDescent="0.25">
      <c r="N55" s="20"/>
      <c r="O55" s="134"/>
      <c r="P55" s="134"/>
      <c r="Q55" s="134"/>
      <c r="R55" s="134"/>
      <c r="S55" s="134"/>
      <c r="T55" s="134"/>
    </row>
    <row r="56" spans="1:20" x14ac:dyDescent="0.25">
      <c r="N56" s="20"/>
      <c r="O56" s="134"/>
      <c r="P56" s="134"/>
      <c r="Q56" s="134"/>
      <c r="R56" s="134"/>
      <c r="S56" s="134"/>
      <c r="T56" s="134"/>
    </row>
    <row r="57" spans="1:20" x14ac:dyDescent="0.25">
      <c r="K57" s="95"/>
      <c r="L57" s="95"/>
      <c r="M57" s="95" t="s">
        <v>4</v>
      </c>
      <c r="N57" s="157">
        <f>SUM(N34:N55)</f>
        <v>11263.88</v>
      </c>
      <c r="O57" s="134"/>
      <c r="P57" s="134"/>
      <c r="Q57" s="134"/>
      <c r="R57" s="134"/>
      <c r="S57" s="134"/>
      <c r="T57" s="134"/>
    </row>
    <row r="58" spans="1:20" x14ac:dyDescent="0.25">
      <c r="A58" s="177"/>
      <c r="B58" s="134"/>
      <c r="C58" s="134"/>
      <c r="D58" s="134"/>
      <c r="E58" s="134"/>
      <c r="F58" s="134"/>
      <c r="G58" s="176"/>
      <c r="H58" s="134"/>
      <c r="I58" s="134"/>
      <c r="J58" s="134"/>
      <c r="K58" s="134"/>
      <c r="L58" s="176"/>
      <c r="M58" s="134"/>
      <c r="N58" s="134"/>
      <c r="O58" s="134"/>
      <c r="P58" s="134"/>
      <c r="Q58" s="134"/>
      <c r="R58" s="134"/>
      <c r="S58" s="134"/>
      <c r="T58" s="134"/>
    </row>
    <row r="59" spans="1:20" x14ac:dyDescent="0.25">
      <c r="A59" s="177"/>
      <c r="B59" s="134"/>
      <c r="C59" s="134"/>
      <c r="D59" s="134"/>
      <c r="E59" s="134"/>
      <c r="F59" s="134"/>
      <c r="G59" s="176"/>
      <c r="H59" s="134"/>
      <c r="I59" s="134"/>
      <c r="J59" s="134"/>
      <c r="K59" s="134"/>
      <c r="L59" s="176"/>
      <c r="M59" s="134"/>
      <c r="N59" s="134"/>
      <c r="O59" s="134"/>
      <c r="P59" s="134"/>
      <c r="Q59" s="134"/>
      <c r="R59" s="134"/>
      <c r="S59" s="134"/>
      <c r="T59" s="134"/>
    </row>
    <row r="60" spans="1:20" x14ac:dyDescent="0.25">
      <c r="A60" s="177"/>
      <c r="B60" s="134"/>
      <c r="C60" s="134"/>
      <c r="D60" s="134"/>
      <c r="E60" s="134"/>
      <c r="F60" s="134"/>
      <c r="G60" s="176"/>
      <c r="H60" s="134"/>
      <c r="I60" s="134"/>
      <c r="J60" s="134"/>
      <c r="K60" s="134"/>
      <c r="L60" s="176"/>
      <c r="M60" s="134"/>
      <c r="N60" s="134"/>
      <c r="O60" s="134"/>
      <c r="P60" s="134"/>
      <c r="Q60" s="134"/>
      <c r="R60" s="134"/>
      <c r="S60" s="134"/>
      <c r="T60" s="134"/>
    </row>
    <row r="61" spans="1:20" x14ac:dyDescent="0.25">
      <c r="A61" s="177"/>
      <c r="B61" s="134"/>
      <c r="C61" s="134"/>
      <c r="D61" s="134"/>
      <c r="E61" s="134"/>
      <c r="F61" s="134"/>
      <c r="G61" s="176"/>
      <c r="H61" s="134"/>
      <c r="I61" s="134"/>
      <c r="J61" s="134"/>
      <c r="K61" s="134"/>
      <c r="L61" s="176"/>
      <c r="M61" s="134"/>
      <c r="N61" s="134"/>
      <c r="O61" s="134"/>
      <c r="P61" s="134"/>
      <c r="Q61" s="134"/>
      <c r="R61" s="134"/>
      <c r="S61" s="134"/>
      <c r="T61" s="134"/>
    </row>
    <row r="62" spans="1:20" x14ac:dyDescent="0.25">
      <c r="A62" s="177"/>
      <c r="B62" s="134"/>
      <c r="C62" s="134"/>
      <c r="D62" s="134"/>
      <c r="E62" s="134"/>
      <c r="F62" s="134"/>
      <c r="G62" s="176"/>
      <c r="H62" s="134"/>
      <c r="I62" s="134"/>
      <c r="J62" s="134"/>
      <c r="K62" s="134"/>
      <c r="L62" s="176"/>
      <c r="M62" s="134"/>
      <c r="N62" s="134"/>
      <c r="O62" s="134"/>
      <c r="P62" s="134"/>
      <c r="Q62" s="134"/>
      <c r="R62" s="134"/>
      <c r="S62" s="134"/>
      <c r="T62" s="134"/>
    </row>
    <row r="63" spans="1:20" x14ac:dyDescent="0.25">
      <c r="A63" s="177"/>
      <c r="B63" s="134"/>
      <c r="C63" s="134"/>
      <c r="D63" s="134"/>
      <c r="E63" s="134"/>
      <c r="F63" s="134"/>
      <c r="G63" s="176"/>
      <c r="H63" s="134"/>
      <c r="I63" s="134"/>
      <c r="J63" s="134"/>
      <c r="K63" s="134"/>
      <c r="L63" s="176"/>
      <c r="M63" s="134"/>
      <c r="N63" s="134"/>
      <c r="O63" s="134"/>
      <c r="P63" s="134"/>
      <c r="Q63" s="134"/>
      <c r="R63" s="134"/>
      <c r="S63" s="134"/>
      <c r="T63" s="134"/>
    </row>
    <row r="64" spans="1:20" x14ac:dyDescent="0.25">
      <c r="A64" s="177"/>
      <c r="B64" s="134"/>
      <c r="C64" s="134"/>
      <c r="D64" s="134"/>
      <c r="E64" s="134"/>
      <c r="F64" s="134"/>
      <c r="G64" s="176"/>
      <c r="H64" s="134"/>
      <c r="I64" s="134"/>
      <c r="J64" s="134"/>
      <c r="K64" s="134"/>
      <c r="L64" s="176"/>
      <c r="M64" s="134"/>
      <c r="N64" s="134"/>
      <c r="O64" s="134"/>
      <c r="P64" s="134"/>
      <c r="Q64" s="134"/>
      <c r="R64" s="134"/>
      <c r="S64" s="134"/>
      <c r="T64" s="134"/>
    </row>
    <row r="65" spans="1:20" x14ac:dyDescent="0.25">
      <c r="A65" s="177"/>
      <c r="B65" s="134"/>
      <c r="C65" s="134"/>
      <c r="D65" s="134"/>
      <c r="E65" s="134"/>
      <c r="F65" s="134"/>
      <c r="G65" s="176"/>
      <c r="H65" s="134"/>
      <c r="I65" s="134"/>
      <c r="J65" s="134"/>
      <c r="K65" s="134"/>
      <c r="L65" s="176"/>
      <c r="M65" s="134"/>
      <c r="N65" s="134"/>
      <c r="O65" s="134"/>
      <c r="P65" s="134"/>
      <c r="Q65" s="134"/>
      <c r="R65" s="134"/>
      <c r="S65" s="134"/>
      <c r="T65" s="134"/>
    </row>
    <row r="66" spans="1:20" x14ac:dyDescent="0.25">
      <c r="A66" s="177"/>
      <c r="B66" s="134"/>
      <c r="C66" s="134"/>
      <c r="D66" s="134"/>
      <c r="E66" s="134"/>
      <c r="F66" s="134"/>
      <c r="G66" s="176"/>
      <c r="H66" s="134"/>
      <c r="I66" s="134"/>
      <c r="J66" s="134"/>
      <c r="K66" s="134"/>
      <c r="L66" s="176"/>
      <c r="M66" s="134"/>
      <c r="N66" s="134"/>
      <c r="O66" s="134"/>
      <c r="P66" s="134"/>
      <c r="Q66" s="134"/>
      <c r="R66" s="134"/>
      <c r="S66" s="134"/>
      <c r="T66" s="134"/>
    </row>
    <row r="67" spans="1:20" x14ac:dyDescent="0.25">
      <c r="A67" s="177"/>
      <c r="B67" s="134"/>
      <c r="C67" s="134"/>
      <c r="D67" s="134"/>
      <c r="E67" s="134"/>
      <c r="F67" s="134"/>
      <c r="G67" s="176"/>
      <c r="H67" s="134"/>
      <c r="I67" s="134"/>
      <c r="J67" s="134"/>
      <c r="K67" s="134"/>
      <c r="L67" s="176"/>
      <c r="M67" s="134"/>
      <c r="N67" s="134"/>
      <c r="O67" s="134"/>
      <c r="P67" s="134"/>
      <c r="Q67" s="134"/>
      <c r="R67" s="134"/>
      <c r="S67" s="134"/>
      <c r="T67" s="134"/>
    </row>
    <row r="68" spans="1:20" x14ac:dyDescent="0.25">
      <c r="A68" s="177"/>
      <c r="B68" s="134"/>
      <c r="C68" s="134"/>
      <c r="D68" s="134"/>
      <c r="E68" s="134"/>
      <c r="F68" s="134"/>
      <c r="G68" s="176"/>
      <c r="H68" s="134"/>
      <c r="I68" s="134"/>
      <c r="J68" s="134"/>
      <c r="K68" s="134"/>
      <c r="L68" s="176"/>
      <c r="M68" s="134"/>
      <c r="N68" s="134"/>
      <c r="O68" s="134"/>
      <c r="P68" s="134"/>
      <c r="Q68" s="134"/>
      <c r="R68" s="134"/>
      <c r="S68" s="134"/>
      <c r="T68" s="134"/>
    </row>
    <row r="69" spans="1:20" x14ac:dyDescent="0.25">
      <c r="A69" s="177"/>
      <c r="B69" s="134"/>
      <c r="C69" s="134"/>
      <c r="D69" s="134"/>
      <c r="E69" s="134"/>
      <c r="F69" s="134"/>
      <c r="G69" s="176"/>
      <c r="H69" s="134"/>
      <c r="I69" s="134"/>
      <c r="J69" s="134"/>
      <c r="K69" s="134"/>
      <c r="L69" s="176"/>
      <c r="M69" s="134"/>
      <c r="N69" s="134"/>
      <c r="O69" s="134"/>
      <c r="P69" s="134"/>
      <c r="Q69" s="134"/>
      <c r="R69" s="134"/>
      <c r="S69" s="134"/>
      <c r="T69" s="134"/>
    </row>
    <row r="70" spans="1:20" x14ac:dyDescent="0.25">
      <c r="A70" s="177"/>
      <c r="B70" s="134"/>
      <c r="C70" s="134"/>
      <c r="D70" s="134"/>
      <c r="E70" s="134"/>
      <c r="F70" s="134"/>
      <c r="G70" s="176"/>
      <c r="H70" s="134"/>
      <c r="I70" s="134"/>
      <c r="J70" s="134"/>
      <c r="K70" s="134"/>
      <c r="L70" s="176"/>
      <c r="M70" s="134"/>
      <c r="N70" s="134"/>
      <c r="O70" s="134"/>
      <c r="P70" s="134"/>
      <c r="Q70" s="134"/>
      <c r="R70" s="134"/>
      <c r="S70" s="134"/>
      <c r="T70" s="134"/>
    </row>
    <row r="71" spans="1:20" x14ac:dyDescent="0.25">
      <c r="A71" s="177"/>
      <c r="B71" s="134"/>
      <c r="C71" s="134"/>
      <c r="D71" s="134"/>
      <c r="E71" s="134"/>
      <c r="F71" s="134"/>
      <c r="G71" s="176"/>
      <c r="H71" s="134"/>
      <c r="I71" s="134"/>
      <c r="J71" s="134"/>
      <c r="K71" s="134"/>
      <c r="L71" s="176"/>
      <c r="M71" s="134"/>
      <c r="N71" s="134"/>
      <c r="O71" s="134"/>
      <c r="P71" s="134"/>
      <c r="Q71" s="134"/>
      <c r="R71" s="134"/>
      <c r="S71" s="134"/>
      <c r="T71" s="134"/>
    </row>
    <row r="72" spans="1:20" x14ac:dyDescent="0.25">
      <c r="A72" s="177"/>
      <c r="B72" s="134"/>
      <c r="C72" s="134"/>
      <c r="D72" s="134"/>
      <c r="E72" s="134"/>
      <c r="F72" s="134"/>
      <c r="G72" s="176"/>
      <c r="H72" s="134"/>
      <c r="I72" s="134"/>
      <c r="J72" s="134"/>
      <c r="K72" s="134"/>
      <c r="L72" s="176"/>
      <c r="M72" s="134"/>
      <c r="N72" s="134"/>
      <c r="O72" s="134"/>
      <c r="P72" s="134"/>
      <c r="Q72" s="134"/>
      <c r="R72" s="134"/>
      <c r="S72" s="134"/>
      <c r="T72" s="134"/>
    </row>
    <row r="73" spans="1:20" x14ac:dyDescent="0.25">
      <c r="A73" s="134"/>
      <c r="B73" s="134"/>
      <c r="C73" s="134"/>
      <c r="D73" s="134"/>
      <c r="E73" s="134"/>
      <c r="F73" s="134"/>
      <c r="G73" s="176"/>
      <c r="H73" s="134"/>
      <c r="I73" s="134"/>
      <c r="J73" s="134"/>
      <c r="K73" s="134"/>
      <c r="L73" s="176"/>
      <c r="M73" s="134"/>
      <c r="N73" s="134"/>
      <c r="O73" s="134"/>
      <c r="P73" s="134"/>
      <c r="Q73" s="134"/>
      <c r="R73" s="134"/>
      <c r="S73" s="134"/>
      <c r="T73" s="134"/>
    </row>
    <row r="74" spans="1:20" x14ac:dyDescent="0.25">
      <c r="A74" s="134"/>
      <c r="B74" s="134"/>
      <c r="C74" s="134"/>
      <c r="D74" s="134"/>
      <c r="E74" s="134"/>
      <c r="F74" s="132"/>
      <c r="G74" s="133"/>
      <c r="H74" s="134"/>
      <c r="I74" s="132"/>
      <c r="J74" s="132"/>
      <c r="K74" s="132"/>
      <c r="L74" s="133"/>
      <c r="M74" s="134"/>
      <c r="N74" s="134"/>
      <c r="O74" s="134"/>
      <c r="P74" s="134"/>
      <c r="Q74" s="134"/>
      <c r="R74" s="134"/>
      <c r="S74" s="134"/>
      <c r="T74" s="134"/>
    </row>
    <row r="75" spans="1:20" x14ac:dyDescent="0.25">
      <c r="A75" s="134"/>
      <c r="B75" s="134"/>
      <c r="C75" s="134"/>
      <c r="D75" s="134"/>
      <c r="E75" s="134"/>
      <c r="F75" s="134"/>
      <c r="G75" s="176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</row>
    <row r="76" spans="1:20" x14ac:dyDescent="0.25">
      <c r="D76" s="20"/>
    </row>
    <row r="77" spans="1:20" x14ac:dyDescent="0.25">
      <c r="L77" s="2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5EF7-DAFA-4E63-B93C-0787219F8150}">
  <dimension ref="A1:T77"/>
  <sheetViews>
    <sheetView topLeftCell="E5" zoomScale="90" zoomScaleNormal="90" workbookViewId="0">
      <selection activeCell="J25" sqref="J25"/>
    </sheetView>
  </sheetViews>
  <sheetFormatPr defaultRowHeight="15" x14ac:dyDescent="0.25"/>
  <cols>
    <col min="1" max="1" width="19.28515625" customWidth="1"/>
    <col min="2" max="2" width="20.42578125" bestFit="1" customWidth="1"/>
    <col min="3" max="3" width="11.7109375" customWidth="1"/>
    <col min="4" max="4" width="18.28515625" bestFit="1" customWidth="1"/>
    <col min="5" max="5" width="13.140625" bestFit="1" customWidth="1"/>
    <col min="6" max="6" width="19.5703125" customWidth="1"/>
    <col min="7" max="7" width="12.42578125" style="20" customWidth="1"/>
    <col min="8" max="8" width="12.42578125" customWidth="1"/>
    <col min="9" max="9" width="18" bestFit="1" customWidth="1"/>
    <col min="10" max="10" width="19.28515625" bestFit="1" customWidth="1"/>
    <col min="11" max="11" width="19.85546875" customWidth="1"/>
    <col min="12" max="12" width="12.85546875" customWidth="1"/>
    <col min="13" max="13" width="31.5703125" bestFit="1" customWidth="1"/>
    <col min="14" max="14" width="13.5703125" bestFit="1" customWidth="1"/>
    <col min="15" max="16" width="12.42578125" bestFit="1" customWidth="1"/>
  </cols>
  <sheetData>
    <row r="1" spans="1:20" x14ac:dyDescent="0.25">
      <c r="A1" s="46" t="s">
        <v>601</v>
      </c>
      <c r="B1" s="48"/>
      <c r="C1" s="48"/>
      <c r="D1" s="48"/>
      <c r="E1" s="48"/>
      <c r="F1" s="48"/>
      <c r="G1" s="162"/>
      <c r="I1" s="46" t="s">
        <v>601</v>
      </c>
      <c r="J1" s="48"/>
      <c r="K1" s="48"/>
      <c r="L1" s="48"/>
      <c r="M1" s="48"/>
      <c r="N1" s="48"/>
      <c r="O1" s="162"/>
      <c r="P1" s="134"/>
      <c r="Q1" s="134"/>
      <c r="R1" s="134"/>
      <c r="S1" s="134"/>
      <c r="T1" s="134"/>
    </row>
    <row r="2" spans="1:20" x14ac:dyDescent="0.25">
      <c r="A2" s="46" t="s">
        <v>592</v>
      </c>
      <c r="B2" s="48"/>
      <c r="C2" s="48"/>
      <c r="D2" s="48"/>
      <c r="E2" s="48"/>
      <c r="F2" s="48"/>
      <c r="G2" s="162"/>
      <c r="I2" s="46" t="s">
        <v>593</v>
      </c>
      <c r="J2" s="48"/>
      <c r="K2" s="48"/>
      <c r="L2" s="48"/>
      <c r="M2" s="48"/>
      <c r="N2" s="48"/>
      <c r="O2" s="162"/>
      <c r="P2" s="132"/>
      <c r="Q2" s="132"/>
      <c r="R2" s="134"/>
      <c r="S2" s="134"/>
      <c r="T2" s="134"/>
    </row>
    <row r="3" spans="1:20" x14ac:dyDescent="0.25">
      <c r="A3" s="167" t="s">
        <v>591</v>
      </c>
      <c r="B3" s="168" t="s">
        <v>292</v>
      </c>
      <c r="C3" s="168" t="s">
        <v>1</v>
      </c>
      <c r="D3" s="168" t="s">
        <v>555</v>
      </c>
      <c r="E3" s="168" t="s">
        <v>594</v>
      </c>
      <c r="F3" s="168" t="s">
        <v>18</v>
      </c>
      <c r="G3" s="169" t="s">
        <v>397</v>
      </c>
      <c r="I3" s="164" t="s">
        <v>591</v>
      </c>
      <c r="J3" s="165" t="s">
        <v>292</v>
      </c>
      <c r="K3" s="165" t="s">
        <v>1</v>
      </c>
      <c r="L3" s="165" t="s">
        <v>555</v>
      </c>
      <c r="M3" s="165" t="s">
        <v>594</v>
      </c>
      <c r="N3" s="165" t="s">
        <v>18</v>
      </c>
      <c r="O3" s="166" t="s">
        <v>397</v>
      </c>
      <c r="P3" s="132"/>
      <c r="Q3" s="174"/>
      <c r="R3" s="175"/>
      <c r="S3" s="134"/>
      <c r="T3" s="134"/>
    </row>
    <row r="4" spans="1:20" x14ac:dyDescent="0.25">
      <c r="A4" s="145">
        <v>1</v>
      </c>
      <c r="B4" t="s">
        <v>532</v>
      </c>
      <c r="C4" t="s">
        <v>82</v>
      </c>
      <c r="D4" t="s">
        <v>296</v>
      </c>
      <c r="E4">
        <v>200</v>
      </c>
      <c r="F4">
        <v>12.78</v>
      </c>
      <c r="G4" s="20">
        <v>2555</v>
      </c>
      <c r="I4" s="145">
        <v>1</v>
      </c>
      <c r="J4" t="s">
        <v>559</v>
      </c>
      <c r="K4" t="s">
        <v>173</v>
      </c>
      <c r="M4">
        <v>615</v>
      </c>
      <c r="N4">
        <v>77.56</v>
      </c>
      <c r="O4" s="20">
        <v>47698</v>
      </c>
      <c r="P4" s="134"/>
      <c r="Q4" s="176"/>
      <c r="R4" s="134"/>
      <c r="S4" s="134"/>
      <c r="T4" s="134"/>
    </row>
    <row r="5" spans="1:20" x14ac:dyDescent="0.25">
      <c r="A5" s="145">
        <f>A4+1</f>
        <v>2</v>
      </c>
      <c r="B5" t="s">
        <v>533</v>
      </c>
      <c r="C5" t="s">
        <v>5</v>
      </c>
      <c r="D5" t="s">
        <v>297</v>
      </c>
      <c r="E5">
        <v>134</v>
      </c>
      <c r="F5">
        <v>21.76</v>
      </c>
      <c r="G5" s="20">
        <v>2915.93</v>
      </c>
      <c r="I5" s="145">
        <f>I4+1</f>
        <v>2</v>
      </c>
      <c r="J5" t="s">
        <v>560</v>
      </c>
      <c r="K5" t="s">
        <v>169</v>
      </c>
      <c r="M5">
        <v>153</v>
      </c>
      <c r="N5">
        <v>103.06</v>
      </c>
      <c r="O5" s="20">
        <v>15767.78</v>
      </c>
      <c r="P5" s="134"/>
      <c r="Q5" s="176"/>
      <c r="R5" s="134"/>
      <c r="S5" s="134"/>
      <c r="T5" s="134"/>
    </row>
    <row r="6" spans="1:20" x14ac:dyDescent="0.25">
      <c r="A6" s="145">
        <f t="shared" ref="A6:A20" si="0">A5+1</f>
        <v>3</v>
      </c>
      <c r="B6" t="s">
        <v>535</v>
      </c>
      <c r="C6" t="s">
        <v>17</v>
      </c>
      <c r="D6" t="s">
        <v>304</v>
      </c>
      <c r="E6">
        <v>1561</v>
      </c>
      <c r="F6">
        <v>7.87</v>
      </c>
      <c r="G6" s="20">
        <v>12288.6</v>
      </c>
      <c r="I6" s="145">
        <f t="shared" ref="I6:I25" si="1">I5+1</f>
        <v>3</v>
      </c>
      <c r="J6" t="s">
        <v>561</v>
      </c>
      <c r="K6" t="s">
        <v>183</v>
      </c>
      <c r="M6">
        <v>75</v>
      </c>
      <c r="N6">
        <v>47.77</v>
      </c>
      <c r="O6" s="20">
        <v>3582.9</v>
      </c>
      <c r="P6" s="134"/>
      <c r="Q6" s="176"/>
      <c r="R6" s="134"/>
      <c r="S6" s="134"/>
      <c r="T6" s="134"/>
    </row>
    <row r="7" spans="1:20" x14ac:dyDescent="0.25">
      <c r="A7" s="145">
        <f t="shared" si="0"/>
        <v>4</v>
      </c>
      <c r="B7" t="s">
        <v>536</v>
      </c>
      <c r="C7" t="s">
        <v>85</v>
      </c>
      <c r="D7" t="s">
        <v>305</v>
      </c>
      <c r="E7">
        <v>3290</v>
      </c>
      <c r="F7">
        <v>8.56</v>
      </c>
      <c r="G7" s="20">
        <v>28166.02</v>
      </c>
      <c r="I7" s="145">
        <f t="shared" si="1"/>
        <v>4</v>
      </c>
      <c r="J7" t="s">
        <v>562</v>
      </c>
      <c r="K7" t="s">
        <v>180</v>
      </c>
      <c r="M7">
        <v>116</v>
      </c>
      <c r="N7">
        <v>40.67</v>
      </c>
      <c r="O7" s="20">
        <v>4717.83</v>
      </c>
      <c r="P7" s="134"/>
      <c r="Q7" s="176"/>
      <c r="R7" s="134"/>
      <c r="S7" s="134"/>
      <c r="T7" s="134"/>
    </row>
    <row r="8" spans="1:20" x14ac:dyDescent="0.25">
      <c r="A8" s="145">
        <f t="shared" si="0"/>
        <v>5</v>
      </c>
      <c r="B8" t="s">
        <v>537</v>
      </c>
      <c r="C8" t="s">
        <v>170</v>
      </c>
      <c r="D8" t="s">
        <v>306</v>
      </c>
      <c r="E8">
        <v>625</v>
      </c>
      <c r="F8">
        <v>20.6</v>
      </c>
      <c r="G8" s="20">
        <v>12873.23</v>
      </c>
      <c r="I8" s="145">
        <f t="shared" si="1"/>
        <v>5</v>
      </c>
      <c r="J8" t="s">
        <v>563</v>
      </c>
      <c r="K8" t="s">
        <v>181</v>
      </c>
      <c r="M8">
        <v>105</v>
      </c>
      <c r="N8">
        <v>94.06</v>
      </c>
      <c r="O8" s="20">
        <v>9875.92</v>
      </c>
      <c r="P8" s="134"/>
      <c r="Q8" s="176"/>
      <c r="R8" s="134"/>
      <c r="S8" s="134"/>
      <c r="T8" s="134"/>
    </row>
    <row r="9" spans="1:20" x14ac:dyDescent="0.25">
      <c r="A9" s="145">
        <f t="shared" si="0"/>
        <v>6</v>
      </c>
      <c r="B9" t="s">
        <v>538</v>
      </c>
      <c r="C9" t="s">
        <v>88</v>
      </c>
      <c r="D9" t="s">
        <v>307</v>
      </c>
      <c r="E9">
        <v>4100</v>
      </c>
      <c r="F9">
        <v>2.88</v>
      </c>
      <c r="G9" s="20">
        <v>11789.08</v>
      </c>
      <c r="I9" s="145">
        <f t="shared" si="1"/>
        <v>6</v>
      </c>
      <c r="J9" t="s">
        <v>564</v>
      </c>
      <c r="K9" t="s">
        <v>184</v>
      </c>
      <c r="M9">
        <v>210</v>
      </c>
      <c r="N9">
        <v>68.87</v>
      </c>
      <c r="O9" s="20">
        <v>14462.17</v>
      </c>
      <c r="P9" s="134"/>
      <c r="Q9" s="176"/>
      <c r="R9" s="134"/>
      <c r="S9" s="134"/>
      <c r="T9" s="134"/>
    </row>
    <row r="10" spans="1:20" x14ac:dyDescent="0.25">
      <c r="A10" s="145">
        <f t="shared" si="0"/>
        <v>7</v>
      </c>
      <c r="B10" t="s">
        <v>540</v>
      </c>
      <c r="C10" t="s">
        <v>35</v>
      </c>
      <c r="D10" t="s">
        <v>308</v>
      </c>
      <c r="E10">
        <v>550</v>
      </c>
      <c r="F10">
        <v>9.26</v>
      </c>
      <c r="G10" s="20">
        <v>5094</v>
      </c>
      <c r="I10" s="145">
        <f t="shared" si="1"/>
        <v>7</v>
      </c>
      <c r="J10" t="s">
        <v>565</v>
      </c>
      <c r="K10" t="s">
        <v>186</v>
      </c>
      <c r="M10">
        <v>100</v>
      </c>
      <c r="N10">
        <v>75.64</v>
      </c>
      <c r="O10" s="20">
        <v>7564.1</v>
      </c>
      <c r="P10" s="134"/>
      <c r="Q10" s="176"/>
      <c r="R10" s="134"/>
      <c r="S10" s="134"/>
      <c r="T10" s="134"/>
    </row>
    <row r="11" spans="1:20" x14ac:dyDescent="0.25">
      <c r="A11" s="145">
        <f t="shared" si="0"/>
        <v>8</v>
      </c>
      <c r="B11" t="s">
        <v>541</v>
      </c>
      <c r="C11" t="s">
        <v>171</v>
      </c>
      <c r="D11" t="s">
        <v>312</v>
      </c>
      <c r="E11">
        <v>861</v>
      </c>
      <c r="F11">
        <v>15.87</v>
      </c>
      <c r="G11" s="20">
        <v>13662.35</v>
      </c>
      <c r="I11" s="145">
        <f t="shared" si="1"/>
        <v>8</v>
      </c>
      <c r="J11" t="s">
        <v>566</v>
      </c>
      <c r="K11" t="s">
        <v>217</v>
      </c>
      <c r="M11">
        <v>153</v>
      </c>
      <c r="N11">
        <v>98.86</v>
      </c>
      <c r="O11" s="20">
        <v>15125.58</v>
      </c>
      <c r="P11" s="134"/>
      <c r="Q11" s="176"/>
      <c r="R11" s="134"/>
      <c r="S11" s="134"/>
      <c r="T11" s="134"/>
    </row>
    <row r="12" spans="1:20" x14ac:dyDescent="0.25">
      <c r="A12" s="145">
        <f t="shared" si="0"/>
        <v>9</v>
      </c>
      <c r="B12" t="s">
        <v>543</v>
      </c>
      <c r="C12" t="s">
        <v>216</v>
      </c>
      <c r="D12" t="s">
        <v>320</v>
      </c>
      <c r="E12">
        <v>600</v>
      </c>
      <c r="F12">
        <v>3.22</v>
      </c>
      <c r="G12" s="20">
        <v>1934</v>
      </c>
      <c r="I12" s="145">
        <f t="shared" si="1"/>
        <v>9</v>
      </c>
      <c r="J12" t="s">
        <v>567</v>
      </c>
      <c r="K12" t="s">
        <v>220</v>
      </c>
      <c r="M12">
        <v>60</v>
      </c>
      <c r="N12">
        <v>99.04</v>
      </c>
      <c r="O12" s="20">
        <v>5942.1</v>
      </c>
      <c r="P12" s="134"/>
      <c r="Q12" s="176"/>
      <c r="R12" s="134"/>
      <c r="S12" s="134"/>
      <c r="T12" s="134"/>
    </row>
    <row r="13" spans="1:20" x14ac:dyDescent="0.25">
      <c r="A13" s="145">
        <f t="shared" si="0"/>
        <v>10</v>
      </c>
      <c r="B13" t="s">
        <v>544</v>
      </c>
      <c r="C13" t="s">
        <v>219</v>
      </c>
      <c r="D13" t="s">
        <v>321</v>
      </c>
      <c r="E13">
        <v>400</v>
      </c>
      <c r="F13">
        <v>6.56</v>
      </c>
      <c r="G13" s="20">
        <v>2625.85</v>
      </c>
      <c r="I13" s="145">
        <f t="shared" si="1"/>
        <v>10</v>
      </c>
      <c r="J13" t="s">
        <v>568</v>
      </c>
      <c r="K13" t="s">
        <v>221</v>
      </c>
      <c r="M13">
        <v>2392</v>
      </c>
      <c r="N13">
        <v>10.59</v>
      </c>
      <c r="O13" s="20">
        <v>25337.14</v>
      </c>
      <c r="P13" s="134"/>
      <c r="Q13" s="176"/>
      <c r="R13" s="134"/>
      <c r="S13" s="134"/>
      <c r="T13" s="134"/>
    </row>
    <row r="14" spans="1:20" x14ac:dyDescent="0.25">
      <c r="A14" s="145">
        <f t="shared" si="0"/>
        <v>11</v>
      </c>
      <c r="B14" t="s">
        <v>546</v>
      </c>
      <c r="C14" t="s">
        <v>218</v>
      </c>
      <c r="D14" t="s">
        <v>556</v>
      </c>
      <c r="E14">
        <v>500</v>
      </c>
      <c r="F14">
        <v>11.33</v>
      </c>
      <c r="G14" s="20">
        <v>5662.93</v>
      </c>
      <c r="I14" s="145">
        <f t="shared" si="1"/>
        <v>11</v>
      </c>
      <c r="J14" t="s">
        <v>569</v>
      </c>
      <c r="K14" t="s">
        <v>222</v>
      </c>
      <c r="M14">
        <v>205</v>
      </c>
      <c r="N14">
        <v>90.61</v>
      </c>
      <c r="O14" s="20">
        <v>18575.61</v>
      </c>
      <c r="P14" s="134"/>
      <c r="Q14" s="176"/>
      <c r="R14" s="134"/>
      <c r="S14" s="134"/>
      <c r="T14" s="134"/>
    </row>
    <row r="15" spans="1:20" x14ac:dyDescent="0.25">
      <c r="A15" s="145">
        <f t="shared" si="0"/>
        <v>12</v>
      </c>
      <c r="B15" t="s">
        <v>548</v>
      </c>
      <c r="C15" t="s">
        <v>249</v>
      </c>
      <c r="D15" t="s">
        <v>323</v>
      </c>
      <c r="E15">
        <v>100</v>
      </c>
      <c r="F15">
        <v>24.5</v>
      </c>
      <c r="G15" s="20">
        <v>2450</v>
      </c>
      <c r="I15" s="145">
        <f t="shared" si="1"/>
        <v>12</v>
      </c>
      <c r="J15" t="s">
        <v>570</v>
      </c>
      <c r="K15" t="s">
        <v>234</v>
      </c>
      <c r="M15">
        <v>40</v>
      </c>
      <c r="N15">
        <v>122.97</v>
      </c>
      <c r="O15" s="20">
        <v>4918.8100000000004</v>
      </c>
      <c r="P15" s="134"/>
      <c r="Q15" s="176"/>
      <c r="R15" s="134"/>
      <c r="S15" s="134"/>
      <c r="T15" s="134"/>
    </row>
    <row r="16" spans="1:20" x14ac:dyDescent="0.25">
      <c r="A16" s="145">
        <f t="shared" si="0"/>
        <v>13</v>
      </c>
      <c r="B16" t="s">
        <v>549</v>
      </c>
      <c r="C16" t="s">
        <v>252</v>
      </c>
      <c r="D16" t="s">
        <v>557</v>
      </c>
      <c r="E16">
        <v>200</v>
      </c>
      <c r="F16">
        <v>7.02</v>
      </c>
      <c r="G16" s="20">
        <v>1404</v>
      </c>
      <c r="I16" s="145">
        <f t="shared" si="1"/>
        <v>13</v>
      </c>
      <c r="J16" t="s">
        <v>571</v>
      </c>
      <c r="K16" t="s">
        <v>267</v>
      </c>
      <c r="M16">
        <v>30</v>
      </c>
      <c r="N16">
        <v>106.68</v>
      </c>
      <c r="O16" s="20">
        <v>3200.42</v>
      </c>
      <c r="P16" s="132"/>
      <c r="Q16" s="133"/>
      <c r="R16" s="134"/>
      <c r="S16" s="134"/>
      <c r="T16" s="134"/>
    </row>
    <row r="17" spans="1:20" x14ac:dyDescent="0.25">
      <c r="A17" s="145">
        <f t="shared" si="0"/>
        <v>14</v>
      </c>
      <c r="B17" t="s">
        <v>535</v>
      </c>
      <c r="C17" t="s">
        <v>30</v>
      </c>
      <c r="D17" t="s">
        <v>304</v>
      </c>
      <c r="E17">
        <v>104</v>
      </c>
      <c r="F17">
        <v>13.2</v>
      </c>
      <c r="G17" s="20">
        <v>1373.05</v>
      </c>
      <c r="I17" s="145">
        <f t="shared" si="1"/>
        <v>14</v>
      </c>
      <c r="J17" t="s">
        <v>573</v>
      </c>
      <c r="K17" t="s">
        <v>270</v>
      </c>
      <c r="M17">
        <v>77</v>
      </c>
      <c r="N17">
        <v>106.76</v>
      </c>
      <c r="O17" s="20">
        <v>8220.42</v>
      </c>
      <c r="P17" s="134"/>
      <c r="Q17" s="176"/>
      <c r="R17" s="134"/>
      <c r="S17" s="134"/>
      <c r="T17" s="134"/>
    </row>
    <row r="18" spans="1:20" x14ac:dyDescent="0.25">
      <c r="A18" s="145">
        <f t="shared" si="0"/>
        <v>15</v>
      </c>
      <c r="B18" t="s">
        <v>550</v>
      </c>
      <c r="C18" t="s">
        <v>15</v>
      </c>
      <c r="D18" t="s">
        <v>551</v>
      </c>
      <c r="E18">
        <v>1500</v>
      </c>
      <c r="F18">
        <v>1.32</v>
      </c>
      <c r="G18" s="20">
        <v>1985.86</v>
      </c>
      <c r="I18" s="145">
        <f t="shared" si="1"/>
        <v>15</v>
      </c>
      <c r="J18" t="s">
        <v>575</v>
      </c>
      <c r="K18" t="s">
        <v>276</v>
      </c>
      <c r="M18">
        <v>10</v>
      </c>
      <c r="N18">
        <v>149.54</v>
      </c>
      <c r="O18" s="20">
        <v>1495.42</v>
      </c>
      <c r="P18" s="134"/>
      <c r="Q18" s="134"/>
      <c r="R18" s="134"/>
      <c r="S18" s="134"/>
      <c r="T18" s="134"/>
    </row>
    <row r="19" spans="1:20" x14ac:dyDescent="0.25">
      <c r="A19" s="145">
        <f t="shared" si="0"/>
        <v>16</v>
      </c>
      <c r="B19" t="s">
        <v>552</v>
      </c>
      <c r="C19" t="s">
        <v>405</v>
      </c>
      <c r="D19" t="s">
        <v>553</v>
      </c>
      <c r="E19">
        <v>1165</v>
      </c>
      <c r="F19">
        <v>14.88</v>
      </c>
      <c r="G19" s="20">
        <v>17333.71</v>
      </c>
      <c r="I19" s="145">
        <f t="shared" si="1"/>
        <v>16</v>
      </c>
      <c r="J19" t="s">
        <v>577</v>
      </c>
      <c r="K19" t="s">
        <v>355</v>
      </c>
      <c r="M19">
        <v>115</v>
      </c>
      <c r="N19">
        <v>99.66</v>
      </c>
      <c r="O19" s="20">
        <v>11460.7</v>
      </c>
      <c r="P19" s="134"/>
      <c r="Q19" s="134"/>
      <c r="R19" s="134"/>
      <c r="S19" s="134"/>
      <c r="T19" s="134"/>
    </row>
    <row r="20" spans="1:20" x14ac:dyDescent="0.25">
      <c r="A20" s="145">
        <f t="shared" si="0"/>
        <v>17</v>
      </c>
      <c r="B20" t="s">
        <v>554</v>
      </c>
      <c r="C20" t="s">
        <v>520</v>
      </c>
      <c r="D20" t="s">
        <v>558</v>
      </c>
      <c r="E20">
        <v>42</v>
      </c>
      <c r="F20">
        <v>29.87</v>
      </c>
      <c r="G20" s="20">
        <v>1254.6099999999999</v>
      </c>
      <c r="I20" s="145">
        <f t="shared" si="1"/>
        <v>17</v>
      </c>
      <c r="J20" t="s">
        <v>579</v>
      </c>
      <c r="K20" t="s">
        <v>495</v>
      </c>
      <c r="M20">
        <v>148</v>
      </c>
      <c r="N20">
        <v>103.17</v>
      </c>
      <c r="O20" s="20">
        <v>15269.01</v>
      </c>
      <c r="P20" s="134"/>
      <c r="Q20" s="134"/>
      <c r="R20" s="134"/>
      <c r="S20" s="134"/>
      <c r="T20" s="134"/>
    </row>
    <row r="21" spans="1:20" x14ac:dyDescent="0.25">
      <c r="I21" s="145">
        <f t="shared" si="1"/>
        <v>18</v>
      </c>
      <c r="J21" t="s">
        <v>581</v>
      </c>
      <c r="K21" t="s">
        <v>374</v>
      </c>
      <c r="M21">
        <v>156</v>
      </c>
      <c r="N21">
        <v>74.56</v>
      </c>
      <c r="O21" s="20">
        <v>11631.78</v>
      </c>
      <c r="P21" s="134"/>
      <c r="Q21" s="134"/>
      <c r="R21" s="134"/>
      <c r="S21" s="134"/>
      <c r="T21" s="134"/>
    </row>
    <row r="22" spans="1:20" x14ac:dyDescent="0.25">
      <c r="I22" s="145">
        <f t="shared" si="1"/>
        <v>19</v>
      </c>
      <c r="J22" t="s">
        <v>583</v>
      </c>
      <c r="K22" t="s">
        <v>377</v>
      </c>
      <c r="M22">
        <v>58</v>
      </c>
      <c r="N22">
        <v>95.15</v>
      </c>
      <c r="O22" s="20">
        <v>5518.74</v>
      </c>
      <c r="P22" s="134"/>
      <c r="Q22" s="134"/>
      <c r="R22" s="134"/>
      <c r="S22" s="134"/>
      <c r="T22" s="134"/>
    </row>
    <row r="23" spans="1:20" x14ac:dyDescent="0.25">
      <c r="I23" s="145">
        <f t="shared" si="1"/>
        <v>20</v>
      </c>
      <c r="J23" t="s">
        <v>585</v>
      </c>
      <c r="K23" t="s">
        <v>383</v>
      </c>
      <c r="M23">
        <v>90</v>
      </c>
      <c r="N23">
        <v>90.3</v>
      </c>
      <c r="O23" s="20">
        <v>8127.26</v>
      </c>
      <c r="P23" s="134"/>
      <c r="Q23" s="134"/>
      <c r="R23" s="134"/>
      <c r="S23" s="134"/>
      <c r="T23" s="134"/>
    </row>
    <row r="24" spans="1:20" x14ac:dyDescent="0.25">
      <c r="A24" s="134"/>
      <c r="B24" s="134"/>
      <c r="C24" s="134"/>
      <c r="D24" s="134"/>
      <c r="E24" s="134"/>
      <c r="F24" s="134"/>
      <c r="G24" s="176"/>
      <c r="H24" s="134"/>
      <c r="I24" s="145">
        <f t="shared" si="1"/>
        <v>21</v>
      </c>
      <c r="J24" t="s">
        <v>587</v>
      </c>
      <c r="K24" t="s">
        <v>408</v>
      </c>
      <c r="M24">
        <v>100</v>
      </c>
      <c r="N24">
        <v>62.31</v>
      </c>
      <c r="O24" s="20">
        <v>6230.97</v>
      </c>
      <c r="P24" s="134"/>
      <c r="Q24" s="134"/>
      <c r="R24" s="134"/>
      <c r="S24" s="134"/>
      <c r="T24" s="134"/>
    </row>
    <row r="25" spans="1:20" x14ac:dyDescent="0.25">
      <c r="A25" s="132"/>
      <c r="B25" s="134"/>
      <c r="C25" s="134"/>
      <c r="D25" s="134"/>
      <c r="E25" s="134"/>
      <c r="F25" s="134"/>
      <c r="G25" s="176"/>
      <c r="H25" s="134"/>
      <c r="I25" s="145">
        <f t="shared" si="1"/>
        <v>22</v>
      </c>
      <c r="J25" t="s">
        <v>589</v>
      </c>
      <c r="K25" t="s">
        <v>509</v>
      </c>
      <c r="M25">
        <v>30</v>
      </c>
      <c r="N25">
        <v>101.28</v>
      </c>
      <c r="O25" s="20">
        <v>3038.46</v>
      </c>
      <c r="P25" s="134"/>
      <c r="Q25" s="134"/>
      <c r="R25" s="134"/>
      <c r="S25" s="134"/>
      <c r="T25" s="134"/>
    </row>
    <row r="26" spans="1:20" x14ac:dyDescent="0.25">
      <c r="A26" s="132"/>
      <c r="B26" s="134"/>
      <c r="C26" s="134"/>
      <c r="D26" s="134"/>
      <c r="E26" s="134"/>
      <c r="F26" s="134"/>
      <c r="G26" s="176"/>
      <c r="H26" s="134"/>
      <c r="O26" s="20"/>
      <c r="P26" s="134"/>
      <c r="Q26" s="134"/>
      <c r="R26" s="134"/>
      <c r="S26" s="134"/>
      <c r="T26" s="134"/>
    </row>
    <row r="27" spans="1:20" x14ac:dyDescent="0.25">
      <c r="A27" s="163"/>
      <c r="B27" s="163"/>
      <c r="C27" s="163"/>
      <c r="D27" s="163"/>
      <c r="E27" s="163"/>
      <c r="F27" s="96" t="s">
        <v>4</v>
      </c>
      <c r="G27" s="157">
        <f>SUM(G4:G20)</f>
        <v>125368.22000000002</v>
      </c>
      <c r="H27" s="134"/>
      <c r="I27" s="163"/>
      <c r="J27" s="163"/>
      <c r="K27" s="163"/>
      <c r="L27" s="163"/>
      <c r="M27" s="163"/>
      <c r="N27" s="96" t="s">
        <v>4</v>
      </c>
      <c r="O27" s="157">
        <f>SUM(O4:O25)</f>
        <v>247761.12000000005</v>
      </c>
      <c r="P27" s="134"/>
      <c r="Q27" s="134"/>
      <c r="R27" s="134"/>
      <c r="S27" s="134"/>
      <c r="T27" s="134"/>
    </row>
    <row r="28" spans="1:20" x14ac:dyDescent="0.25">
      <c r="A28" s="177"/>
      <c r="B28" s="134"/>
      <c r="C28" s="134"/>
      <c r="D28" s="134"/>
      <c r="E28" s="134"/>
      <c r="F28" s="134"/>
      <c r="G28" s="176"/>
      <c r="H28" s="134"/>
      <c r="I28" s="134"/>
      <c r="J28" s="134"/>
      <c r="K28" s="134"/>
      <c r="L28" s="176"/>
      <c r="M28" s="134"/>
      <c r="N28" s="134"/>
      <c r="O28" s="134"/>
      <c r="P28" s="134"/>
      <c r="Q28" s="134"/>
      <c r="R28" s="134"/>
      <c r="S28" s="134"/>
      <c r="T28" s="134"/>
    </row>
    <row r="29" spans="1:20" x14ac:dyDescent="0.25">
      <c r="A29" s="177"/>
      <c r="B29" s="134"/>
      <c r="C29" s="134"/>
      <c r="D29" s="134"/>
      <c r="E29" s="134"/>
      <c r="F29" s="134"/>
      <c r="G29" s="176"/>
      <c r="H29" s="134"/>
      <c r="I29" s="134"/>
      <c r="J29" s="134"/>
      <c r="K29" s="134"/>
      <c r="L29" s="176"/>
      <c r="M29" s="134"/>
      <c r="N29" s="134"/>
      <c r="O29" s="134"/>
      <c r="P29" s="134"/>
      <c r="Q29" s="134"/>
      <c r="R29" s="134"/>
      <c r="S29" s="134"/>
      <c r="T29" s="134"/>
    </row>
    <row r="30" spans="1:20" x14ac:dyDescent="0.25">
      <c r="B30" s="134"/>
      <c r="C30" s="134"/>
      <c r="D30" s="134"/>
      <c r="E30" s="134"/>
      <c r="F30" s="134"/>
      <c r="G30" s="176"/>
      <c r="H30" s="134"/>
      <c r="I30" s="134"/>
      <c r="J30" s="134"/>
      <c r="K30" s="134"/>
      <c r="L30" s="176"/>
      <c r="M30" s="134"/>
      <c r="N30" s="134"/>
      <c r="O30" s="134"/>
      <c r="P30" s="134"/>
      <c r="Q30" s="134"/>
      <c r="R30" s="134"/>
      <c r="S30" s="134"/>
      <c r="T30" s="134"/>
    </row>
    <row r="31" spans="1:20" x14ac:dyDescent="0.25">
      <c r="A31" s="178" t="s">
        <v>602</v>
      </c>
      <c r="B31" s="48"/>
      <c r="C31" s="48"/>
      <c r="D31" s="48"/>
      <c r="E31" s="48"/>
      <c r="F31" s="48"/>
      <c r="G31" s="162"/>
      <c r="H31" s="48"/>
      <c r="I31" s="48"/>
      <c r="J31" s="48"/>
      <c r="K31" s="48"/>
      <c r="L31" s="162"/>
      <c r="M31" s="48"/>
      <c r="N31" s="48"/>
      <c r="O31" s="134"/>
      <c r="P31" s="134"/>
      <c r="Q31" s="134"/>
      <c r="R31" s="134"/>
      <c r="S31" s="134"/>
      <c r="T31" s="134"/>
    </row>
    <row r="32" spans="1:20" x14ac:dyDescent="0.25">
      <c r="A32" s="170" t="s">
        <v>596</v>
      </c>
      <c r="B32" s="170"/>
      <c r="C32" s="170"/>
      <c r="D32" s="170"/>
      <c r="F32" s="170" t="s">
        <v>597</v>
      </c>
      <c r="G32" s="170"/>
      <c r="H32" s="170"/>
      <c r="I32" s="170"/>
      <c r="K32" s="172" t="s">
        <v>598</v>
      </c>
      <c r="L32" s="172"/>
      <c r="M32" s="172"/>
      <c r="N32" s="172"/>
      <c r="O32" s="134"/>
      <c r="P32" s="134"/>
      <c r="Q32" s="134"/>
      <c r="R32" s="134"/>
      <c r="S32" s="134"/>
      <c r="T32" s="134"/>
    </row>
    <row r="33" spans="1:20" x14ac:dyDescent="0.25">
      <c r="A33" s="168" t="s">
        <v>292</v>
      </c>
      <c r="B33" s="168" t="s">
        <v>1</v>
      </c>
      <c r="C33" s="168" t="s">
        <v>555</v>
      </c>
      <c r="D33" s="171" t="s">
        <v>397</v>
      </c>
      <c r="F33" s="168" t="s">
        <v>292</v>
      </c>
      <c r="G33" s="168" t="s">
        <v>1</v>
      </c>
      <c r="H33" s="168" t="s">
        <v>555</v>
      </c>
      <c r="I33" s="171" t="s">
        <v>397</v>
      </c>
      <c r="K33" s="165" t="s">
        <v>292</v>
      </c>
      <c r="L33" s="165" t="s">
        <v>1</v>
      </c>
      <c r="M33" s="165" t="s">
        <v>555</v>
      </c>
      <c r="N33" s="173" t="s">
        <v>397</v>
      </c>
      <c r="O33" s="134"/>
      <c r="P33" s="134"/>
      <c r="Q33" s="134"/>
      <c r="R33" s="134"/>
      <c r="S33" s="134"/>
      <c r="T33" s="134"/>
    </row>
    <row r="34" spans="1:20" x14ac:dyDescent="0.25">
      <c r="A34" t="s">
        <v>532</v>
      </c>
      <c r="B34" t="s">
        <v>595</v>
      </c>
      <c r="C34" t="s">
        <v>296</v>
      </c>
      <c r="D34">
        <v>0.09</v>
      </c>
      <c r="F34" t="s">
        <v>532</v>
      </c>
      <c r="G34" t="s">
        <v>82</v>
      </c>
      <c r="H34" t="s">
        <v>296</v>
      </c>
      <c r="I34" s="20">
        <v>105.4</v>
      </c>
      <c r="K34" t="s">
        <v>559</v>
      </c>
      <c r="L34" t="s">
        <v>173</v>
      </c>
      <c r="M34" t="s">
        <v>339</v>
      </c>
      <c r="N34" s="20">
        <v>3436.95</v>
      </c>
      <c r="O34" s="134"/>
      <c r="P34" s="134"/>
      <c r="Q34" s="134"/>
      <c r="R34" s="134"/>
      <c r="S34" s="134"/>
      <c r="T34" s="134"/>
    </row>
    <row r="35" spans="1:20" x14ac:dyDescent="0.25">
      <c r="A35" t="s">
        <v>533</v>
      </c>
      <c r="B35" t="s">
        <v>5</v>
      </c>
      <c r="C35" t="s">
        <v>534</v>
      </c>
      <c r="D35">
        <v>0.41</v>
      </c>
      <c r="F35" t="s">
        <v>533</v>
      </c>
      <c r="G35" t="s">
        <v>5</v>
      </c>
      <c r="H35" t="s">
        <v>534</v>
      </c>
      <c r="I35" s="20">
        <v>149.86000000000001</v>
      </c>
      <c r="K35" t="s">
        <v>560</v>
      </c>
      <c r="L35" t="s">
        <v>169</v>
      </c>
      <c r="M35" t="s">
        <v>338</v>
      </c>
      <c r="N35" s="20">
        <v>650.74</v>
      </c>
      <c r="O35" s="134"/>
      <c r="P35" s="134"/>
      <c r="Q35" s="134"/>
      <c r="R35" s="134"/>
      <c r="S35" s="134"/>
      <c r="T35" s="134"/>
    </row>
    <row r="36" spans="1:20" x14ac:dyDescent="0.25">
      <c r="A36" t="s">
        <v>535</v>
      </c>
      <c r="B36" t="s">
        <v>30</v>
      </c>
      <c r="C36" t="s">
        <v>304</v>
      </c>
      <c r="D36">
        <v>415.83</v>
      </c>
      <c r="F36" t="s">
        <v>535</v>
      </c>
      <c r="G36" t="s">
        <v>30</v>
      </c>
      <c r="H36" t="s">
        <v>304</v>
      </c>
      <c r="I36" s="20">
        <v>186.53</v>
      </c>
      <c r="K36" t="s">
        <v>561</v>
      </c>
      <c r="L36" t="s">
        <v>183</v>
      </c>
      <c r="M36" t="s">
        <v>340</v>
      </c>
      <c r="N36" s="20">
        <v>94.08</v>
      </c>
      <c r="O36" s="134"/>
      <c r="P36" s="134"/>
      <c r="Q36" s="134"/>
      <c r="R36" s="134"/>
      <c r="S36" s="134"/>
      <c r="T36" s="134"/>
    </row>
    <row r="37" spans="1:20" x14ac:dyDescent="0.25">
      <c r="A37" t="s">
        <v>536</v>
      </c>
      <c r="B37" t="s">
        <v>85</v>
      </c>
      <c r="C37" t="s">
        <v>305</v>
      </c>
      <c r="D37">
        <v>871.48</v>
      </c>
      <c r="F37" t="s">
        <v>536</v>
      </c>
      <c r="G37" t="s">
        <v>85</v>
      </c>
      <c r="H37" t="s">
        <v>305</v>
      </c>
      <c r="I37" s="20">
        <v>492.71</v>
      </c>
      <c r="K37" t="s">
        <v>562</v>
      </c>
      <c r="L37" t="s">
        <v>180</v>
      </c>
      <c r="M37" t="s">
        <v>341</v>
      </c>
      <c r="N37" s="20">
        <v>171.68</v>
      </c>
      <c r="O37" s="134"/>
      <c r="P37" s="134"/>
      <c r="Q37" s="134"/>
      <c r="R37" s="134"/>
      <c r="S37" s="134"/>
      <c r="T37" s="134"/>
    </row>
    <row r="38" spans="1:20" x14ac:dyDescent="0.25">
      <c r="A38" t="s">
        <v>537</v>
      </c>
      <c r="B38" t="s">
        <v>87</v>
      </c>
      <c r="C38" t="s">
        <v>306</v>
      </c>
      <c r="D38" s="20">
        <v>1584.76</v>
      </c>
      <c r="F38" t="s">
        <v>537</v>
      </c>
      <c r="G38" t="s">
        <v>87</v>
      </c>
      <c r="H38" t="s">
        <v>306</v>
      </c>
      <c r="I38" s="20">
        <v>358.81</v>
      </c>
      <c r="K38" t="s">
        <v>563</v>
      </c>
      <c r="L38" t="s">
        <v>181</v>
      </c>
      <c r="M38" t="s">
        <v>342</v>
      </c>
      <c r="N38" s="20">
        <v>651</v>
      </c>
      <c r="O38" s="134"/>
      <c r="P38" s="134"/>
      <c r="Q38" s="134"/>
      <c r="R38" s="134"/>
      <c r="S38" s="134"/>
      <c r="T38" s="134"/>
    </row>
    <row r="39" spans="1:20" x14ac:dyDescent="0.25">
      <c r="A39" t="s">
        <v>538</v>
      </c>
      <c r="B39" t="s">
        <v>88</v>
      </c>
      <c r="C39" t="s">
        <v>539</v>
      </c>
      <c r="D39">
        <v>17.89</v>
      </c>
      <c r="F39" t="s">
        <v>538</v>
      </c>
      <c r="G39" t="s">
        <v>88</v>
      </c>
      <c r="H39" t="s">
        <v>539</v>
      </c>
      <c r="I39" s="20">
        <v>132.25</v>
      </c>
      <c r="K39" t="s">
        <v>564</v>
      </c>
      <c r="L39" t="s">
        <v>184</v>
      </c>
      <c r="M39" t="s">
        <v>343</v>
      </c>
      <c r="N39" s="20">
        <v>696.9</v>
      </c>
      <c r="O39" s="134"/>
      <c r="P39" s="134"/>
      <c r="Q39" s="134"/>
      <c r="R39" s="134"/>
      <c r="S39" s="134"/>
      <c r="T39" s="134"/>
    </row>
    <row r="40" spans="1:20" x14ac:dyDescent="0.25">
      <c r="A40" t="s">
        <v>546</v>
      </c>
      <c r="B40" t="s">
        <v>218</v>
      </c>
      <c r="C40" t="s">
        <v>547</v>
      </c>
      <c r="D40">
        <v>481.98</v>
      </c>
      <c r="F40" t="s">
        <v>541</v>
      </c>
      <c r="G40" t="s">
        <v>171</v>
      </c>
      <c r="H40" t="s">
        <v>542</v>
      </c>
      <c r="I40" s="20">
        <v>469.94</v>
      </c>
      <c r="K40" t="s">
        <v>565</v>
      </c>
      <c r="L40" t="s">
        <v>599</v>
      </c>
      <c r="M40" t="s">
        <v>344</v>
      </c>
      <c r="N40" s="20">
        <v>830</v>
      </c>
      <c r="O40" s="134"/>
      <c r="P40" s="134"/>
      <c r="Q40" s="134"/>
      <c r="R40" s="134"/>
      <c r="S40" s="134"/>
      <c r="T40" s="134"/>
    </row>
    <row r="41" spans="1:20" x14ac:dyDescent="0.25">
      <c r="A41" t="s">
        <v>549</v>
      </c>
      <c r="B41" t="s">
        <v>252</v>
      </c>
      <c r="C41" t="s">
        <v>324</v>
      </c>
      <c r="D41">
        <v>133.76</v>
      </c>
      <c r="F41" t="s">
        <v>543</v>
      </c>
      <c r="G41" t="s">
        <v>216</v>
      </c>
      <c r="H41" t="s">
        <v>320</v>
      </c>
      <c r="I41" s="20">
        <v>114.99</v>
      </c>
      <c r="K41" t="s">
        <v>566</v>
      </c>
      <c r="L41" t="s">
        <v>345</v>
      </c>
      <c r="M41" t="s">
        <v>345</v>
      </c>
      <c r="N41" s="20">
        <v>1078.6500000000001</v>
      </c>
      <c r="O41" s="134"/>
      <c r="P41" s="134"/>
      <c r="Q41" s="134"/>
      <c r="R41" s="134"/>
      <c r="S41" s="134"/>
      <c r="T41" s="134"/>
    </row>
    <row r="42" spans="1:20" x14ac:dyDescent="0.25">
      <c r="A42" t="s">
        <v>552</v>
      </c>
      <c r="B42" t="s">
        <v>405</v>
      </c>
      <c r="C42" t="s">
        <v>553</v>
      </c>
      <c r="D42">
        <v>72.06</v>
      </c>
      <c r="F42" t="s">
        <v>544</v>
      </c>
      <c r="G42" t="s">
        <v>219</v>
      </c>
      <c r="H42" t="s">
        <v>545</v>
      </c>
      <c r="I42" s="20">
        <v>233.31</v>
      </c>
      <c r="K42" t="s">
        <v>567</v>
      </c>
      <c r="L42" t="s">
        <v>220</v>
      </c>
      <c r="M42" t="s">
        <v>346</v>
      </c>
      <c r="N42" s="20">
        <v>326.33999999999997</v>
      </c>
      <c r="O42" s="134"/>
      <c r="P42" s="134"/>
      <c r="Q42" s="134"/>
      <c r="R42" s="134"/>
      <c r="S42" s="134"/>
      <c r="T42" s="134"/>
    </row>
    <row r="43" spans="1:20" x14ac:dyDescent="0.25">
      <c r="F43" t="s">
        <v>546</v>
      </c>
      <c r="G43" t="s">
        <v>218</v>
      </c>
      <c r="H43" t="s">
        <v>547</v>
      </c>
      <c r="I43" s="20">
        <v>47.3</v>
      </c>
      <c r="K43" t="s">
        <v>568</v>
      </c>
      <c r="L43" t="s">
        <v>221</v>
      </c>
      <c r="M43" t="s">
        <v>347</v>
      </c>
      <c r="N43" s="20">
        <v>1724.24</v>
      </c>
      <c r="O43" s="134"/>
      <c r="P43" s="134"/>
      <c r="Q43" s="134"/>
      <c r="R43" s="134"/>
      <c r="S43" s="134"/>
      <c r="T43" s="134"/>
    </row>
    <row r="44" spans="1:20" x14ac:dyDescent="0.25">
      <c r="A44" s="95"/>
      <c r="B44" s="95"/>
      <c r="C44" s="95" t="s">
        <v>4</v>
      </c>
      <c r="D44" s="157">
        <f>SUM(D34:D42)</f>
        <v>3578.2599999999998</v>
      </c>
      <c r="F44" t="s">
        <v>552</v>
      </c>
      <c r="G44" t="s">
        <v>405</v>
      </c>
      <c r="H44" t="s">
        <v>553</v>
      </c>
      <c r="I44" s="20">
        <v>164.65</v>
      </c>
      <c r="K44" t="s">
        <v>569</v>
      </c>
      <c r="L44" t="s">
        <v>222</v>
      </c>
      <c r="M44" t="s">
        <v>348</v>
      </c>
      <c r="N44" s="20">
        <v>1277.75</v>
      </c>
      <c r="O44" s="134"/>
      <c r="P44" s="134"/>
      <c r="Q44" s="134"/>
      <c r="R44" s="134"/>
      <c r="S44" s="134"/>
      <c r="T44" s="134"/>
    </row>
    <row r="45" spans="1:20" x14ac:dyDescent="0.25">
      <c r="G45"/>
      <c r="I45" s="20"/>
      <c r="K45" t="s">
        <v>605</v>
      </c>
      <c r="L45" t="s">
        <v>234</v>
      </c>
      <c r="M45" t="s">
        <v>606</v>
      </c>
      <c r="N45" s="20">
        <v>344.8</v>
      </c>
      <c r="O45" s="134"/>
      <c r="P45" s="134"/>
      <c r="Q45" s="134"/>
      <c r="R45" s="134"/>
      <c r="S45" s="134"/>
      <c r="T45" s="134"/>
    </row>
    <row r="46" spans="1:20" x14ac:dyDescent="0.25">
      <c r="F46" s="95"/>
      <c r="G46" s="95"/>
      <c r="H46" s="95" t="s">
        <v>4</v>
      </c>
      <c r="I46" s="157">
        <f>SUM(I34:I44)</f>
        <v>2455.7500000000005</v>
      </c>
      <c r="K46" t="s">
        <v>571</v>
      </c>
      <c r="L46" t="s">
        <v>267</v>
      </c>
      <c r="M46" t="s">
        <v>572</v>
      </c>
      <c r="N46" s="20">
        <v>246.6</v>
      </c>
      <c r="O46" s="134"/>
      <c r="P46" s="134"/>
      <c r="Q46" s="134"/>
      <c r="R46" s="134"/>
      <c r="S46" s="134"/>
      <c r="T46" s="134"/>
    </row>
    <row r="47" spans="1:20" x14ac:dyDescent="0.25">
      <c r="K47" t="s">
        <v>573</v>
      </c>
      <c r="L47" t="s">
        <v>574</v>
      </c>
      <c r="M47" t="s">
        <v>574</v>
      </c>
      <c r="N47" s="20">
        <v>241.4</v>
      </c>
      <c r="O47" s="134"/>
      <c r="P47" s="134"/>
      <c r="Q47" s="134"/>
      <c r="R47" s="134"/>
      <c r="S47" s="134"/>
      <c r="T47" s="134"/>
    </row>
    <row r="48" spans="1:20" x14ac:dyDescent="0.25">
      <c r="K48" t="s">
        <v>575</v>
      </c>
      <c r="L48" t="s">
        <v>600</v>
      </c>
      <c r="M48" t="s">
        <v>576</v>
      </c>
      <c r="N48" s="20">
        <v>17.62</v>
      </c>
      <c r="O48" s="134"/>
      <c r="P48" s="134"/>
      <c r="Q48" s="134"/>
      <c r="R48" s="134"/>
      <c r="S48" s="134"/>
      <c r="T48" s="134"/>
    </row>
    <row r="49" spans="1:20" x14ac:dyDescent="0.25">
      <c r="K49" t="s">
        <v>577</v>
      </c>
      <c r="L49" t="s">
        <v>578</v>
      </c>
      <c r="M49" t="s">
        <v>355</v>
      </c>
      <c r="N49" s="20">
        <v>648.01</v>
      </c>
      <c r="O49" s="134"/>
      <c r="P49" s="134"/>
      <c r="Q49" s="134"/>
      <c r="R49" s="134"/>
      <c r="S49" s="134"/>
      <c r="T49" s="134"/>
    </row>
    <row r="50" spans="1:20" x14ac:dyDescent="0.25">
      <c r="K50" t="s">
        <v>579</v>
      </c>
      <c r="L50" t="s">
        <v>580</v>
      </c>
      <c r="M50" t="s">
        <v>580</v>
      </c>
      <c r="N50" s="20">
        <v>1306.72</v>
      </c>
      <c r="O50" s="134"/>
      <c r="P50" s="134"/>
      <c r="Q50" s="134"/>
      <c r="R50" s="134"/>
      <c r="S50" s="134"/>
      <c r="T50" s="134"/>
    </row>
    <row r="51" spans="1:20" x14ac:dyDescent="0.25">
      <c r="K51" t="s">
        <v>581</v>
      </c>
      <c r="L51" t="s">
        <v>582</v>
      </c>
      <c r="M51" t="s">
        <v>374</v>
      </c>
      <c r="N51" s="20">
        <v>729.48</v>
      </c>
      <c r="O51" s="134"/>
      <c r="P51" s="134"/>
      <c r="Q51" s="134"/>
      <c r="R51" s="134"/>
      <c r="S51" s="134"/>
      <c r="T51" s="134"/>
    </row>
    <row r="52" spans="1:20" x14ac:dyDescent="0.25">
      <c r="K52" t="s">
        <v>583</v>
      </c>
      <c r="L52" t="s">
        <v>377</v>
      </c>
      <c r="M52" t="s">
        <v>584</v>
      </c>
      <c r="N52" s="20">
        <v>171.12</v>
      </c>
      <c r="O52" s="134"/>
      <c r="P52" s="134"/>
      <c r="Q52" s="134"/>
      <c r="R52" s="134"/>
      <c r="S52" s="134"/>
      <c r="T52" s="134"/>
    </row>
    <row r="53" spans="1:20" x14ac:dyDescent="0.25">
      <c r="K53" t="s">
        <v>585</v>
      </c>
      <c r="L53" t="s">
        <v>383</v>
      </c>
      <c r="M53" t="s">
        <v>586</v>
      </c>
      <c r="N53" s="20">
        <v>331</v>
      </c>
      <c r="O53" s="134"/>
      <c r="P53" s="134"/>
      <c r="Q53" s="134"/>
      <c r="R53" s="134"/>
      <c r="S53" s="134"/>
      <c r="T53" s="134"/>
    </row>
    <row r="54" spans="1:20" x14ac:dyDescent="0.25">
      <c r="K54" t="s">
        <v>587</v>
      </c>
      <c r="L54" t="s">
        <v>408</v>
      </c>
      <c r="M54" t="s">
        <v>588</v>
      </c>
      <c r="N54" s="20">
        <v>316.70999999999998</v>
      </c>
      <c r="O54" s="134"/>
      <c r="P54" s="134"/>
      <c r="Q54" s="134"/>
      <c r="R54" s="134"/>
      <c r="S54" s="134"/>
      <c r="T54" s="134"/>
    </row>
    <row r="55" spans="1:20" x14ac:dyDescent="0.25">
      <c r="K55" t="s">
        <v>589</v>
      </c>
      <c r="L55" t="s">
        <v>509</v>
      </c>
      <c r="M55" t="s">
        <v>590</v>
      </c>
      <c r="N55" s="20">
        <v>24.3</v>
      </c>
      <c r="O55" s="134"/>
      <c r="P55" s="134"/>
      <c r="Q55" s="134"/>
      <c r="R55" s="134"/>
      <c r="S55" s="134"/>
      <c r="T55" s="134"/>
    </row>
    <row r="56" spans="1:20" x14ac:dyDescent="0.25">
      <c r="N56" s="20"/>
      <c r="O56" s="134"/>
      <c r="P56" s="134"/>
      <c r="Q56" s="134"/>
      <c r="R56" s="134"/>
      <c r="S56" s="134"/>
      <c r="T56" s="134"/>
    </row>
    <row r="57" spans="1:20" x14ac:dyDescent="0.25">
      <c r="K57" s="95"/>
      <c r="L57" s="95"/>
      <c r="M57" s="95" t="s">
        <v>4</v>
      </c>
      <c r="N57" s="157">
        <f>SUM(N34:N55)</f>
        <v>15316.089999999998</v>
      </c>
      <c r="O57" s="134"/>
      <c r="P57" s="134"/>
      <c r="Q57" s="134"/>
      <c r="R57" s="134"/>
      <c r="S57" s="134"/>
      <c r="T57" s="134"/>
    </row>
    <row r="58" spans="1:20" x14ac:dyDescent="0.25">
      <c r="A58" s="177"/>
      <c r="B58" s="134"/>
      <c r="C58" s="134"/>
      <c r="D58" s="134"/>
      <c r="E58" s="134"/>
      <c r="F58" s="134"/>
      <c r="G58" s="176"/>
      <c r="H58" s="134"/>
      <c r="I58" s="134"/>
      <c r="J58" s="134"/>
      <c r="K58" s="134"/>
      <c r="L58" s="176"/>
      <c r="M58" s="134"/>
      <c r="N58" s="134"/>
      <c r="O58" s="134"/>
      <c r="P58" s="134"/>
      <c r="Q58" s="134"/>
      <c r="R58" s="134"/>
      <c r="S58" s="134"/>
      <c r="T58" s="134"/>
    </row>
    <row r="59" spans="1:20" x14ac:dyDescent="0.25">
      <c r="A59" s="177"/>
      <c r="B59" s="134"/>
      <c r="C59" s="134"/>
      <c r="D59" s="134"/>
      <c r="E59" s="134"/>
      <c r="F59" s="134"/>
      <c r="G59" s="176"/>
      <c r="H59" s="134"/>
      <c r="I59" s="134"/>
      <c r="J59" s="134"/>
      <c r="K59" s="134"/>
      <c r="L59" s="176"/>
      <c r="M59" s="134"/>
      <c r="N59" s="134"/>
      <c r="O59" s="134"/>
      <c r="P59" s="134"/>
      <c r="Q59" s="134"/>
      <c r="R59" s="134"/>
      <c r="S59" s="134"/>
      <c r="T59" s="134"/>
    </row>
    <row r="60" spans="1:20" x14ac:dyDescent="0.25">
      <c r="A60" s="177"/>
      <c r="B60" s="134"/>
      <c r="C60" s="134"/>
      <c r="D60" s="134"/>
      <c r="E60" s="134"/>
      <c r="F60" s="134"/>
      <c r="G60" s="176"/>
      <c r="H60" s="134"/>
      <c r="I60" s="134"/>
      <c r="J60" s="134"/>
      <c r="K60" s="134"/>
      <c r="L60" s="176"/>
      <c r="M60" s="134"/>
      <c r="N60" s="134"/>
      <c r="O60" s="134"/>
      <c r="P60" s="134"/>
      <c r="Q60" s="134"/>
      <c r="R60" s="134"/>
      <c r="S60" s="134"/>
      <c r="T60" s="134"/>
    </row>
    <row r="61" spans="1:20" x14ac:dyDescent="0.25">
      <c r="A61" s="177"/>
      <c r="B61" s="134"/>
      <c r="C61" s="134"/>
      <c r="D61" s="134"/>
      <c r="E61" s="134"/>
      <c r="F61" s="134"/>
      <c r="G61" s="176"/>
      <c r="H61" s="134"/>
      <c r="I61" s="134"/>
      <c r="J61" s="134"/>
      <c r="K61" s="134"/>
      <c r="L61" s="176"/>
      <c r="M61" s="134"/>
      <c r="N61" s="134"/>
      <c r="O61" s="134"/>
      <c r="P61" s="134"/>
      <c r="Q61" s="134"/>
      <c r="R61" s="134"/>
      <c r="S61" s="134"/>
      <c r="T61" s="134"/>
    </row>
    <row r="62" spans="1:20" x14ac:dyDescent="0.25">
      <c r="A62" s="177"/>
      <c r="B62" s="134"/>
      <c r="C62" s="134"/>
      <c r="D62" s="134"/>
      <c r="E62" s="134"/>
      <c r="F62" s="134"/>
      <c r="G62" s="176"/>
      <c r="H62" s="134"/>
      <c r="I62" s="134"/>
      <c r="J62" s="134"/>
      <c r="K62" s="134"/>
      <c r="L62" s="176"/>
      <c r="M62" s="134"/>
      <c r="N62" s="134"/>
      <c r="O62" s="134"/>
      <c r="P62" s="134"/>
      <c r="Q62" s="134"/>
      <c r="R62" s="134"/>
      <c r="S62" s="134"/>
      <c r="T62" s="134"/>
    </row>
    <row r="63" spans="1:20" x14ac:dyDescent="0.25">
      <c r="A63" s="177"/>
      <c r="B63" s="134"/>
      <c r="C63" s="134"/>
      <c r="D63" s="134"/>
      <c r="E63" s="134"/>
      <c r="F63" s="134"/>
      <c r="G63" s="176"/>
      <c r="H63" s="134"/>
      <c r="I63" s="134"/>
      <c r="J63" s="134"/>
      <c r="K63" s="134"/>
      <c r="L63" s="176"/>
      <c r="M63" s="134"/>
      <c r="N63" s="134"/>
      <c r="O63" s="134"/>
      <c r="P63" s="134"/>
      <c r="Q63" s="134"/>
      <c r="R63" s="134"/>
      <c r="S63" s="134"/>
      <c r="T63" s="134"/>
    </row>
    <row r="64" spans="1:20" x14ac:dyDescent="0.25">
      <c r="A64" s="177"/>
      <c r="B64" s="134"/>
      <c r="C64" s="134"/>
      <c r="D64" s="134"/>
      <c r="E64" s="134"/>
      <c r="F64" s="134"/>
      <c r="G64" s="176"/>
      <c r="H64" s="134"/>
      <c r="I64" s="134"/>
      <c r="J64" s="134"/>
      <c r="K64" s="134"/>
      <c r="L64" s="176"/>
      <c r="M64" s="134"/>
      <c r="N64" s="134"/>
      <c r="O64" s="134"/>
      <c r="P64" s="134"/>
      <c r="Q64" s="134"/>
      <c r="R64" s="134"/>
      <c r="S64" s="134"/>
      <c r="T64" s="134"/>
    </row>
    <row r="65" spans="1:20" x14ac:dyDescent="0.25">
      <c r="A65" s="177"/>
      <c r="B65" s="134"/>
      <c r="C65" s="134"/>
      <c r="D65" s="134"/>
      <c r="E65" s="134"/>
      <c r="F65" s="134"/>
      <c r="G65" s="176"/>
      <c r="H65" s="134"/>
      <c r="I65" s="134"/>
      <c r="J65" s="134"/>
      <c r="K65" s="134"/>
      <c r="L65" s="176"/>
      <c r="M65" s="134"/>
      <c r="N65" s="134"/>
      <c r="O65" s="134"/>
      <c r="P65" s="134"/>
      <c r="Q65" s="134"/>
      <c r="R65" s="134"/>
      <c r="S65" s="134"/>
      <c r="T65" s="134"/>
    </row>
    <row r="66" spans="1:20" x14ac:dyDescent="0.25">
      <c r="A66" s="177"/>
      <c r="B66" s="134"/>
      <c r="C66" s="134"/>
      <c r="D66" s="134"/>
      <c r="E66" s="134"/>
      <c r="F66" s="134"/>
      <c r="G66" s="176"/>
      <c r="H66" s="134"/>
      <c r="I66" s="134"/>
      <c r="J66" s="134"/>
      <c r="K66" s="134"/>
      <c r="L66" s="176"/>
      <c r="M66" s="134"/>
      <c r="N66" s="134"/>
      <c r="O66" s="134"/>
      <c r="P66" s="134"/>
      <c r="Q66" s="134"/>
      <c r="R66" s="134"/>
      <c r="S66" s="134"/>
      <c r="T66" s="134"/>
    </row>
    <row r="67" spans="1:20" x14ac:dyDescent="0.25">
      <c r="A67" s="177"/>
      <c r="B67" s="134"/>
      <c r="C67" s="134"/>
      <c r="D67" s="134"/>
      <c r="E67" s="134"/>
      <c r="F67" s="134"/>
      <c r="G67" s="176"/>
      <c r="H67" s="134"/>
      <c r="I67" s="134"/>
      <c r="J67" s="134"/>
      <c r="K67" s="134"/>
      <c r="L67" s="176"/>
      <c r="M67" s="134"/>
      <c r="N67" s="134"/>
      <c r="O67" s="134"/>
      <c r="P67" s="134"/>
      <c r="Q67" s="134"/>
      <c r="R67" s="134"/>
      <c r="S67" s="134"/>
      <c r="T67" s="134"/>
    </row>
    <row r="68" spans="1:20" x14ac:dyDescent="0.25">
      <c r="A68" s="177"/>
      <c r="B68" s="134"/>
      <c r="C68" s="134"/>
      <c r="D68" s="134"/>
      <c r="E68" s="134"/>
      <c r="F68" s="134"/>
      <c r="G68" s="176"/>
      <c r="H68" s="134"/>
      <c r="I68" s="134"/>
      <c r="J68" s="134"/>
      <c r="K68" s="134"/>
      <c r="L68" s="176"/>
      <c r="M68" s="134"/>
      <c r="N68" s="134"/>
      <c r="O68" s="134"/>
      <c r="P68" s="134"/>
      <c r="Q68" s="134"/>
      <c r="R68" s="134"/>
      <c r="S68" s="134"/>
      <c r="T68" s="134"/>
    </row>
    <row r="69" spans="1:20" x14ac:dyDescent="0.25">
      <c r="A69" s="177"/>
      <c r="B69" s="134"/>
      <c r="C69" s="134"/>
      <c r="D69" s="134"/>
      <c r="E69" s="134"/>
      <c r="F69" s="134"/>
      <c r="G69" s="176"/>
      <c r="H69" s="134"/>
      <c r="I69" s="134"/>
      <c r="J69" s="134"/>
      <c r="K69" s="134"/>
      <c r="L69" s="176"/>
      <c r="M69" s="134"/>
      <c r="N69" s="134"/>
      <c r="O69" s="134"/>
      <c r="P69" s="134"/>
      <c r="Q69" s="134"/>
      <c r="R69" s="134"/>
      <c r="S69" s="134"/>
      <c r="T69" s="134"/>
    </row>
    <row r="70" spans="1:20" x14ac:dyDescent="0.25">
      <c r="A70" s="177"/>
      <c r="B70" s="134"/>
      <c r="C70" s="134"/>
      <c r="D70" s="134"/>
      <c r="E70" s="134"/>
      <c r="F70" s="134"/>
      <c r="G70" s="176"/>
      <c r="H70" s="134"/>
      <c r="I70" s="134"/>
      <c r="J70" s="134"/>
      <c r="K70" s="134"/>
      <c r="L70" s="176"/>
      <c r="M70" s="134"/>
      <c r="N70" s="134"/>
      <c r="O70" s="134"/>
      <c r="P70" s="134"/>
      <c r="Q70" s="134"/>
      <c r="R70" s="134"/>
      <c r="S70" s="134"/>
      <c r="T70" s="134"/>
    </row>
    <row r="71" spans="1:20" x14ac:dyDescent="0.25">
      <c r="A71" s="177"/>
      <c r="B71" s="134"/>
      <c r="C71" s="134"/>
      <c r="D71" s="134"/>
      <c r="E71" s="134"/>
      <c r="F71" s="134"/>
      <c r="G71" s="176"/>
      <c r="H71" s="134"/>
      <c r="I71" s="134"/>
      <c r="J71" s="134"/>
      <c r="K71" s="134"/>
      <c r="L71" s="176"/>
      <c r="M71" s="134"/>
      <c r="N71" s="134"/>
      <c r="O71" s="134"/>
      <c r="P71" s="134"/>
      <c r="Q71" s="134"/>
      <c r="R71" s="134"/>
      <c r="S71" s="134"/>
      <c r="T71" s="134"/>
    </row>
    <row r="72" spans="1:20" x14ac:dyDescent="0.25">
      <c r="A72" s="177"/>
      <c r="B72" s="134"/>
      <c r="C72" s="134"/>
      <c r="D72" s="134"/>
      <c r="E72" s="134"/>
      <c r="F72" s="134"/>
      <c r="G72" s="176"/>
      <c r="H72" s="134"/>
      <c r="I72" s="134"/>
      <c r="J72" s="134"/>
      <c r="K72" s="134"/>
      <c r="L72" s="176"/>
      <c r="M72" s="134"/>
      <c r="N72" s="134"/>
      <c r="O72" s="134"/>
      <c r="P72" s="134"/>
      <c r="Q72" s="134"/>
      <c r="R72" s="134"/>
      <c r="S72" s="134"/>
      <c r="T72" s="134"/>
    </row>
    <row r="73" spans="1:20" x14ac:dyDescent="0.25">
      <c r="A73" s="134"/>
      <c r="B73" s="134"/>
      <c r="C73" s="134"/>
      <c r="D73" s="134"/>
      <c r="E73" s="134"/>
      <c r="F73" s="134"/>
      <c r="G73" s="176"/>
      <c r="H73" s="134"/>
      <c r="I73" s="134"/>
      <c r="J73" s="134"/>
      <c r="K73" s="134"/>
      <c r="L73" s="176"/>
      <c r="M73" s="134"/>
      <c r="N73" s="134"/>
      <c r="O73" s="134"/>
      <c r="P73" s="134"/>
      <c r="Q73" s="134"/>
      <c r="R73" s="134"/>
      <c r="S73" s="134"/>
      <c r="T73" s="134"/>
    </row>
    <row r="74" spans="1:20" x14ac:dyDescent="0.25">
      <c r="A74" s="134"/>
      <c r="B74" s="134"/>
      <c r="C74" s="134"/>
      <c r="D74" s="134"/>
      <c r="E74" s="134"/>
      <c r="F74" s="132"/>
      <c r="G74" s="133"/>
      <c r="H74" s="134"/>
      <c r="I74" s="132"/>
      <c r="J74" s="132"/>
      <c r="K74" s="132"/>
      <c r="L74" s="133"/>
      <c r="M74" s="134"/>
      <c r="N74" s="134"/>
      <c r="O74" s="134"/>
      <c r="P74" s="134"/>
      <c r="Q74" s="134"/>
      <c r="R74" s="134"/>
      <c r="S74" s="134"/>
      <c r="T74" s="134"/>
    </row>
    <row r="75" spans="1:20" x14ac:dyDescent="0.25">
      <c r="A75" s="134"/>
      <c r="B75" s="134"/>
      <c r="C75" s="134"/>
      <c r="D75" s="134"/>
      <c r="E75" s="134"/>
      <c r="F75" s="134"/>
      <c r="G75" s="176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</row>
    <row r="76" spans="1:20" x14ac:dyDescent="0.25">
      <c r="D76" s="20"/>
    </row>
    <row r="77" spans="1:20" x14ac:dyDescent="0.25">
      <c r="L77" s="2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XP</vt:lpstr>
      <vt:lpstr>Modal-Silna</vt:lpstr>
      <vt:lpstr>MODAL</vt:lpstr>
      <vt:lpstr>Dividendos</vt:lpstr>
      <vt:lpstr>Plano de Metas</vt:lpstr>
      <vt:lpstr>Passfolio</vt:lpstr>
      <vt:lpstr>Despesas</vt:lpstr>
      <vt:lpstr>Forex</vt:lpstr>
      <vt:lpstr>Rentabilidade</vt:lpstr>
      <vt:lpstr>Resumo_Geral</vt:lpstr>
      <vt:lpstr>Tesouro_Direto</vt:lpstr>
      <vt:lpstr>IR 2018</vt:lpstr>
      <vt:lpstr>IR 2019</vt:lpstr>
      <vt:lpstr>IR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Cardoso</dc:creator>
  <cp:lastModifiedBy>Wagner Cardoso</cp:lastModifiedBy>
  <cp:lastPrinted>2020-11-02T00:12:39Z</cp:lastPrinted>
  <dcterms:created xsi:type="dcterms:W3CDTF">2013-07-25T11:51:49Z</dcterms:created>
  <dcterms:modified xsi:type="dcterms:W3CDTF">2021-04-21T13:34:13Z</dcterms:modified>
</cp:coreProperties>
</file>